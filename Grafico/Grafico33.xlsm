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09E221D-2695-422E-B90C-6E60791A1C7B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K27" i="6" l="1"/>
  <c r="J27" i="6"/>
  <c r="I27" i="6"/>
  <c r="H27" i="6"/>
  <c r="G27" i="6"/>
  <c r="F27" i="6"/>
  <c r="E27" i="6"/>
  <c r="D27" i="6"/>
  <c r="C27" i="6"/>
  <c r="B27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W58" i="6" s="1"/>
  <c r="AD64" i="1"/>
  <c r="AD69" i="1" s="1"/>
  <c r="I16" i="6"/>
  <c r="K15" i="6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AY33" i="6" s="1"/>
  <c r="C17" i="6"/>
  <c r="D17" i="6"/>
  <c r="AG61" i="1"/>
  <c r="Y64" i="1"/>
  <c r="Y69" i="1" s="1"/>
  <c r="D16" i="6"/>
  <c r="Z64" i="1"/>
  <c r="Z69" i="1" s="1"/>
  <c r="E15" i="6"/>
  <c r="E17" i="6"/>
  <c r="I10" i="6" l="1"/>
  <c r="H10" i="6"/>
  <c r="R53" i="6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<sst xmlns="http://schemas.openxmlformats.org/spreadsheetml/2006/main" count="3089" uniqueCount="327">
  <si>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</si>
  <si>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</si>
  <si>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</si>
  <si>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</si>
  <si>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</si>
  <si>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</si>
  <si>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</si>
  <si>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</si>
  <si>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</si>
  <si>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</si>
  <si>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</si>
  <si>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</si>
  <si>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</si>
  <si>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</si>
  <si>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</si>
  <si>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</si>
  <si>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</si>
  <si>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</si>
  <si>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</si>
  <si>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</si>
  <si>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</si>
  <si>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</si>
  <si>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</si>
  <si>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</si>
  <si>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</si>
  <si>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</si>
  <si>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</si>
  <si>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</si>
  <si>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</si>
  <si>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</si>
  <si>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</si>
  <si>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</si>
  <si>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</si>
  <si>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</si>
  <si>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</si>
  <si>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</si>
  <si>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</si>
  <si>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</si>
  <si>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</si>
  <si>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</si>
  <si>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</si>
  <si>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</si>
  <si>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</si>
  <si>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</si>
  <si>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</si>
  <si>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</si>
  <si>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</si>
  <si>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</si>
  <si>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</si>
  <si>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</si>
  <si>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</si>
  <si>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</si>
  <si>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</si>
  <si>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</si>
  <si>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</si>
  <si>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</si>
  <si>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</si>
  <si>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</si>
  <si>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</si>
  <si>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</si>
  <si>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</si>
  <si>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</si>
  <si>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</si>
  <si>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</si>
  <si>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</si>
  <si>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</si>
  <si>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</si>
  <si>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</si>
  <si>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</si>
  <si>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</si>
  <si>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</si>
  <si>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</si>
  <si>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</si>
  <si>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</si>
  <si>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</si>
  <si>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</si>
  <si>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</si>
  <si>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</si>
  <si>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</si>
  <si>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</si>
  <si>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</si>
  <si>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</si>
  <si>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</si>
  <si>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</si>
  <si>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</si>
  <si>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</si>
  <si>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</si>
  <si>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</si>
  <si>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</si>
  <si>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</si>
  <si>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</si>
  <si>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</si>
  <si>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</si>
  <si>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</si>
  <si>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</si>
  <si>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</si>
  <si>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</si>
  <si>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</si>
  <si>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</si>
  <si>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</si>
  <si>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</si>
  <si>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</si>
  <si>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</si>
  <si>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</si>
  <si>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</si>
  <si>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</si>
  <si>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</si>
  <si>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</si>
  <si>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</si>
  <si>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</si>
  <si>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</si>
  <si>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</si>
  <si>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</si>
  <si>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</si>
  <si>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</si>
  <si>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</si>
  <si>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</si>
  <si>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</si>
  <si>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</si>
  <si>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</si>
  <si>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</si>
  <si>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</si>
  <si>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</si>
  <si>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</si>
  <si>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</si>
  <si>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</si>
  <si>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</si>
  <si>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</si>
  <si>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</si>
  <si>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</si>
  <si>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</si>
  <si>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</si>
  <si>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</si>
  <si>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</si>
  <si>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</si>
  <si>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</si>
  <si>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</si>
  <si>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</si>
  <si>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</si>
  <si>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</si>
  <si>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</si>
  <si>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</si>
  <si>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</si>
  <si>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</si>
  <si>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</si>
  <si>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</si>
  <si>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</si>
  <si>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</si>
  <si>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</si>
  <si>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</si>
  <si>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</si>
  <si>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</si>
  <si>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</si>
  <si>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</si>
  <si>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</si>
  <si>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</si>
  <si>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</si>
  <si>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</si>
  <si>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</si>
  <si>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</si>
  <si>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</si>
  <si>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</si>
  <si>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</si>
  <si>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</si>
  <si>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</si>
  <si>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</si>
  <si>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</si>
  <si>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</si>
  <si>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</si>
  <si>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</si>
  <si>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</si>
  <si>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</si>
  <si>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</si>
  <si>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</si>
  <si>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</si>
  <si>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</si>
  <si>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</si>
  <si>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</si>
  <si>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</si>
  <si>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</si>
  <si>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</si>
  <si>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</si>
  <si>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</si>
  <si>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</si>
  <si>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</si>
  <si>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</si>
  <si>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</si>
  <si>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</si>
  <si>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</si>
  <si>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</si>
  <si>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</si>
  <si>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</si>
  <si>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</si>
  <si>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</si>
  <si>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</si>
  <si>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</si>
  <si>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</si>
  <si>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</si>
  <si>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</si>
  <si>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</si>
  <si>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</si>
  <si>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</si>
  <si>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</si>
  <si>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</si>
  <si>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</si>
  <si>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</si>
  <si>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</si>
  <si>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</si>
  <si>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</si>
  <si>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</si>
  <si>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</si>
  <si>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</si>
  <si>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</si>
  <si>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</si>
  <si>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</si>
  <si>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</si>
  <si>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</si>
  <si>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</si>
  <si>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</si>
  <si>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</si>
  <si>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</si>
  <si>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</si>
  <si>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</si>
  <si>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</si>
  <si>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</si>
  <si>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</si>
  <si>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</si>
  <si>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</si>
  <si>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</si>
  <si>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</si>
  <si>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</si>
  <si>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</si>
  <si>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</si>
  <si>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</si>
  <si>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</si>
  <si>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</si>
  <si>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</si>
  <si>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</si>
  <si>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</si>
  <si>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</si>
  <si>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</si>
  <si>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</si>
  <si>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</si>
  <si>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</si>
  <si>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</si>
  <si>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</si>
  <si>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</si>
  <si>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</si>
  <si>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</si>
  <si>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</si>
  <si>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</si>
  <si>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</si>
  <si>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</si>
  <si>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</si>
  <si>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</si>
  <si>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</si>
  <si>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</si>
  <si>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</si>
  <si>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</si>
  <si>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</si>
  <si>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</si>
  <si>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</si>
  <si>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</si>
  <si>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</si>
  <si>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</si>
  <si>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</si>
  <si>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</si>
  <si>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</si>
  <si>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</si>
  <si>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</si>
  <si>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</si>
  <si>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</si>
  <si>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</si>
  <si>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</si>
  <si>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</si>
  <si>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</si>
  <si>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</si>
  <si>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</si>
  <si>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</si>
  <si>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</si>
  <si>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</si>
  <si>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</si>
  <si>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</si>
  <si>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</si>
  <si>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</si>
  <si>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</si>
  <si>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</si>
  <si>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</si>
  <si>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</si>
  <si>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</si>
  <si>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</si>
  <si>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</si>
  <si>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</si>
  <si>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</si>
  <si>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</si>
  <si>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</si>
  <si>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</si>
  <si>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</si>
  <si>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</si>
  <si>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</si>
  <si>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</si>
  <si>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</si>
  <si>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</si>
  <si>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</si>
  <si>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</si>
  <si>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</si>
  <si>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</si>
  <si>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</si>
  <si>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</si>
  <si>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</si>
  <si>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</si>
  <si>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</si>
  <si>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</si>
  <si>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</si>
  <si>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</si>
  <si>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</si>
  <si>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</si>
  <si>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</si>
  <si>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</si>
  <si>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</si>
  <si>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</si>
  <si>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</si>
  <si>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</si>
  <si>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</si>
  <si>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12 pontos.eMe</t>
  </si>
  <si>
    <t>Mirela</t>
  </si>
  <si>
    <t>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</si>
</sst>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6" xfId="0" applyFont="1" applyFill="1" applyBorder="1" applyAlignment="1">
      <alignment horizontal="center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8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8" xfId="0" applyFont="1" applyFill="1" applyBorder="1"/>
    <xf numFmtId="0" fontId="17" fillId="11" borderId="19" xfId="0" applyFont="1" applyFill="1" applyBorder="1" applyAlignment="1">
      <alignment horizontal="center"/>
    </xf>
    <xf numFmtId="0" fontId="17" fillId="12" borderId="20" xfId="0" applyFont="1" applyFill="1" applyBorder="1"/>
    <xf numFmtId="0" fontId="17" fillId="13" borderId="21" xfId="0" applyFont="1" applyFill="1" applyBorder="1" applyAlignment="1">
      <alignment horizontal="center" wrapText="1"/>
    </xf>
    <xf numFmtId="0" fontId="17" fillId="11" borderId="21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8" borderId="17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9-Antunes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opLeftCell="J1" zoomScale="73" zoomScaleNormal="73" workbookViewId="0">
      <selection activeCell="N18" sqref="N18"/>
    </sheetView>
  </sheetViews>
  <sheetFormatPr defaultRowHeight="12.75" x14ac:dyDescent="0.2"/>
  <cols>
    <col min="1" max="1" width="8.875" style="178" customWidth="1"/>
    <col min="2" max="9" width="9" style="178"/>
    <col min="10" max="10" width="11.875" style="178" customWidth="1"/>
    <col min="11" max="11" width="9" style="178"/>
    <col min="12" max="12" width="11.125" style="178" bestFit="1" customWidth="1"/>
    <col min="13" max="14" width="12.5" style="178" customWidth="1"/>
    <col min="15" max="15" width="9" style="178"/>
    <col min="16" max="16" width="15.375" style="178" customWidth="1"/>
    <col min="17" max="17" width="7" style="178" customWidth="1"/>
    <col min="18" max="18" width="15.25" style="178" bestFit="1" customWidth="1"/>
    <col min="19" max="19" width="12.25" style="179" customWidth="1"/>
    <col min="20" max="22" width="13.25" style="179" customWidth="1"/>
    <col min="23" max="23" width="13" style="178" customWidth="1"/>
    <col min="24" max="24" width="13.75" style="178" customWidth="1"/>
    <col min="25" max="25" width="12.75" style="178" customWidth="1"/>
    <col min="26" max="26" width="12.625" style="178" customWidth="1"/>
    <col min="27" max="27" width="13.5" style="178" customWidth="1"/>
    <col min="28" max="28" width="12.5" style="178" customWidth="1"/>
    <col min="29" max="29" width="9.75" style="178" customWidth="1"/>
    <col min="30" max="30" width="10.25" style="178" customWidth="1"/>
    <col min="31" max="31" width="11.375" style="178" customWidth="1"/>
    <col min="32" max="32" width="11.25" style="178" customWidth="1"/>
    <col min="33" max="33" width="9.625" style="178" customWidth="1"/>
    <col min="34" max="34" width="6.125" style="178" customWidth="1"/>
    <col min="35" max="45" width="2.75" style="178" customWidth="1"/>
    <col min="46" max="16384" width="9" style="178"/>
  </cols>
  <sheetData>
    <row r="1" spans="8:46" ht="27" customHeight="1" x14ac:dyDescent="0.2">
      <c r="P1" s="178" t="s">
        <v>68</v>
      </c>
      <c r="Q1" s="178" t="s">
        <v>0</v>
      </c>
      <c r="R1" s="178" t="s">
        <v>19</v>
      </c>
      <c r="S1" s="179">
        <v>1</v>
      </c>
      <c r="T1" s="179" t="s">
        <v>126</v>
      </c>
      <c r="U1" s="179" t="s">
        <v>126</v>
      </c>
      <c r="V1" s="179" t="s">
        <v>126</v>
      </c>
      <c r="W1" s="178">
        <v>10</v>
      </c>
      <c r="X1" s="180"/>
      <c r="Y1" s="180"/>
      <c r="AA1" s="178">
        <f>X1+Y1+Z1</f>
        <v>0</v>
      </c>
      <c r="AT1" s="178" t="s">
        <v>5</v>
      </c>
    </row>
    <row r="2" spans="8:46" x14ac:dyDescent="0.2">
      <c r="S2" s="179">
        <v>2</v>
      </c>
      <c r="T2" s="179" t="s">
        <v>127</v>
      </c>
      <c r="U2" s="179" t="s">
        <v>127</v>
      </c>
      <c r="V2" s="179" t="s">
        <v>127</v>
      </c>
      <c r="AT2" s="178" t="s">
        <v>7</v>
      </c>
    </row>
    <row r="3" spans="8:46" x14ac:dyDescent="0.2">
      <c r="R3" s="178" t="s">
        <v>84</v>
      </c>
      <c r="S3" s="179">
        <v>3</v>
      </c>
      <c r="T3" s="179" t="s">
        <v>128</v>
      </c>
      <c r="U3" s="179" t="s">
        <v>128</v>
      </c>
      <c r="V3" s="179" t="s">
        <v>128</v>
      </c>
      <c r="AT3" s="178" t="s">
        <v>6</v>
      </c>
    </row>
    <row r="4" spans="8:46" x14ac:dyDescent="0.2">
      <c r="S4" s="179">
        <v>4</v>
      </c>
      <c r="T4" s="179" t="s">
        <v>129</v>
      </c>
      <c r="U4" s="179" t="s">
        <v>129</v>
      </c>
      <c r="V4" s="179" t="s">
        <v>129</v>
      </c>
      <c r="X4" s="178" t="s">
        <v>96</v>
      </c>
      <c r="AT4" s="178" t="s">
        <v>90</v>
      </c>
    </row>
    <row r="5" spans="8:46" x14ac:dyDescent="0.2">
      <c r="N5" s="178" t="b">
        <v>0</v>
      </c>
      <c r="O5" s="178" t="b">
        <v>0</v>
      </c>
      <c r="P5" s="178" t="b">
        <v>1</v>
      </c>
      <c r="S5" s="179">
        <v>5</v>
      </c>
      <c r="T5" s="179" t="s">
        <v>130</v>
      </c>
      <c r="U5" s="179" t="s">
        <v>130</v>
      </c>
      <c r="V5" s="179" t="s">
        <v>130</v>
      </c>
      <c r="X5" s="178" t="s">
        <v>104</v>
      </c>
      <c r="Y5" s="178" t="s">
        <v>107</v>
      </c>
      <c r="Z5" s="178" t="s">
        <v>106</v>
      </c>
    </row>
    <row r="6" spans="8:46" x14ac:dyDescent="0.2">
      <c r="S6" s="179">
        <v>6</v>
      </c>
      <c r="T6" s="179" t="s">
        <v>131</v>
      </c>
      <c r="U6" s="179" t="s">
        <v>131</v>
      </c>
      <c r="V6" s="179" t="s">
        <v>131</v>
      </c>
      <c r="X6" s="178" t="b">
        <v>0</v>
      </c>
      <c r="Y6" s="178" t="b">
        <v>0</v>
      </c>
      <c r="Z6" s="178" t="b">
        <v>0</v>
      </c>
    </row>
    <row r="7" spans="8:46" x14ac:dyDescent="0.2">
      <c r="S7" s="179">
        <v>7</v>
      </c>
      <c r="T7" s="179" t="s">
        <v>132</v>
      </c>
      <c r="U7" s="179" t="s">
        <v>132</v>
      </c>
      <c r="V7" s="179" t="s">
        <v>132</v>
      </c>
    </row>
    <row r="8" spans="8:46" x14ac:dyDescent="0.2">
      <c r="S8" s="179">
        <v>8</v>
      </c>
      <c r="T8" s="179" t="s">
        <v>133</v>
      </c>
      <c r="U8" s="179" t="s">
        <v>133</v>
      </c>
      <c r="V8" s="179" t="s">
        <v>133</v>
      </c>
    </row>
    <row r="9" spans="8:46" x14ac:dyDescent="0.2">
      <c r="S9" s="179">
        <v>9</v>
      </c>
      <c r="T9" s="179" t="s">
        <v>134</v>
      </c>
      <c r="U9" s="179" t="s">
        <v>134</v>
      </c>
      <c r="V9" s="179" t="s">
        <v>134</v>
      </c>
    </row>
    <row r="10" spans="8:46" x14ac:dyDescent="0.2">
      <c r="S10" s="179">
        <v>10</v>
      </c>
      <c r="T10" s="179" t="s">
        <v>135</v>
      </c>
      <c r="U10" s="179" t="s">
        <v>135</v>
      </c>
      <c r="V10" s="179" t="s">
        <v>135</v>
      </c>
    </row>
    <row r="11" spans="8:46" x14ac:dyDescent="0.2">
      <c r="R11" s="178" t="s">
        <v>67</v>
      </c>
      <c r="S11" s="179">
        <v>1</v>
      </c>
      <c r="T11" s="179">
        <v>4</v>
      </c>
      <c r="U11" s="179">
        <v>4</v>
      </c>
      <c r="V11" s="179">
        <v>4</v>
      </c>
      <c r="W11" s="178">
        <v>5</v>
      </c>
      <c r="X11" s="178">
        <v>6</v>
      </c>
      <c r="Y11" s="178">
        <v>7</v>
      </c>
      <c r="Z11" s="178">
        <v>8</v>
      </c>
      <c r="AA11" s="178">
        <v>9</v>
      </c>
      <c r="AB11" s="178">
        <v>10</v>
      </c>
    </row>
    <row r="13" spans="8:46" x14ac:dyDescent="0.2">
      <c r="H13" s="189"/>
      <c r="I13" s="189"/>
      <c r="S13" s="179" t="b">
        <v>1</v>
      </c>
      <c r="T13" s="179" t="b">
        <v>1</v>
      </c>
      <c r="U13" s="179" t="b">
        <v>1</v>
      </c>
      <c r="V13" s="179" t="b">
        <v>1</v>
      </c>
      <c r="W13" s="178" t="b">
        <v>1</v>
      </c>
      <c r="X13" s="178" t="b">
        <v>1</v>
      </c>
      <c r="Y13" s="178" t="b">
        <v>1</v>
      </c>
      <c r="Z13" s="178" t="b">
        <v>1</v>
      </c>
      <c r="AA13" s="178" t="b">
        <v>1</v>
      </c>
      <c r="AB13" s="178" t="b">
        <v>1</v>
      </c>
    </row>
    <row r="21" spans="1:32" x14ac:dyDescent="0.2">
      <c r="R21" s="178" t="s">
        <v>1</v>
      </c>
      <c r="S21" s="179">
        <v>1</v>
      </c>
      <c r="T21" s="179" t="b">
        <v>0</v>
      </c>
      <c r="U21" s="179" t="b">
        <v>0</v>
      </c>
      <c r="V21" s="179" t="b">
        <v>0</v>
      </c>
      <c r="W21" s="178">
        <f>IF(T21,1,0)</f>
        <v>0</v>
      </c>
      <c r="X21" s="178">
        <f>IF(T22,1,0)</f>
        <v>0</v>
      </c>
      <c r="Y21" s="178">
        <f>IF(T23,1,0)</f>
        <v>0</v>
      </c>
      <c r="Z21" s="178">
        <f>IF(T24,1,0)</f>
        <v>0</v>
      </c>
      <c r="AA21" s="178">
        <f>IF(T25,1,0)</f>
        <v>0</v>
      </c>
      <c r="AB21" s="178">
        <f>IF(T26,1,0)</f>
        <v>0</v>
      </c>
      <c r="AC21" s="178">
        <f>IF(T27,1,0)</f>
        <v>0</v>
      </c>
      <c r="AD21" s="178">
        <f>IF(T28,1,0)</f>
        <v>0</v>
      </c>
      <c r="AE21" s="178">
        <f>IF(T29,1,0)</f>
        <v>0</v>
      </c>
      <c r="AF21" s="178">
        <f>IF(T30,1,0)</f>
        <v>0</v>
      </c>
    </row>
    <row r="22" spans="1:32" x14ac:dyDescent="0.2">
      <c r="B22" s="190"/>
      <c r="S22" s="179">
        <v>2</v>
      </c>
      <c r="T22" s="179" t="b">
        <v>0</v>
      </c>
      <c r="U22" s="179" t="b">
        <v>0</v>
      </c>
      <c r="V22" s="179" t="b">
        <v>0</v>
      </c>
    </row>
    <row r="23" spans="1:32" x14ac:dyDescent="0.2">
      <c r="B23" s="190"/>
      <c r="S23" s="179">
        <v>3</v>
      </c>
      <c r="T23" s="179" t="b">
        <v>0</v>
      </c>
      <c r="U23" s="179" t="b">
        <v>0</v>
      </c>
      <c r="V23" s="179" t="b">
        <v>0</v>
      </c>
    </row>
    <row r="24" spans="1:32" x14ac:dyDescent="0.2">
      <c r="B24" s="190"/>
      <c r="S24" s="179">
        <v>4</v>
      </c>
      <c r="T24" s="179" t="b">
        <v>0</v>
      </c>
      <c r="U24" s="179" t="b">
        <v>0</v>
      </c>
      <c r="V24" s="179" t="b">
        <v>0</v>
      </c>
    </row>
    <row r="25" spans="1:32" x14ac:dyDescent="0.2">
      <c r="A25" s="190"/>
      <c r="B25" s="190"/>
      <c r="S25" s="179">
        <v>5</v>
      </c>
      <c r="T25" s="179" t="b">
        <v>0</v>
      </c>
      <c r="U25" s="179" t="b">
        <v>0</v>
      </c>
      <c r="V25" s="179" t="b">
        <v>0</v>
      </c>
    </row>
    <row r="26" spans="1:32" x14ac:dyDescent="0.2">
      <c r="A26" s="191"/>
      <c r="B26" s="191"/>
      <c r="C26" s="191"/>
      <c r="D26" s="191"/>
      <c r="E26" s="191"/>
      <c r="S26" s="179">
        <v>6</v>
      </c>
      <c r="T26" s="179" t="b">
        <v>0</v>
      </c>
      <c r="U26" s="179" t="b">
        <v>0</v>
      </c>
      <c r="V26" s="179" t="b">
        <v>0</v>
      </c>
    </row>
    <row r="27" spans="1:32" x14ac:dyDescent="0.2">
      <c r="A27" s="191"/>
      <c r="B27" s="191"/>
      <c r="C27" s="191"/>
      <c r="D27" s="191"/>
      <c r="E27" s="191"/>
      <c r="S27" s="179">
        <v>7</v>
      </c>
      <c r="T27" s="179" t="b">
        <v>0</v>
      </c>
      <c r="U27" s="179" t="b">
        <v>0</v>
      </c>
      <c r="V27" s="179" t="b">
        <v>0</v>
      </c>
    </row>
    <row r="28" spans="1:32" x14ac:dyDescent="0.2">
      <c r="A28" s="191"/>
      <c r="B28" s="191"/>
      <c r="C28" s="191"/>
      <c r="D28" s="191"/>
      <c r="E28" s="191"/>
      <c r="S28" s="179">
        <v>8</v>
      </c>
      <c r="T28" s="179" t="b">
        <v>0</v>
      </c>
      <c r="U28" s="179" t="b">
        <v>0</v>
      </c>
      <c r="V28" s="179" t="b">
        <v>0</v>
      </c>
    </row>
    <row r="29" spans="1:32" x14ac:dyDescent="0.2">
      <c r="A29" s="191"/>
      <c r="B29" s="191"/>
      <c r="C29" s="191"/>
      <c r="D29" s="191"/>
      <c r="E29" s="191"/>
      <c r="S29" s="179">
        <v>9</v>
      </c>
      <c r="T29" s="179" t="b">
        <v>0</v>
      </c>
      <c r="U29" s="179" t="b">
        <v>0</v>
      </c>
      <c r="V29" s="179" t="b">
        <v>0</v>
      </c>
    </row>
    <row r="30" spans="1:32" x14ac:dyDescent="0.2">
      <c r="A30" s="192"/>
      <c r="B30" s="192"/>
      <c r="C30" s="192"/>
      <c r="S30" s="179">
        <v>10</v>
      </c>
      <c r="T30" s="179" t="b">
        <v>0</v>
      </c>
      <c r="U30" s="179" t="b">
        <v>0</v>
      </c>
      <c r="V30" s="179" t="b">
        <v>0</v>
      </c>
    </row>
    <row r="31" spans="1:32" x14ac:dyDescent="0.2">
      <c r="R31" s="178" t="s">
        <v>2</v>
      </c>
      <c r="S31" s="179">
        <v>1</v>
      </c>
      <c r="T31" s="179">
        <v>1</v>
      </c>
      <c r="U31" s="179">
        <v>1</v>
      </c>
      <c r="V31" s="179">
        <v>1</v>
      </c>
      <c r="W31" s="178">
        <f>IF($T$41,T31,1)</f>
        <v>1</v>
      </c>
      <c r="X31" s="178">
        <f>IF($T$41,T32,1)</f>
        <v>1</v>
      </c>
      <c r="Y31" s="178">
        <f>IF($T$41,T33,1)</f>
        <v>1</v>
      </c>
      <c r="Z31" s="178">
        <f>IF($T$41,T34,1)</f>
        <v>1</v>
      </c>
      <c r="AA31" s="178">
        <f>IF($T$41,T35,1)</f>
        <v>1</v>
      </c>
      <c r="AB31" s="178">
        <f>IF($T$41,T36,1)</f>
        <v>1</v>
      </c>
      <c r="AC31" s="178">
        <f>IF($T$41,T37,1)</f>
        <v>1</v>
      </c>
      <c r="AD31" s="178">
        <f>IF($T$41,T38,1)</f>
        <v>1</v>
      </c>
      <c r="AE31" s="178">
        <f>IF($T$41,T39,1)</f>
        <v>1</v>
      </c>
      <c r="AF31" s="178">
        <f>IF($T$41,T40,1)</f>
        <v>1</v>
      </c>
    </row>
    <row r="32" spans="1:32" x14ac:dyDescent="0.2">
      <c r="S32" s="179">
        <v>2</v>
      </c>
      <c r="T32" s="179">
        <v>1</v>
      </c>
      <c r="U32" s="179">
        <v>1</v>
      </c>
      <c r="V32" s="179">
        <v>1</v>
      </c>
    </row>
    <row r="33" spans="1:24" x14ac:dyDescent="0.2">
      <c r="S33" s="179">
        <v>3</v>
      </c>
      <c r="T33" s="179">
        <v>1</v>
      </c>
      <c r="U33" s="179">
        <v>1</v>
      </c>
      <c r="V33" s="179">
        <v>1</v>
      </c>
    </row>
    <row r="34" spans="1:24" x14ac:dyDescent="0.2">
      <c r="S34" s="179">
        <v>4</v>
      </c>
      <c r="T34" s="179">
        <v>1</v>
      </c>
      <c r="U34" s="179">
        <v>1</v>
      </c>
      <c r="V34" s="179">
        <v>1</v>
      </c>
    </row>
    <row r="35" spans="1:24" x14ac:dyDescent="0.2">
      <c r="S35" s="179">
        <v>5</v>
      </c>
      <c r="T35" s="179">
        <v>1</v>
      </c>
      <c r="U35" s="179">
        <v>1</v>
      </c>
      <c r="V35" s="179">
        <v>1</v>
      </c>
    </row>
    <row r="36" spans="1:24" x14ac:dyDescent="0.2">
      <c r="S36" s="179">
        <v>6</v>
      </c>
      <c r="T36" s="179">
        <v>1</v>
      </c>
      <c r="U36" s="179">
        <v>1</v>
      </c>
      <c r="V36" s="179">
        <v>1</v>
      </c>
    </row>
    <row r="37" spans="1:24" x14ac:dyDescent="0.2">
      <c r="S37" s="179">
        <v>7</v>
      </c>
      <c r="T37" s="179">
        <v>1</v>
      </c>
      <c r="U37" s="179">
        <v>1</v>
      </c>
      <c r="V37" s="179">
        <v>1</v>
      </c>
    </row>
    <row r="38" spans="1:24" x14ac:dyDescent="0.2">
      <c r="S38" s="179">
        <v>8</v>
      </c>
      <c r="T38" s="179">
        <v>1</v>
      </c>
      <c r="U38" s="179">
        <v>1</v>
      </c>
      <c r="V38" s="179">
        <v>1</v>
      </c>
    </row>
    <row r="39" spans="1:24" x14ac:dyDescent="0.2">
      <c r="S39" s="179">
        <v>9</v>
      </c>
      <c r="T39" s="179">
        <v>1</v>
      </c>
      <c r="U39" s="179">
        <v>1</v>
      </c>
      <c r="V39" s="179">
        <v>1</v>
      </c>
    </row>
    <row r="40" spans="1:24" x14ac:dyDescent="0.2">
      <c r="S40" s="179">
        <v>10</v>
      </c>
      <c r="T40" s="179">
        <v>1</v>
      </c>
      <c r="U40" s="179">
        <v>1</v>
      </c>
      <c r="V40" s="179">
        <v>1</v>
      </c>
    </row>
    <row r="41" spans="1:24" x14ac:dyDescent="0.2">
      <c r="R41" s="178" t="s">
        <v>72</v>
      </c>
      <c r="S41" s="179">
        <v>0</v>
      </c>
      <c r="T41" s="179" t="b">
        <v>0</v>
      </c>
      <c r="U41" s="179" t="b">
        <v>0</v>
      </c>
      <c r="V41" s="179" t="b">
        <v>0</v>
      </c>
      <c r="X41" s="179" t="s">
        <v>93</v>
      </c>
    </row>
    <row r="42" spans="1:24" x14ac:dyDescent="0.2">
      <c r="Q42" s="178" t="s">
        <v>3</v>
      </c>
      <c r="R42" s="178" t="s">
        <v>70</v>
      </c>
      <c r="S42" s="179" t="s">
        <v>5</v>
      </c>
      <c r="T42" s="179" t="b">
        <v>0</v>
      </c>
      <c r="U42" s="179" t="b">
        <v>0</v>
      </c>
      <c r="V42" s="179" t="b">
        <v>0</v>
      </c>
      <c r="X42" s="180" t="b">
        <v>0</v>
      </c>
    </row>
    <row r="43" spans="1:24" x14ac:dyDescent="0.2">
      <c r="S43" s="179" t="s">
        <v>6</v>
      </c>
      <c r="T43" s="179" t="b">
        <v>0</v>
      </c>
      <c r="U43" s="179" t="b">
        <v>0</v>
      </c>
      <c r="V43" s="179" t="b">
        <v>0</v>
      </c>
      <c r="X43" s="179" t="s">
        <v>108</v>
      </c>
    </row>
    <row r="44" spans="1:24" x14ac:dyDescent="0.2">
      <c r="S44" s="179" t="s">
        <v>7</v>
      </c>
      <c r="T44" s="179" t="b">
        <v>0</v>
      </c>
      <c r="U44" s="179" t="b">
        <v>0</v>
      </c>
      <c r="V44" s="179" t="b">
        <v>0</v>
      </c>
      <c r="X44" s="180" t="b">
        <v>0</v>
      </c>
    </row>
    <row r="45" spans="1:24" x14ac:dyDescent="0.2">
      <c r="R45" s="178" t="s">
        <v>69</v>
      </c>
      <c r="S45" s="179" t="s">
        <v>5</v>
      </c>
      <c r="T45" s="179">
        <v>10</v>
      </c>
      <c r="U45" s="179">
        <v>10</v>
      </c>
      <c r="V45" s="179">
        <v>10</v>
      </c>
    </row>
    <row r="46" spans="1:24" x14ac:dyDescent="0.2">
      <c r="S46" s="179" t="s">
        <v>6</v>
      </c>
      <c r="T46" s="179">
        <v>10</v>
      </c>
      <c r="U46" s="179">
        <v>10</v>
      </c>
      <c r="V46" s="179">
        <v>10</v>
      </c>
    </row>
    <row r="47" spans="1:24" x14ac:dyDescent="0.2">
      <c r="A47" s="178" t="s">
        <v>324</v>
      </c>
      <c r="S47" s="179" t="s">
        <v>7</v>
      </c>
      <c r="T47" s="179">
        <v>10</v>
      </c>
      <c r="U47" s="179">
        <v>10</v>
      </c>
      <c r="V47" s="179">
        <v>10</v>
      </c>
    </row>
    <row r="48" spans="1:24" x14ac:dyDescent="0.2">
      <c r="Q48" s="178" t="s">
        <v>20</v>
      </c>
      <c r="R48" s="178" t="s">
        <v>67</v>
      </c>
      <c r="S48" s="179">
        <v>1</v>
      </c>
      <c r="T48" s="179" t="b">
        <v>0</v>
      </c>
      <c r="U48" s="179" t="b">
        <v>0</v>
      </c>
      <c r="V48" s="179" t="b">
        <v>0</v>
      </c>
    </row>
    <row r="49" spans="17:34" x14ac:dyDescent="0.2">
      <c r="S49" s="179">
        <v>5</v>
      </c>
      <c r="T49" s="179" t="b">
        <v>0</v>
      </c>
      <c r="U49" s="179" t="b">
        <v>0</v>
      </c>
      <c r="V49" s="179" t="b">
        <v>0</v>
      </c>
    </row>
    <row r="50" spans="17:34" x14ac:dyDescent="0.2">
      <c r="S50" s="179" t="s">
        <v>17</v>
      </c>
      <c r="T50" s="179" t="b">
        <v>0</v>
      </c>
      <c r="U50" s="179" t="b">
        <v>0</v>
      </c>
      <c r="V50" s="179" t="b">
        <v>0</v>
      </c>
    </row>
    <row r="51" spans="17:34" x14ac:dyDescent="0.2">
      <c r="R51" s="178" t="s">
        <v>11</v>
      </c>
      <c r="S51" s="179">
        <v>1</v>
      </c>
      <c r="T51" s="179">
        <v>1</v>
      </c>
      <c r="U51" s="179">
        <v>1</v>
      </c>
      <c r="V51" s="179">
        <v>1</v>
      </c>
    </row>
    <row r="52" spans="17:34" x14ac:dyDescent="0.2">
      <c r="S52" s="179">
        <v>5</v>
      </c>
      <c r="T52" s="179">
        <v>5</v>
      </c>
      <c r="U52" s="179">
        <v>5</v>
      </c>
      <c r="V52" s="179">
        <v>5</v>
      </c>
    </row>
    <row r="53" spans="17:34" x14ac:dyDescent="0.2">
      <c r="S53" s="179" t="s">
        <v>17</v>
      </c>
      <c r="T53" s="179">
        <v>2</v>
      </c>
      <c r="U53" s="179">
        <v>2</v>
      </c>
      <c r="V53" s="179">
        <v>2</v>
      </c>
    </row>
    <row r="54" spans="17:34" x14ac:dyDescent="0.2">
      <c r="Q54" s="178" t="s">
        <v>71</v>
      </c>
      <c r="R54" s="178" t="s">
        <v>67</v>
      </c>
      <c r="S54" s="179" t="s">
        <v>5</v>
      </c>
      <c r="T54" s="179" t="b">
        <v>0</v>
      </c>
      <c r="U54" s="179" t="b">
        <v>0</v>
      </c>
      <c r="V54" s="179" t="b">
        <v>0</v>
      </c>
    </row>
    <row r="55" spans="17:34" x14ac:dyDescent="0.2">
      <c r="S55" s="179" t="s">
        <v>6</v>
      </c>
      <c r="T55" s="179" t="b">
        <v>0</v>
      </c>
      <c r="U55" s="179" t="b">
        <v>0</v>
      </c>
      <c r="V55" s="179" t="b">
        <v>0</v>
      </c>
      <c r="W55" s="178" t="s">
        <v>121</v>
      </c>
      <c r="X55" s="178" t="s">
        <v>121</v>
      </c>
      <c r="Y55" s="178" t="s">
        <v>121</v>
      </c>
      <c r="AA55" s="178" t="s">
        <v>6</v>
      </c>
    </row>
    <row r="56" spans="17:34" x14ac:dyDescent="0.2">
      <c r="S56" s="179" t="s">
        <v>7</v>
      </c>
      <c r="T56" s="179" t="b">
        <v>0</v>
      </c>
      <c r="U56" s="179" t="b">
        <v>0</v>
      </c>
      <c r="V56" s="179" t="b">
        <v>0</v>
      </c>
      <c r="W56" s="178">
        <v>1</v>
      </c>
      <c r="X56" s="178">
        <v>1</v>
      </c>
      <c r="Y56" s="178">
        <v>1</v>
      </c>
    </row>
    <row r="57" spans="17:34" x14ac:dyDescent="0.2">
      <c r="R57" s="178" t="s">
        <v>91</v>
      </c>
      <c r="S57" s="179">
        <v>0</v>
      </c>
      <c r="T57" s="179" t="s">
        <v>126</v>
      </c>
      <c r="U57" s="179" t="s">
        <v>126</v>
      </c>
      <c r="V57" s="179" t="s">
        <v>126</v>
      </c>
      <c r="W57" s="178" t="s">
        <v>122</v>
      </c>
      <c r="X57" s="178" t="s">
        <v>122</v>
      </c>
      <c r="Y57" s="178" t="s">
        <v>122</v>
      </c>
      <c r="Z57" s="178" t="s">
        <v>5</v>
      </c>
      <c r="AA57" s="178" t="s">
        <v>7</v>
      </c>
    </row>
    <row r="58" spans="17:34" x14ac:dyDescent="0.2">
      <c r="R58" s="178" t="s">
        <v>92</v>
      </c>
      <c r="S58" s="179">
        <v>0</v>
      </c>
      <c r="T58" s="179">
        <v>1</v>
      </c>
      <c r="U58" s="179">
        <v>1</v>
      </c>
      <c r="V58" s="179">
        <v>1</v>
      </c>
      <c r="W58" s="178">
        <v>3</v>
      </c>
      <c r="X58" s="178">
        <v>3</v>
      </c>
      <c r="Y58" s="178">
        <v>3</v>
      </c>
    </row>
    <row r="59" spans="17:34" x14ac:dyDescent="0.2">
      <c r="R59" s="178" t="s">
        <v>73</v>
      </c>
      <c r="S59" s="179">
        <v>0</v>
      </c>
      <c r="T59" s="179" t="s">
        <v>126</v>
      </c>
      <c r="U59" s="179" t="s">
        <v>126</v>
      </c>
      <c r="V59" s="179" t="s">
        <v>126</v>
      </c>
      <c r="AG59" s="178" t="s">
        <v>1</v>
      </c>
    </row>
    <row r="60" spans="17:34" x14ac:dyDescent="0.2">
      <c r="S60" s="179">
        <v>0</v>
      </c>
      <c r="T60" s="179">
        <v>1</v>
      </c>
      <c r="U60" s="179">
        <v>1</v>
      </c>
      <c r="V60" s="179">
        <v>1</v>
      </c>
    </row>
    <row r="61" spans="17:34" x14ac:dyDescent="0.2">
      <c r="S61" s="179" t="s">
        <v>5</v>
      </c>
      <c r="T61" s="181">
        <v>156</v>
      </c>
      <c r="U61" s="181">
        <v>156</v>
      </c>
      <c r="V61" s="181">
        <v>156</v>
      </c>
      <c r="W61" s="182">
        <f>Diagrama!B6</f>
        <v>1235</v>
      </c>
      <c r="X61" s="182">
        <f>Diagrama!C6</f>
        <v>145</v>
      </c>
      <c r="Y61" s="182">
        <f>Diagrama!D6</f>
        <v>129876</v>
      </c>
      <c r="Z61" s="182">
        <f>Diagrama!E6</f>
        <v>2987</v>
      </c>
      <c r="AA61" s="182">
        <f>Diagrama!F6</f>
        <v>5297</v>
      </c>
      <c r="AB61" s="182">
        <f>Diagrama!G6</f>
        <v>127496</v>
      </c>
      <c r="AC61" s="182">
        <f>Diagrama!H6</f>
        <v>17429</v>
      </c>
      <c r="AD61" s="182">
        <f>Diagrama!I6</f>
        <v>179</v>
      </c>
      <c r="AE61" s="182">
        <f>Diagrama!J6</f>
        <v>4176</v>
      </c>
      <c r="AF61" s="182">
        <f>Diagrama!K6</f>
        <v>1728</v>
      </c>
      <c r="AG61" s="182">
        <f>Diagrama!L6</f>
        <v>0</v>
      </c>
      <c r="AH61" s="180">
        <v>0.25</v>
      </c>
    </row>
    <row r="62" spans="17:34" x14ac:dyDescent="0.2">
      <c r="S62" s="179" t="s">
        <v>6</v>
      </c>
      <c r="T62" s="181">
        <v>156</v>
      </c>
      <c r="U62" s="181">
        <v>156</v>
      </c>
      <c r="V62" s="181">
        <v>156</v>
      </c>
      <c r="W62" s="182">
        <f>Diagrama!B7</f>
        <v>18</v>
      </c>
      <c r="X62" s="182">
        <f>Diagrama!C7</f>
        <v>179</v>
      </c>
      <c r="Y62" s="182">
        <f>Diagrama!D7</f>
        <v>1297</v>
      </c>
      <c r="Z62" s="182">
        <f>Diagrama!E7</f>
        <v>2185</v>
      </c>
      <c r="AA62" s="182">
        <f>Diagrama!F7</f>
        <v>217</v>
      </c>
      <c r="AB62" s="182">
        <f>Diagrama!G7</f>
        <v>1742</v>
      </c>
      <c r="AC62" s="182">
        <f>Diagrama!H7</f>
        <v>76</v>
      </c>
      <c r="AD62" s="182">
        <f>Diagrama!I7</f>
        <v>17529</v>
      </c>
      <c r="AE62" s="182">
        <f>Diagrama!J7</f>
        <v>47126</v>
      </c>
      <c r="AF62" s="182">
        <f>Diagrama!K7</f>
        <v>1726</v>
      </c>
      <c r="AG62" s="182">
        <f>Diagrama!L7</f>
        <v>0</v>
      </c>
      <c r="AH62" s="180">
        <v>0</v>
      </c>
    </row>
    <row r="63" spans="17:34" x14ac:dyDescent="0.2">
      <c r="S63" s="179" t="s">
        <v>7</v>
      </c>
      <c r="T63" s="181">
        <v>156</v>
      </c>
      <c r="U63" s="181">
        <v>156</v>
      </c>
      <c r="V63" s="181">
        <v>156</v>
      </c>
      <c r="W63" s="182">
        <f>Diagrama!B8</f>
        <v>15263</v>
      </c>
      <c r="X63" s="182">
        <f>Diagrama!C8</f>
        <v>12543</v>
      </c>
      <c r="Y63" s="182">
        <f>Diagrama!D8</f>
        <v>2163</v>
      </c>
      <c r="Z63" s="182">
        <f>Diagrama!E8</f>
        <v>2196</v>
      </c>
      <c r="AA63" s="182">
        <f>Diagrama!F8</f>
        <v>217496</v>
      </c>
      <c r="AB63" s="182">
        <f>Diagrama!G8</f>
        <v>41297</v>
      </c>
      <c r="AC63" s="182">
        <f>Diagrama!H8</f>
        <v>24961</v>
      </c>
      <c r="AD63" s="182">
        <f>Diagrama!I8</f>
        <v>17952</v>
      </c>
      <c r="AE63" s="182">
        <f>Diagrama!J8</f>
        <v>1728</v>
      </c>
      <c r="AF63" s="182">
        <f>Diagrama!K8</f>
        <v>1296</v>
      </c>
      <c r="AG63" s="182">
        <f>Diagrama!L8</f>
        <v>0</v>
      </c>
      <c r="AH63" s="180">
        <v>0.75</v>
      </c>
    </row>
    <row r="64" spans="17:34" x14ac:dyDescent="0.2">
      <c r="S64" s="179" t="s">
        <v>16</v>
      </c>
      <c r="T64" s="181">
        <v>468</v>
      </c>
      <c r="U64" s="181">
        <v>468</v>
      </c>
      <c r="V64" s="181">
        <v>468</v>
      </c>
      <c r="W64" s="182">
        <f>Diagrama!B9</f>
        <v>16516</v>
      </c>
      <c r="X64" s="182">
        <f>Diagrama!C9</f>
        <v>12867</v>
      </c>
      <c r="Y64" s="182">
        <f>Diagrama!D9</f>
        <v>133336</v>
      </c>
      <c r="Z64" s="182">
        <f>Diagrama!E9</f>
        <v>7368</v>
      </c>
      <c r="AA64" s="182">
        <f>Diagrama!F9</f>
        <v>223010</v>
      </c>
      <c r="AB64" s="182">
        <f>Diagrama!G9</f>
        <v>170535</v>
      </c>
      <c r="AC64" s="182">
        <f>Diagrama!H9</f>
        <v>42466</v>
      </c>
      <c r="AD64" s="182">
        <f>Diagrama!I9</f>
        <v>35660</v>
      </c>
      <c r="AE64" s="182">
        <f>Diagrama!J9</f>
        <v>53030</v>
      </c>
      <c r="AF64" s="182">
        <f>Diagrama!K9</f>
        <v>4750</v>
      </c>
      <c r="AG64" s="182">
        <f>Diagrama!L9</f>
        <v>0</v>
      </c>
    </row>
    <row r="65" spans="18:33" x14ac:dyDescent="0.2">
      <c r="S65" s="179" t="s">
        <v>30</v>
      </c>
      <c r="T65" s="183">
        <v>3</v>
      </c>
      <c r="U65" s="184">
        <v>3</v>
      </c>
      <c r="V65" s="183">
        <v>3</v>
      </c>
      <c r="W65" s="185">
        <f>Diagrama!B20</f>
        <v>1.0820939526960625</v>
      </c>
      <c r="X65" s="185">
        <f>Diagrama!C20</f>
        <v>1.0258311408753886</v>
      </c>
      <c r="Y65" s="185">
        <f>Diagrama!D20</f>
        <v>61.644012944983814</v>
      </c>
      <c r="Z65" s="185">
        <f>Diagrama!E20</f>
        <v>3.3551912568306008</v>
      </c>
      <c r="AA65" s="185">
        <f>Diagrama!F20</f>
        <v>1.0253521903851106</v>
      </c>
      <c r="AB65" s="185">
        <f>Diagrama!G20</f>
        <v>4.1294767174371021</v>
      </c>
      <c r="AC65" s="185">
        <f>Diagrama!H20</f>
        <v>1.7012940186691237</v>
      </c>
      <c r="AD65" s="185">
        <f>Diagrama!I20</f>
        <v>1.9864081996434937</v>
      </c>
      <c r="AE65" s="185">
        <f>Diagrama!J20</f>
        <v>30.688657407407408</v>
      </c>
      <c r="AF65" s="185">
        <f>Diagrama!K20</f>
        <v>3.6651234567901234</v>
      </c>
      <c r="AG65" s="185" t="e">
        <f>Diagrama!L20</f>
        <v>#DIV/0!</v>
      </c>
    </row>
    <row r="66" spans="18:33" x14ac:dyDescent="0.2">
      <c r="S66" s="179" t="s">
        <v>31</v>
      </c>
      <c r="T66" s="183">
        <v>0.49999999999999989</v>
      </c>
      <c r="U66" s="184">
        <v>0.49999999999999989</v>
      </c>
      <c r="V66" s="183">
        <v>0.49999999999999989</v>
      </c>
      <c r="W66" s="185">
        <f>Diagrama!B21</f>
        <v>12.181165203511574</v>
      </c>
      <c r="X66" s="185">
        <f>Diagrama!C21</f>
        <v>38.712962962962891</v>
      </c>
      <c r="Y66" s="185">
        <f>Diagrama!D21</f>
        <v>1.6489673942046E-2</v>
      </c>
      <c r="Z66" s="185">
        <f>Diagrama!E21</f>
        <v>0.42459396751740142</v>
      </c>
      <c r="AA66" s="185">
        <f>Diagrama!F21</f>
        <v>39.444323540079772</v>
      </c>
      <c r="AB66" s="185">
        <f>Diagrama!G21</f>
        <v>0.31954223989848191</v>
      </c>
      <c r="AC66" s="185">
        <f>Diagrama!H21</f>
        <v>1.4259354470151389</v>
      </c>
      <c r="AD66" s="185">
        <f>Diagrama!I21</f>
        <v>1.0137790829003841</v>
      </c>
      <c r="AE66" s="185">
        <f>Diagrama!J21</f>
        <v>3.368289735292971E-2</v>
      </c>
      <c r="AF66" s="185">
        <f>Diagrama!K21</f>
        <v>0.37521713954834973</v>
      </c>
      <c r="AG66" s="185" t="e">
        <f>Diagrama!L21</f>
        <v>#DIV/0!</v>
      </c>
    </row>
    <row r="67" spans="18:33" x14ac:dyDescent="0.2">
      <c r="S67" s="179" t="s">
        <v>32</v>
      </c>
      <c r="T67" s="183">
        <v>2.0000000000000004</v>
      </c>
      <c r="U67" s="184">
        <v>2.0000000000000004</v>
      </c>
      <c r="V67" s="183">
        <v>2.0000000000000004</v>
      </c>
      <c r="W67" s="185">
        <f>Diagrama!B22</f>
        <v>12.373279352226721</v>
      </c>
      <c r="X67" s="185">
        <f>Diagrama!C22</f>
        <v>87.737931034482756</v>
      </c>
      <c r="Y67" s="185">
        <f>Diagrama!D22</f>
        <v>2.6640795836028165E-2</v>
      </c>
      <c r="Z67" s="185">
        <f>Diagrama!E22</f>
        <v>1.4666889856042851</v>
      </c>
      <c r="AA67" s="185">
        <f>Diagrama!F22</f>
        <v>41.101189352463656</v>
      </c>
      <c r="AB67" s="185">
        <f>Diagrama!G22</f>
        <v>0.33757137478822857</v>
      </c>
      <c r="AC67" s="185">
        <f>Diagrama!H22</f>
        <v>1.4365138562166504</v>
      </c>
      <c r="AD67" s="185">
        <f>Diagrama!I22</f>
        <v>198.21787709497207</v>
      </c>
      <c r="AE67" s="185">
        <f>Diagrama!J22</f>
        <v>11.69875478927203</v>
      </c>
      <c r="AF67" s="185">
        <f>Diagrama!K22</f>
        <v>1.7488425925925923</v>
      </c>
      <c r="AG67" s="185" t="e">
        <f>Diagrama!L22</f>
        <v>#DIV/0!</v>
      </c>
    </row>
    <row r="68" spans="18:33" x14ac:dyDescent="0.2">
      <c r="S68" s="179" t="s">
        <v>20</v>
      </c>
      <c r="T68" s="183">
        <v>1.4999999999999996</v>
      </c>
      <c r="U68" s="184">
        <v>1.4999999999999996</v>
      </c>
      <c r="V68" s="183">
        <v>1.4999999999999996</v>
      </c>
      <c r="W68" s="185">
        <f>Diagrama!B23</f>
        <v>8.7454095385095021E-2</v>
      </c>
      <c r="X68" s="185">
        <f>Diagrama!C23</f>
        <v>1.1691991465723263E-2</v>
      </c>
      <c r="Y68" s="185">
        <f>Diagrama!D23</f>
        <v>2313.8953252146625</v>
      </c>
      <c r="Z68" s="185">
        <f>Diagrama!E23</f>
        <v>2.2875955909958927</v>
      </c>
      <c r="AA68" s="185">
        <f>Diagrama!F23</f>
        <v>2.4947019941252618E-2</v>
      </c>
      <c r="AB68" s="185">
        <f>Diagrama!G23</f>
        <v>12.232899546140963</v>
      </c>
      <c r="AC68" s="185">
        <f>Diagrama!H23</f>
        <v>1.1843213424685128</v>
      </c>
      <c r="AD68" s="185">
        <f>Diagrama!I23</f>
        <v>1.0021337271671751E-2</v>
      </c>
      <c r="AE68" s="185">
        <f>Diagrama!J23</f>
        <v>2.6232413586059145</v>
      </c>
      <c r="AF68" s="185">
        <f>Diagrama!K23</f>
        <v>2.0957423339951471</v>
      </c>
      <c r="AG68" s="185" t="e">
        <f>Diagrama!L23</f>
        <v>#DIV/0!</v>
      </c>
    </row>
    <row r="69" spans="18:33" x14ac:dyDescent="0.2">
      <c r="S69" s="179" t="s">
        <v>12</v>
      </c>
      <c r="T69" s="186">
        <v>33.333333333333336</v>
      </c>
      <c r="U69" s="184">
        <v>33.333333333333336</v>
      </c>
      <c r="V69" s="186">
        <v>33.333333333333336</v>
      </c>
      <c r="W69" s="187">
        <f t="shared" ref="W69:AB69" si="0">100*W61/W64</f>
        <v>7.4775974812303225</v>
      </c>
      <c r="X69" s="187">
        <f t="shared" si="0"/>
        <v>1.1269138105230434</v>
      </c>
      <c r="Y69" s="187">
        <f t="shared" si="0"/>
        <v>97.405051898962014</v>
      </c>
      <c r="Z69" s="187">
        <f t="shared" si="0"/>
        <v>40.540173724212814</v>
      </c>
      <c r="AA69" s="187">
        <f t="shared" si="0"/>
        <v>2.375229810322407</v>
      </c>
      <c r="AB69" s="187">
        <f t="shared" si="0"/>
        <v>74.76236549681883</v>
      </c>
      <c r="AC69" s="187">
        <f>100*AC61/AC64</f>
        <v>41.042245561154807</v>
      </c>
      <c r="AD69" s="187">
        <f>100*AD61/AD64</f>
        <v>0.50196298373527759</v>
      </c>
      <c r="AE69" s="187">
        <f>100*AE61/AE64</f>
        <v>7.874787855930605</v>
      </c>
      <c r="AF69" s="187">
        <f>100*AF61/AF64</f>
        <v>36.378947368421052</v>
      </c>
      <c r="AG69" s="187" t="e">
        <f>100*AG61/AG64</f>
        <v>#DIV/0!</v>
      </c>
    </row>
    <row r="70" spans="18:33" x14ac:dyDescent="0.2">
      <c r="S70" s="179" t="s">
        <v>74</v>
      </c>
      <c r="T70" s="181">
        <v>0</v>
      </c>
      <c r="U70" s="181">
        <v>0</v>
      </c>
      <c r="V70" s="181">
        <v>0</v>
      </c>
    </row>
    <row r="71" spans="18:33" x14ac:dyDescent="0.2">
      <c r="S71" s="179" t="s">
        <v>75</v>
      </c>
    </row>
    <row r="72" spans="18:33" x14ac:dyDescent="0.2">
      <c r="R72" s="178" t="s">
        <v>89</v>
      </c>
      <c r="S72" s="179">
        <v>0</v>
      </c>
      <c r="T72" s="179" t="b">
        <v>0</v>
      </c>
      <c r="U72" s="179" t="b">
        <v>0</v>
      </c>
      <c r="V72" s="179" t="b">
        <v>0</v>
      </c>
      <c r="W72" s="179">
        <f>IF(T72,1,0)</f>
        <v>0</v>
      </c>
      <c r="X72" s="180"/>
      <c r="Y72" s="180"/>
    </row>
    <row r="73" spans="18:33" x14ac:dyDescent="0.2">
      <c r="T73" s="188"/>
    </row>
    <row r="74" spans="18:33" x14ac:dyDescent="0.2">
      <c r="T74" s="188"/>
    </row>
    <row r="75" spans="18:33" x14ac:dyDescent="0.2">
      <c r="T75" s="188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opLeftCell="A43" zoomScaleNormal="100" workbookViewId="0">
      <selection activeCell="B7" sqref="B7"/>
    </sheetView>
  </sheetViews>
  <sheetFormatPr defaultRowHeight="12" x14ac:dyDescent="0.2"/>
  <cols>
    <col min="1" max="1" width="4.5" style="208" bestFit="1" customWidth="1"/>
    <col min="2" max="2" width="9" style="207"/>
    <col min="3" max="3" width="3.875" style="208" customWidth="1"/>
    <col min="4" max="4" width="37.375" style="207" customWidth="1"/>
    <col min="5" max="5" width="16.625" style="207" customWidth="1"/>
    <col min="6" max="6" width="4.875" style="207" customWidth="1"/>
    <col min="7" max="7" width="15.625" style="207" customWidth="1"/>
    <col min="8" max="9" width="9.375" style="207" customWidth="1"/>
    <col min="10" max="10" width="9" style="207"/>
    <col min="11" max="11" width="3" style="207" customWidth="1"/>
    <col min="12" max="16384" width="9" style="207"/>
  </cols>
  <sheetData>
    <row r="1" spans="1:14" x14ac:dyDescent="0.2">
      <c r="A1" s="205" t="s">
        <v>10</v>
      </c>
      <c r="B1" s="206" t="s">
        <v>115</v>
      </c>
      <c r="C1" s="205"/>
      <c r="D1" s="206"/>
      <c r="E1" s="205" t="s">
        <v>116</v>
      </c>
      <c r="F1" s="205"/>
      <c r="G1" s="205" t="s">
        <v>117</v>
      </c>
      <c r="H1" s="205"/>
      <c r="I1" s="205"/>
      <c r="L1" s="208"/>
      <c r="N1" s="208"/>
    </row>
    <row r="2" spans="1:14" x14ac:dyDescent="0.2">
      <c r="A2" s="207">
        <v>1</v>
      </c>
      <c r="B2" s="207" t="s">
        <v>126</v>
      </c>
      <c r="C2" s="207"/>
      <c r="E2" s="207" t="s">
        <v>118</v>
      </c>
      <c r="G2" s="207">
        <v>1235</v>
      </c>
      <c r="H2" s="207" t="s">
        <v>12</v>
      </c>
      <c r="I2" s="207">
        <v>7.477597481230322E-2</v>
      </c>
    </row>
    <row r="3" spans="1:14" x14ac:dyDescent="0.2">
      <c r="A3" s="207">
        <v>1</v>
      </c>
      <c r="B3" s="207" t="s">
        <v>126</v>
      </c>
      <c r="C3" s="207"/>
      <c r="E3" s="207" t="s">
        <v>119</v>
      </c>
      <c r="G3" s="207">
        <v>18</v>
      </c>
      <c r="H3" s="207" t="s">
        <v>13</v>
      </c>
      <c r="I3" s="207">
        <v>1.0898522644708162E-3</v>
      </c>
    </row>
    <row r="4" spans="1:14" x14ac:dyDescent="0.2">
      <c r="A4" s="207">
        <v>1</v>
      </c>
      <c r="B4" s="207" t="s">
        <v>126</v>
      </c>
      <c r="C4" s="207"/>
      <c r="E4" s="207" t="s">
        <v>120</v>
      </c>
      <c r="G4" s="207">
        <v>15263</v>
      </c>
      <c r="H4" s="207" t="s">
        <v>14</v>
      </c>
      <c r="I4" s="207">
        <v>0.92413417292322597</v>
      </c>
    </row>
    <row r="5" spans="1:14" x14ac:dyDescent="0.2">
      <c r="A5" s="207"/>
      <c r="C5" s="207"/>
      <c r="E5" s="207" t="s">
        <v>125</v>
      </c>
      <c r="G5" s="207">
        <v>16516</v>
      </c>
      <c r="H5" s="207" t="s">
        <v>15</v>
      </c>
      <c r="I5" s="207">
        <v>1</v>
      </c>
    </row>
    <row r="6" spans="1:14" x14ac:dyDescent="0.2">
      <c r="A6" s="207"/>
      <c r="C6" s="207"/>
    </row>
    <row r="7" spans="1:14" x14ac:dyDescent="0.2">
      <c r="A7" s="207">
        <v>2</v>
      </c>
      <c r="B7" s="207" t="s">
        <v>127</v>
      </c>
      <c r="C7" s="207"/>
      <c r="E7" s="207" t="s">
        <v>118</v>
      </c>
      <c r="G7" s="207">
        <v>145</v>
      </c>
      <c r="H7" s="207" t="s">
        <v>12</v>
      </c>
      <c r="I7" s="207">
        <v>1.1269138105230435E-2</v>
      </c>
    </row>
    <row r="8" spans="1:14" x14ac:dyDescent="0.2">
      <c r="A8" s="207">
        <v>2</v>
      </c>
      <c r="B8" s="207" t="s">
        <v>127</v>
      </c>
      <c r="C8" s="207"/>
      <c r="E8" s="207" t="s">
        <v>119</v>
      </c>
      <c r="G8" s="207">
        <v>179</v>
      </c>
      <c r="H8" s="207" t="s">
        <v>13</v>
      </c>
      <c r="I8" s="207">
        <v>1.3911556695422399E-2</v>
      </c>
    </row>
    <row r="9" spans="1:14" x14ac:dyDescent="0.2">
      <c r="A9" s="207">
        <v>2</v>
      </c>
      <c r="B9" s="207" t="s">
        <v>127</v>
      </c>
      <c r="C9" s="207"/>
      <c r="E9" s="207" t="s">
        <v>120</v>
      </c>
      <c r="G9" s="207">
        <v>12543</v>
      </c>
      <c r="H9" s="207" t="s">
        <v>14</v>
      </c>
      <c r="I9" s="207">
        <v>0.97481930519934712</v>
      </c>
    </row>
    <row r="10" spans="1:14" x14ac:dyDescent="0.2">
      <c r="A10" s="207"/>
      <c r="C10" s="207"/>
      <c r="E10" s="207" t="s">
        <v>125</v>
      </c>
      <c r="G10" s="207">
        <v>12867</v>
      </c>
      <c r="H10" s="207" t="s">
        <v>15</v>
      </c>
      <c r="I10" s="207">
        <v>1</v>
      </c>
    </row>
    <row r="11" spans="1:14" x14ac:dyDescent="0.2">
      <c r="A11" s="207"/>
      <c r="C11" s="207"/>
    </row>
    <row r="12" spans="1:14" x14ac:dyDescent="0.2">
      <c r="A12" s="207">
        <v>3</v>
      </c>
      <c r="B12" s="207" t="s">
        <v>128</v>
      </c>
      <c r="C12" s="207"/>
      <c r="E12" s="207" t="s">
        <v>118</v>
      </c>
      <c r="G12" s="207">
        <v>129876</v>
      </c>
      <c r="H12" s="207" t="s">
        <v>12</v>
      </c>
      <c r="I12" s="207">
        <v>0.97405051898962025</v>
      </c>
    </row>
    <row r="13" spans="1:14" x14ac:dyDescent="0.2">
      <c r="A13" s="207">
        <v>3</v>
      </c>
      <c r="B13" s="207" t="s">
        <v>128</v>
      </c>
      <c r="C13" s="207"/>
      <c r="E13" s="207" t="s">
        <v>119</v>
      </c>
      <c r="G13" s="207">
        <v>1297</v>
      </c>
      <c r="H13" s="207" t="s">
        <v>13</v>
      </c>
      <c r="I13" s="207">
        <v>9.7273054538909217E-3</v>
      </c>
    </row>
    <row r="14" spans="1:14" x14ac:dyDescent="0.2">
      <c r="A14" s="207">
        <v>3</v>
      </c>
      <c r="B14" s="207" t="s">
        <v>128</v>
      </c>
      <c r="C14" s="207"/>
      <c r="E14" s="207" t="s">
        <v>120</v>
      </c>
      <c r="G14" s="207">
        <v>2163</v>
      </c>
      <c r="H14" s="207" t="s">
        <v>14</v>
      </c>
      <c r="I14" s="207">
        <v>1.6222175556488871E-2</v>
      </c>
    </row>
    <row r="15" spans="1:14" x14ac:dyDescent="0.2">
      <c r="A15" s="207"/>
      <c r="C15" s="207"/>
      <c r="E15" s="207" t="s">
        <v>125</v>
      </c>
      <c r="G15" s="207">
        <v>133336</v>
      </c>
      <c r="H15" s="207" t="s">
        <v>15</v>
      </c>
      <c r="I15" s="207">
        <v>1</v>
      </c>
    </row>
    <row r="16" spans="1:14" x14ac:dyDescent="0.2">
      <c r="A16" s="207"/>
      <c r="C16" s="207"/>
    </row>
    <row r="17" spans="1:9" x14ac:dyDescent="0.2">
      <c r="A17" s="207">
        <v>4</v>
      </c>
      <c r="B17" s="207" t="s">
        <v>129</v>
      </c>
      <c r="C17" s="207"/>
      <c r="E17" s="207" t="s">
        <v>118</v>
      </c>
      <c r="G17" s="207">
        <v>2987</v>
      </c>
      <c r="H17" s="207" t="s">
        <v>12</v>
      </c>
      <c r="I17" s="207">
        <v>0.40540173724212814</v>
      </c>
    </row>
    <row r="18" spans="1:9" x14ac:dyDescent="0.2">
      <c r="A18" s="207">
        <v>4</v>
      </c>
      <c r="B18" s="207" t="s">
        <v>129</v>
      </c>
      <c r="C18" s="207"/>
      <c r="E18" s="207" t="s">
        <v>119</v>
      </c>
      <c r="G18" s="207">
        <v>2185</v>
      </c>
      <c r="H18" s="207" t="s">
        <v>13</v>
      </c>
      <c r="I18" s="207">
        <v>0.29655266015200871</v>
      </c>
    </row>
    <row r="19" spans="1:9" x14ac:dyDescent="0.2">
      <c r="A19" s="207">
        <v>4</v>
      </c>
      <c r="B19" s="207" t="s">
        <v>129</v>
      </c>
      <c r="C19" s="207"/>
      <c r="E19" s="207" t="s">
        <v>120</v>
      </c>
      <c r="G19" s="207">
        <v>2196</v>
      </c>
      <c r="H19" s="207" t="s">
        <v>14</v>
      </c>
      <c r="I19" s="207">
        <v>0.29804560260586321</v>
      </c>
    </row>
    <row r="20" spans="1:9" x14ac:dyDescent="0.2">
      <c r="A20" s="207"/>
      <c r="C20" s="207"/>
      <c r="E20" s="207" t="s">
        <v>125</v>
      </c>
      <c r="G20" s="207">
        <v>7368</v>
      </c>
      <c r="H20" s="207" t="s">
        <v>15</v>
      </c>
      <c r="I20" s="207">
        <v>1</v>
      </c>
    </row>
    <row r="21" spans="1:9" x14ac:dyDescent="0.2">
      <c r="A21" s="207"/>
      <c r="C21" s="207"/>
    </row>
    <row r="22" spans="1:9" x14ac:dyDescent="0.2">
      <c r="A22" s="207">
        <v>5</v>
      </c>
      <c r="B22" s="207" t="s">
        <v>130</v>
      </c>
      <c r="C22" s="207"/>
      <c r="E22" s="207" t="s">
        <v>118</v>
      </c>
      <c r="G22" s="207">
        <v>5297</v>
      </c>
      <c r="H22" s="207" t="s">
        <v>12</v>
      </c>
      <c r="I22" s="207">
        <v>2.375229810322407E-2</v>
      </c>
    </row>
    <row r="23" spans="1:9" x14ac:dyDescent="0.2">
      <c r="A23" s="207">
        <v>5</v>
      </c>
      <c r="B23" s="207" t="s">
        <v>130</v>
      </c>
      <c r="C23" s="207"/>
      <c r="E23" s="207" t="s">
        <v>119</v>
      </c>
      <c r="G23" s="207">
        <v>217</v>
      </c>
      <c r="H23" s="207" t="s">
        <v>13</v>
      </c>
      <c r="I23" s="207">
        <v>9.7305053585041031E-4</v>
      </c>
    </row>
    <row r="24" spans="1:9" x14ac:dyDescent="0.2">
      <c r="A24" s="207">
        <v>5</v>
      </c>
      <c r="B24" s="207" t="s">
        <v>130</v>
      </c>
      <c r="C24" s="207"/>
      <c r="E24" s="207" t="s">
        <v>120</v>
      </c>
      <c r="G24" s="207">
        <v>217496</v>
      </c>
      <c r="H24" s="207" t="s">
        <v>14</v>
      </c>
      <c r="I24" s="207">
        <v>0.9752746513609255</v>
      </c>
    </row>
    <row r="25" spans="1:9" x14ac:dyDescent="0.2">
      <c r="A25" s="207"/>
      <c r="C25" s="207"/>
      <c r="E25" s="207" t="s">
        <v>125</v>
      </c>
      <c r="G25" s="207">
        <v>223010</v>
      </c>
      <c r="H25" s="207" t="s">
        <v>15</v>
      </c>
      <c r="I25" s="207">
        <v>1</v>
      </c>
    </row>
    <row r="26" spans="1:9" x14ac:dyDescent="0.2">
      <c r="A26" s="207"/>
      <c r="C26" s="207"/>
    </row>
    <row r="27" spans="1:9" x14ac:dyDescent="0.2">
      <c r="A27" s="207">
        <v>6</v>
      </c>
      <c r="B27" s="207" t="s">
        <v>131</v>
      </c>
      <c r="C27" s="207"/>
      <c r="E27" s="207" t="s">
        <v>118</v>
      </c>
      <c r="G27" s="207">
        <v>127496</v>
      </c>
      <c r="H27" s="207" t="s">
        <v>12</v>
      </c>
      <c r="I27" s="207">
        <v>0.74762365496818839</v>
      </c>
    </row>
    <row r="28" spans="1:9" x14ac:dyDescent="0.2">
      <c r="A28" s="207">
        <v>6</v>
      </c>
      <c r="B28" s="207" t="s">
        <v>131</v>
      </c>
      <c r="C28" s="207"/>
      <c r="E28" s="207" t="s">
        <v>119</v>
      </c>
      <c r="G28" s="207">
        <v>1742</v>
      </c>
      <c r="H28" s="207" t="s">
        <v>13</v>
      </c>
      <c r="I28" s="207">
        <v>1.0214911894918931E-2</v>
      </c>
    </row>
    <row r="29" spans="1:9" x14ac:dyDescent="0.2">
      <c r="A29" s="207">
        <v>6</v>
      </c>
      <c r="B29" s="207" t="s">
        <v>131</v>
      </c>
      <c r="C29" s="207"/>
      <c r="E29" s="207" t="s">
        <v>120</v>
      </c>
      <c r="G29" s="207">
        <v>41297</v>
      </c>
      <c r="H29" s="207" t="s">
        <v>14</v>
      </c>
      <c r="I29" s="207">
        <v>0.24216143313689273</v>
      </c>
    </row>
    <row r="30" spans="1:9" x14ac:dyDescent="0.2">
      <c r="A30" s="207"/>
      <c r="C30" s="207"/>
      <c r="E30" s="207" t="s">
        <v>125</v>
      </c>
      <c r="G30" s="207">
        <v>170535</v>
      </c>
      <c r="H30" s="207" t="s">
        <v>15</v>
      </c>
      <c r="I30" s="207">
        <v>1</v>
      </c>
    </row>
    <row r="31" spans="1:9" x14ac:dyDescent="0.2">
      <c r="A31" s="207"/>
      <c r="C31" s="207"/>
    </row>
    <row r="32" spans="1:9" x14ac:dyDescent="0.2">
      <c r="A32" s="207">
        <v>7</v>
      </c>
      <c r="B32" s="207" t="s">
        <v>132</v>
      </c>
      <c r="C32" s="207"/>
      <c r="E32" s="207" t="s">
        <v>118</v>
      </c>
      <c r="G32" s="207">
        <v>17429</v>
      </c>
      <c r="H32" s="207" t="s">
        <v>12</v>
      </c>
      <c r="I32" s="207">
        <v>0.41042245561154805</v>
      </c>
    </row>
    <row r="33" spans="1:9" x14ac:dyDescent="0.2">
      <c r="A33" s="207">
        <v>7</v>
      </c>
      <c r="B33" s="207" t="s">
        <v>132</v>
      </c>
      <c r="C33" s="207"/>
      <c r="E33" s="207" t="s">
        <v>119</v>
      </c>
      <c r="G33" s="207">
        <v>76</v>
      </c>
      <c r="H33" s="207" t="s">
        <v>13</v>
      </c>
      <c r="I33" s="207">
        <v>1.7896670277398388E-3</v>
      </c>
    </row>
    <row r="34" spans="1:9" x14ac:dyDescent="0.2">
      <c r="A34" s="207">
        <v>7</v>
      </c>
      <c r="B34" s="207" t="s">
        <v>132</v>
      </c>
      <c r="C34" s="207"/>
      <c r="E34" s="207" t="s">
        <v>120</v>
      </c>
      <c r="G34" s="207">
        <v>24961</v>
      </c>
      <c r="H34" s="207" t="s">
        <v>14</v>
      </c>
      <c r="I34" s="207">
        <v>0.58778787736071214</v>
      </c>
    </row>
    <row r="35" spans="1:9" x14ac:dyDescent="0.2">
      <c r="A35" s="207"/>
      <c r="C35" s="207"/>
      <c r="E35" s="207" t="s">
        <v>125</v>
      </c>
      <c r="G35" s="207">
        <v>42466</v>
      </c>
      <c r="H35" s="207" t="s">
        <v>15</v>
      </c>
      <c r="I35" s="207">
        <v>1</v>
      </c>
    </row>
    <row r="36" spans="1:9" x14ac:dyDescent="0.2">
      <c r="A36" s="207"/>
      <c r="C36" s="207"/>
    </row>
    <row r="37" spans="1:9" x14ac:dyDescent="0.2">
      <c r="A37" s="207">
        <v>8</v>
      </c>
      <c r="B37" s="207" t="s">
        <v>133</v>
      </c>
      <c r="C37" s="207"/>
      <c r="E37" s="207" t="s">
        <v>118</v>
      </c>
      <c r="G37" s="207">
        <v>179</v>
      </c>
      <c r="H37" s="207" t="s">
        <v>12</v>
      </c>
      <c r="I37" s="207">
        <v>5.0196298373527759E-3</v>
      </c>
    </row>
    <row r="38" spans="1:9" x14ac:dyDescent="0.2">
      <c r="A38" s="207">
        <v>8</v>
      </c>
      <c r="B38" s="207" t="s">
        <v>133</v>
      </c>
      <c r="C38" s="207"/>
      <c r="E38" s="207" t="s">
        <v>119</v>
      </c>
      <c r="G38" s="207">
        <v>17529</v>
      </c>
      <c r="H38" s="207" t="s">
        <v>13</v>
      </c>
      <c r="I38" s="207">
        <v>0.49155916993830623</v>
      </c>
    </row>
    <row r="39" spans="1:9" x14ac:dyDescent="0.2">
      <c r="A39" s="207">
        <v>8</v>
      </c>
      <c r="B39" s="207" t="s">
        <v>133</v>
      </c>
      <c r="C39" s="207"/>
      <c r="E39" s="207" t="s">
        <v>120</v>
      </c>
      <c r="G39" s="207">
        <v>17952</v>
      </c>
      <c r="H39" s="207" t="s">
        <v>14</v>
      </c>
      <c r="I39" s="207">
        <v>0.503421200224341</v>
      </c>
    </row>
    <row r="40" spans="1:9" x14ac:dyDescent="0.2">
      <c r="A40" s="207"/>
      <c r="C40" s="207"/>
      <c r="E40" s="207" t="s">
        <v>125</v>
      </c>
      <c r="G40" s="207">
        <v>35660</v>
      </c>
      <c r="H40" s="207" t="s">
        <v>15</v>
      </c>
      <c r="I40" s="207">
        <v>1</v>
      </c>
    </row>
    <row r="41" spans="1:9" x14ac:dyDescent="0.2">
      <c r="A41" s="207"/>
      <c r="C41" s="207"/>
    </row>
    <row r="42" spans="1:9" x14ac:dyDescent="0.2">
      <c r="A42" s="207">
        <v>9</v>
      </c>
      <c r="B42" s="207" t="s">
        <v>134</v>
      </c>
      <c r="C42" s="207"/>
      <c r="E42" s="207" t="s">
        <v>118</v>
      </c>
      <c r="G42" s="207">
        <v>4176</v>
      </c>
      <c r="H42" s="207" t="s">
        <v>12</v>
      </c>
      <c r="I42" s="207">
        <v>7.8747878559306053E-2</v>
      </c>
    </row>
    <row r="43" spans="1:9" x14ac:dyDescent="0.2">
      <c r="A43" s="207">
        <v>9</v>
      </c>
      <c r="B43" s="207" t="s">
        <v>134</v>
      </c>
      <c r="C43" s="207"/>
      <c r="E43" s="207" t="s">
        <v>119</v>
      </c>
      <c r="G43" s="207">
        <v>47126</v>
      </c>
      <c r="H43" s="207" t="s">
        <v>13</v>
      </c>
      <c r="I43" s="207">
        <v>0.88866679238167079</v>
      </c>
    </row>
    <row r="44" spans="1:9" x14ac:dyDescent="0.2">
      <c r="A44" s="207">
        <v>9</v>
      </c>
      <c r="B44" s="207" t="s">
        <v>134</v>
      </c>
      <c r="C44" s="207"/>
      <c r="E44" s="207" t="s">
        <v>120</v>
      </c>
      <c r="G44" s="207">
        <v>1728</v>
      </c>
      <c r="H44" s="207" t="s">
        <v>14</v>
      </c>
      <c r="I44" s="207">
        <v>3.2585329059023192E-2</v>
      </c>
    </row>
    <row r="45" spans="1:9" x14ac:dyDescent="0.2">
      <c r="A45" s="207"/>
      <c r="C45" s="207"/>
      <c r="E45" s="207" t="s">
        <v>125</v>
      </c>
      <c r="G45" s="207">
        <v>53030</v>
      </c>
      <c r="H45" s="207" t="s">
        <v>15</v>
      </c>
      <c r="I45" s="207">
        <v>1</v>
      </c>
    </row>
    <row r="46" spans="1:9" x14ac:dyDescent="0.2">
      <c r="A46" s="207"/>
      <c r="C46" s="207"/>
    </row>
    <row r="47" spans="1:9" x14ac:dyDescent="0.2">
      <c r="A47" s="207">
        <v>10</v>
      </c>
      <c r="B47" s="207" t="s">
        <v>135</v>
      </c>
      <c r="C47" s="207"/>
      <c r="E47" s="207" t="s">
        <v>118</v>
      </c>
      <c r="G47" s="207">
        <v>1728</v>
      </c>
      <c r="H47" s="207" t="s">
        <v>12</v>
      </c>
      <c r="I47" s="207">
        <v>0.36378947368421055</v>
      </c>
    </row>
    <row r="48" spans="1:9" x14ac:dyDescent="0.2">
      <c r="A48" s="207">
        <v>10</v>
      </c>
      <c r="B48" s="207" t="s">
        <v>135</v>
      </c>
      <c r="C48" s="207"/>
      <c r="E48" s="207" t="s">
        <v>119</v>
      </c>
      <c r="G48" s="207">
        <v>1726</v>
      </c>
      <c r="H48" s="207" t="s">
        <v>13</v>
      </c>
      <c r="I48" s="207">
        <v>0.36336842105263156</v>
      </c>
    </row>
    <row r="49" spans="1:9" x14ac:dyDescent="0.2">
      <c r="A49" s="207">
        <v>10</v>
      </c>
      <c r="B49" s="207" t="s">
        <v>135</v>
      </c>
      <c r="C49" s="207"/>
      <c r="E49" s="207" t="s">
        <v>120</v>
      </c>
      <c r="G49" s="207">
        <v>1296</v>
      </c>
      <c r="H49" s="207" t="s">
        <v>14</v>
      </c>
      <c r="I49" s="207">
        <v>0.27284210526315789</v>
      </c>
    </row>
    <row r="50" spans="1:9" x14ac:dyDescent="0.2">
      <c r="A50" s="207"/>
      <c r="C50" s="207"/>
      <c r="E50" s="207" t="s">
        <v>125</v>
      </c>
      <c r="G50" s="207">
        <v>4750</v>
      </c>
      <c r="H50" s="207" t="s">
        <v>15</v>
      </c>
      <c r="I50" s="207">
        <v>1</v>
      </c>
    </row>
    <row r="51" spans="1:9" x14ac:dyDescent="0.2">
      <c r="A51" s="207"/>
      <c r="C51" s="207"/>
    </row>
    <row r="52" spans="1:9" x14ac:dyDescent="0.2">
      <c r="A52" s="207">
        <v>11</v>
      </c>
      <c r="B52" s="207" t="s">
        <v>325</v>
      </c>
      <c r="C52" s="207"/>
      <c r="E52" s="207" t="s">
        <v>118</v>
      </c>
      <c r="G52" s="207">
        <v>156</v>
      </c>
      <c r="H52" s="207" t="s">
        <v>12</v>
      </c>
      <c r="I52" s="207">
        <v>0.33476394849785407</v>
      </c>
    </row>
    <row r="53" spans="1:9" x14ac:dyDescent="0.2">
      <c r="A53" s="207">
        <v>11</v>
      </c>
      <c r="B53" s="207" t="s">
        <v>325</v>
      </c>
      <c r="C53" s="207"/>
      <c r="E53" s="207" t="s">
        <v>119</v>
      </c>
      <c r="G53" s="207">
        <v>158</v>
      </c>
      <c r="H53" s="207" t="s">
        <v>13</v>
      </c>
      <c r="I53" s="207">
        <v>0.33905579399141633</v>
      </c>
    </row>
    <row r="54" spans="1:9" x14ac:dyDescent="0.2">
      <c r="A54" s="207">
        <v>11</v>
      </c>
      <c r="B54" s="207" t="s">
        <v>325</v>
      </c>
      <c r="C54" s="207"/>
      <c r="E54" s="207" t="s">
        <v>120</v>
      </c>
      <c r="G54" s="207">
        <v>152</v>
      </c>
      <c r="H54" s="207" t="s">
        <v>14</v>
      </c>
      <c r="I54" s="207">
        <v>0.3261802575107296</v>
      </c>
    </row>
    <row r="55" spans="1:9" x14ac:dyDescent="0.2">
      <c r="A55" s="207"/>
      <c r="C55" s="207"/>
      <c r="E55" s="207" t="s">
        <v>125</v>
      </c>
      <c r="G55" s="207">
        <v>466</v>
      </c>
      <c r="H55" s="207" t="s">
        <v>15</v>
      </c>
      <c r="I55" s="207">
        <v>1</v>
      </c>
    </row>
    <row r="56" spans="1:9" x14ac:dyDescent="0.2">
      <c r="A56" s="207"/>
      <c r="C56" s="207"/>
    </row>
    <row r="57" spans="1:9" x14ac:dyDescent="0.2">
      <c r="A57" s="207">
        <v>12</v>
      </c>
      <c r="B57" s="207" t="s">
        <v>326</v>
      </c>
      <c r="C57" s="207"/>
      <c r="E57" s="207" t="s">
        <v>118</v>
      </c>
      <c r="G57" s="207">
        <v>147</v>
      </c>
      <c r="H57" s="207" t="s">
        <v>12</v>
      </c>
      <c r="I57" s="207">
        <v>0.32096069868995636</v>
      </c>
    </row>
    <row r="58" spans="1:9" x14ac:dyDescent="0.2">
      <c r="A58" s="207">
        <v>12</v>
      </c>
      <c r="B58" s="207" t="s">
        <v>326</v>
      </c>
      <c r="C58" s="207"/>
      <c r="E58" s="207" t="s">
        <v>119</v>
      </c>
      <c r="G58" s="207">
        <v>169</v>
      </c>
      <c r="H58" s="207" t="s">
        <v>13</v>
      </c>
      <c r="I58" s="207">
        <v>0.36899563318777295</v>
      </c>
    </row>
    <row r="59" spans="1:9" x14ac:dyDescent="0.2">
      <c r="A59" s="207">
        <v>12</v>
      </c>
      <c r="B59" s="207" t="s">
        <v>326</v>
      </c>
      <c r="C59" s="207"/>
      <c r="E59" s="207" t="s">
        <v>120</v>
      </c>
      <c r="G59" s="207">
        <v>142</v>
      </c>
      <c r="H59" s="207" t="s">
        <v>14</v>
      </c>
      <c r="I59" s="207">
        <v>0.31004366812227074</v>
      </c>
    </row>
    <row r="60" spans="1:9" x14ac:dyDescent="0.2">
      <c r="A60" s="207"/>
      <c r="C60" s="207"/>
      <c r="E60" s="207" t="s">
        <v>125</v>
      </c>
      <c r="G60" s="207">
        <v>458</v>
      </c>
      <c r="H60" s="207" t="s">
        <v>15</v>
      </c>
      <c r="I60" s="207">
        <v>1</v>
      </c>
    </row>
    <row r="61" spans="1:9" x14ac:dyDescent="0.2">
      <c r="A61" s="207"/>
      <c r="C61" s="207"/>
    </row>
    <row r="62" spans="1:9" x14ac:dyDescent="0.2">
      <c r="A62" s="207">
        <v>13</v>
      </c>
      <c r="B62" s="207" t="s">
        <v>136</v>
      </c>
      <c r="C62" s="207"/>
      <c r="E62" s="207" t="s">
        <v>118</v>
      </c>
      <c r="G62" s="207">
        <v>37</v>
      </c>
      <c r="H62" s="207" t="s">
        <v>12</v>
      </c>
      <c r="I62" s="207">
        <v>0.32456140350877194</v>
      </c>
    </row>
    <row r="63" spans="1:9" x14ac:dyDescent="0.2">
      <c r="A63" s="207">
        <v>13</v>
      </c>
      <c r="B63" s="207" t="s">
        <v>136</v>
      </c>
      <c r="C63" s="207"/>
      <c r="E63" s="207" t="s">
        <v>119</v>
      </c>
      <c r="G63" s="207">
        <v>38</v>
      </c>
      <c r="H63" s="207" t="s">
        <v>13</v>
      </c>
      <c r="I63" s="207">
        <v>0.33333333333333331</v>
      </c>
    </row>
    <row r="64" spans="1:9" x14ac:dyDescent="0.2">
      <c r="A64" s="207">
        <v>13</v>
      </c>
      <c r="B64" s="207" t="s">
        <v>136</v>
      </c>
      <c r="C64" s="207"/>
      <c r="E64" s="207" t="s">
        <v>120</v>
      </c>
      <c r="G64" s="207">
        <v>39</v>
      </c>
      <c r="H64" s="207" t="s">
        <v>14</v>
      </c>
      <c r="I64" s="207">
        <v>0.34210526315789475</v>
      </c>
    </row>
    <row r="65" spans="1:9" x14ac:dyDescent="0.2">
      <c r="A65" s="207"/>
      <c r="C65" s="207"/>
      <c r="E65" s="207" t="s">
        <v>125</v>
      </c>
      <c r="G65" s="207">
        <v>114</v>
      </c>
      <c r="H65" s="207" t="s">
        <v>15</v>
      </c>
      <c r="I65" s="207">
        <v>1</v>
      </c>
    </row>
    <row r="66" spans="1:9" x14ac:dyDescent="0.2">
      <c r="A66" s="207"/>
      <c r="C66" s="207"/>
    </row>
    <row r="67" spans="1:9" x14ac:dyDescent="0.2">
      <c r="A67" s="207">
        <v>14</v>
      </c>
      <c r="B67" s="207" t="s">
        <v>137</v>
      </c>
      <c r="C67" s="207"/>
      <c r="E67" s="207" t="s">
        <v>118</v>
      </c>
      <c r="G67" s="207">
        <v>40</v>
      </c>
      <c r="H67" s="207" t="s">
        <v>12</v>
      </c>
      <c r="I67" s="207">
        <v>0.32520325203252032</v>
      </c>
    </row>
    <row r="68" spans="1:9" x14ac:dyDescent="0.2">
      <c r="A68" s="207">
        <v>14</v>
      </c>
      <c r="B68" s="207" t="s">
        <v>137</v>
      </c>
      <c r="C68" s="207"/>
      <c r="E68" s="207" t="s">
        <v>119</v>
      </c>
      <c r="G68" s="207">
        <v>41</v>
      </c>
      <c r="H68" s="207" t="s">
        <v>13</v>
      </c>
      <c r="I68" s="207">
        <v>0.33333333333333331</v>
      </c>
    </row>
    <row r="69" spans="1:9" x14ac:dyDescent="0.2">
      <c r="A69" s="207">
        <v>14</v>
      </c>
      <c r="B69" s="207" t="s">
        <v>137</v>
      </c>
      <c r="C69" s="207"/>
      <c r="E69" s="207" t="s">
        <v>120</v>
      </c>
      <c r="G69" s="207">
        <v>42</v>
      </c>
      <c r="H69" s="207" t="s">
        <v>14</v>
      </c>
      <c r="I69" s="207">
        <v>0.34146341463414637</v>
      </c>
    </row>
    <row r="70" spans="1:9" x14ac:dyDescent="0.2">
      <c r="A70" s="207"/>
      <c r="C70" s="207"/>
      <c r="E70" s="207" t="s">
        <v>125</v>
      </c>
      <c r="G70" s="207">
        <v>123</v>
      </c>
      <c r="H70" s="207" t="s">
        <v>15</v>
      </c>
      <c r="I70" s="207">
        <v>1</v>
      </c>
    </row>
    <row r="71" spans="1:9" x14ac:dyDescent="0.2">
      <c r="A71" s="207"/>
      <c r="C71" s="207"/>
    </row>
    <row r="72" spans="1:9" x14ac:dyDescent="0.2">
      <c r="A72" s="207">
        <v>15</v>
      </c>
      <c r="B72" s="207" t="s">
        <v>138</v>
      </c>
      <c r="C72" s="207"/>
      <c r="E72" s="207" t="s">
        <v>118</v>
      </c>
      <c r="G72" s="207">
        <v>43</v>
      </c>
      <c r="H72" s="207" t="s">
        <v>12</v>
      </c>
      <c r="I72" s="207">
        <v>0.32575757575757575</v>
      </c>
    </row>
    <row r="73" spans="1:9" x14ac:dyDescent="0.2">
      <c r="A73" s="207">
        <v>15</v>
      </c>
      <c r="B73" s="207" t="s">
        <v>138</v>
      </c>
      <c r="C73" s="207"/>
      <c r="E73" s="207" t="s">
        <v>119</v>
      </c>
      <c r="G73" s="207">
        <v>44</v>
      </c>
      <c r="H73" s="207" t="s">
        <v>13</v>
      </c>
      <c r="I73" s="207">
        <v>0.33333333333333331</v>
      </c>
    </row>
    <row r="74" spans="1:9" x14ac:dyDescent="0.2">
      <c r="A74" s="207">
        <v>15</v>
      </c>
      <c r="B74" s="207" t="s">
        <v>138</v>
      </c>
      <c r="C74" s="207"/>
      <c r="E74" s="207" t="s">
        <v>120</v>
      </c>
      <c r="G74" s="207">
        <v>45</v>
      </c>
      <c r="H74" s="207" t="s">
        <v>14</v>
      </c>
      <c r="I74" s="207">
        <v>0.34090909090909088</v>
      </c>
    </row>
    <row r="75" spans="1:9" x14ac:dyDescent="0.2">
      <c r="A75" s="207"/>
      <c r="C75" s="207"/>
      <c r="E75" s="207" t="s">
        <v>125</v>
      </c>
      <c r="G75" s="207">
        <v>132</v>
      </c>
      <c r="H75" s="207" t="s">
        <v>15</v>
      </c>
      <c r="I75" s="207">
        <v>1</v>
      </c>
    </row>
    <row r="76" spans="1:9" x14ac:dyDescent="0.2">
      <c r="A76" s="207"/>
      <c r="C76" s="207"/>
    </row>
    <row r="77" spans="1:9" ht="16.5" customHeight="1" x14ac:dyDescent="0.2">
      <c r="A77" s="207">
        <v>16</v>
      </c>
      <c r="B77" s="207" t="s">
        <v>139</v>
      </c>
      <c r="C77" s="207"/>
      <c r="E77" s="207" t="s">
        <v>118</v>
      </c>
      <c r="G77" s="207">
        <v>46</v>
      </c>
      <c r="H77" s="207" t="s">
        <v>12</v>
      </c>
      <c r="I77" s="207">
        <v>0.32624113475177308</v>
      </c>
    </row>
    <row r="78" spans="1:9" x14ac:dyDescent="0.2">
      <c r="A78" s="207">
        <v>16</v>
      </c>
      <c r="B78" s="207" t="s">
        <v>139</v>
      </c>
      <c r="C78" s="207"/>
      <c r="E78" s="207" t="s">
        <v>119</v>
      </c>
      <c r="G78" s="207">
        <v>47</v>
      </c>
      <c r="H78" s="207" t="s">
        <v>13</v>
      </c>
      <c r="I78" s="207">
        <v>0.33333333333333331</v>
      </c>
    </row>
    <row r="79" spans="1:9" x14ac:dyDescent="0.2">
      <c r="A79" s="207">
        <v>16</v>
      </c>
      <c r="B79" s="207" t="s">
        <v>139</v>
      </c>
      <c r="C79" s="207"/>
      <c r="E79" s="207" t="s">
        <v>120</v>
      </c>
      <c r="G79" s="207">
        <v>48</v>
      </c>
      <c r="H79" s="207" t="s">
        <v>14</v>
      </c>
      <c r="I79" s="207">
        <v>0.34042553191489361</v>
      </c>
    </row>
    <row r="80" spans="1:9" x14ac:dyDescent="0.2">
      <c r="A80" s="207"/>
      <c r="C80" s="207"/>
      <c r="E80" s="207" t="s">
        <v>125</v>
      </c>
      <c r="G80" s="207">
        <v>141</v>
      </c>
      <c r="H80" s="207" t="s">
        <v>15</v>
      </c>
      <c r="I80" s="207">
        <v>1</v>
      </c>
    </row>
    <row r="81" spans="1:9" x14ac:dyDescent="0.2">
      <c r="A81" s="207"/>
      <c r="C81" s="207"/>
    </row>
    <row r="82" spans="1:9" x14ac:dyDescent="0.2">
      <c r="A82" s="207">
        <v>17</v>
      </c>
      <c r="B82" s="207" t="s">
        <v>140</v>
      </c>
      <c r="C82" s="207"/>
      <c r="E82" s="207" t="s">
        <v>118</v>
      </c>
      <c r="G82" s="207">
        <v>49</v>
      </c>
      <c r="H82" s="207" t="s">
        <v>12</v>
      </c>
      <c r="I82" s="207">
        <v>0.32666666666666666</v>
      </c>
    </row>
    <row r="83" spans="1:9" x14ac:dyDescent="0.2">
      <c r="A83" s="207">
        <v>17</v>
      </c>
      <c r="B83" s="207" t="s">
        <v>140</v>
      </c>
      <c r="C83" s="207"/>
      <c r="E83" s="207" t="s">
        <v>119</v>
      </c>
      <c r="G83" s="207">
        <v>50</v>
      </c>
      <c r="H83" s="207" t="s">
        <v>13</v>
      </c>
      <c r="I83" s="207">
        <v>0.33333333333333331</v>
      </c>
    </row>
    <row r="84" spans="1:9" x14ac:dyDescent="0.2">
      <c r="A84" s="207">
        <v>17</v>
      </c>
      <c r="B84" s="207" t="s">
        <v>140</v>
      </c>
      <c r="C84" s="207"/>
      <c r="E84" s="207" t="s">
        <v>120</v>
      </c>
      <c r="G84" s="207">
        <v>51</v>
      </c>
      <c r="H84" s="207" t="s">
        <v>14</v>
      </c>
      <c r="I84" s="207">
        <v>0.34</v>
      </c>
    </row>
    <row r="85" spans="1:9" x14ac:dyDescent="0.2">
      <c r="A85" s="207"/>
      <c r="C85" s="207"/>
      <c r="E85" s="207" t="s">
        <v>125</v>
      </c>
      <c r="G85" s="207">
        <v>150</v>
      </c>
      <c r="H85" s="207" t="s">
        <v>15</v>
      </c>
      <c r="I85" s="207">
        <v>1</v>
      </c>
    </row>
    <row r="86" spans="1:9" x14ac:dyDescent="0.2">
      <c r="A86" s="207"/>
      <c r="C86" s="207"/>
    </row>
    <row r="87" spans="1:9" x14ac:dyDescent="0.2">
      <c r="A87" s="207">
        <v>18</v>
      </c>
      <c r="B87" s="207" t="s">
        <v>141</v>
      </c>
      <c r="C87" s="207"/>
      <c r="E87" s="207" t="s">
        <v>118</v>
      </c>
      <c r="G87" s="207">
        <v>52</v>
      </c>
      <c r="H87" s="207" t="s">
        <v>12</v>
      </c>
      <c r="I87" s="207">
        <v>0.32704402515723269</v>
      </c>
    </row>
    <row r="88" spans="1:9" x14ac:dyDescent="0.2">
      <c r="A88" s="207">
        <v>18</v>
      </c>
      <c r="B88" s="207" t="s">
        <v>141</v>
      </c>
      <c r="C88" s="207"/>
      <c r="E88" s="207" t="s">
        <v>119</v>
      </c>
      <c r="G88" s="207">
        <v>53</v>
      </c>
      <c r="H88" s="207" t="s">
        <v>13</v>
      </c>
      <c r="I88" s="207">
        <v>0.33333333333333331</v>
      </c>
    </row>
    <row r="89" spans="1:9" x14ac:dyDescent="0.2">
      <c r="A89" s="207">
        <v>18</v>
      </c>
      <c r="B89" s="207" t="s">
        <v>141</v>
      </c>
      <c r="C89" s="207"/>
      <c r="E89" s="207" t="s">
        <v>120</v>
      </c>
      <c r="G89" s="207">
        <v>54</v>
      </c>
      <c r="H89" s="207" t="s">
        <v>14</v>
      </c>
      <c r="I89" s="207">
        <v>0.33962264150943394</v>
      </c>
    </row>
    <row r="90" spans="1:9" x14ac:dyDescent="0.2">
      <c r="A90" s="207"/>
      <c r="C90" s="207"/>
      <c r="E90" s="207" t="s">
        <v>125</v>
      </c>
      <c r="G90" s="207">
        <v>159</v>
      </c>
      <c r="H90" s="207" t="s">
        <v>15</v>
      </c>
      <c r="I90" s="207">
        <v>1</v>
      </c>
    </row>
    <row r="91" spans="1:9" x14ac:dyDescent="0.2">
      <c r="A91" s="207"/>
      <c r="C91" s="207"/>
    </row>
    <row r="92" spans="1:9" x14ac:dyDescent="0.2">
      <c r="A92" s="207">
        <v>19</v>
      </c>
      <c r="B92" s="207" t="s">
        <v>142</v>
      </c>
      <c r="C92" s="207"/>
      <c r="E92" s="207" t="s">
        <v>118</v>
      </c>
      <c r="G92" s="207">
        <v>55</v>
      </c>
      <c r="H92" s="207" t="s">
        <v>12</v>
      </c>
      <c r="I92" s="207">
        <v>0.32738095238095238</v>
      </c>
    </row>
    <row r="93" spans="1:9" x14ac:dyDescent="0.2">
      <c r="A93" s="207">
        <v>19</v>
      </c>
      <c r="B93" s="207" t="s">
        <v>142</v>
      </c>
      <c r="C93" s="207"/>
      <c r="E93" s="207" t="s">
        <v>119</v>
      </c>
      <c r="G93" s="207">
        <v>56</v>
      </c>
      <c r="H93" s="207" t="s">
        <v>13</v>
      </c>
      <c r="I93" s="207">
        <v>0.33333333333333331</v>
      </c>
    </row>
    <row r="94" spans="1:9" x14ac:dyDescent="0.2">
      <c r="A94" s="207">
        <v>19</v>
      </c>
      <c r="B94" s="207" t="s">
        <v>142</v>
      </c>
      <c r="C94" s="207"/>
      <c r="E94" s="207" t="s">
        <v>120</v>
      </c>
      <c r="G94" s="207">
        <v>57</v>
      </c>
      <c r="H94" s="207" t="s">
        <v>14</v>
      </c>
      <c r="I94" s="207">
        <v>0.3392857142857143</v>
      </c>
    </row>
    <row r="95" spans="1:9" x14ac:dyDescent="0.2">
      <c r="A95" s="207"/>
      <c r="C95" s="207"/>
      <c r="E95" s="207" t="s">
        <v>125</v>
      </c>
      <c r="G95" s="207">
        <v>168</v>
      </c>
      <c r="H95" s="207" t="s">
        <v>15</v>
      </c>
      <c r="I95" s="207">
        <v>1</v>
      </c>
    </row>
    <row r="96" spans="1:9" x14ac:dyDescent="0.2">
      <c r="A96" s="207"/>
      <c r="C96" s="207"/>
    </row>
    <row r="97" spans="1:9" x14ac:dyDescent="0.2">
      <c r="A97" s="207">
        <v>20</v>
      </c>
      <c r="B97" s="207" t="s">
        <v>143</v>
      </c>
      <c r="C97" s="207"/>
      <c r="E97" s="207" t="s">
        <v>118</v>
      </c>
      <c r="G97" s="207">
        <v>58</v>
      </c>
      <c r="H97" s="207" t="s">
        <v>12</v>
      </c>
      <c r="I97" s="207">
        <v>0.32768361581920902</v>
      </c>
    </row>
    <row r="98" spans="1:9" x14ac:dyDescent="0.2">
      <c r="A98" s="207">
        <v>20</v>
      </c>
      <c r="B98" s="207" t="s">
        <v>143</v>
      </c>
      <c r="C98" s="207"/>
      <c r="E98" s="207" t="s">
        <v>119</v>
      </c>
      <c r="G98" s="207">
        <v>59</v>
      </c>
      <c r="H98" s="207" t="s">
        <v>13</v>
      </c>
      <c r="I98" s="207">
        <v>0.33333333333333331</v>
      </c>
    </row>
    <row r="99" spans="1:9" x14ac:dyDescent="0.2">
      <c r="A99" s="207">
        <v>20</v>
      </c>
      <c r="B99" s="207" t="s">
        <v>143</v>
      </c>
      <c r="C99" s="207"/>
      <c r="E99" s="207" t="s">
        <v>120</v>
      </c>
      <c r="G99" s="207">
        <v>60</v>
      </c>
      <c r="H99" s="207" t="s">
        <v>14</v>
      </c>
      <c r="I99" s="207">
        <v>0.33898305084745761</v>
      </c>
    </row>
    <row r="100" spans="1:9" x14ac:dyDescent="0.2">
      <c r="A100" s="207"/>
      <c r="C100" s="207"/>
      <c r="E100" s="207" t="s">
        <v>125</v>
      </c>
      <c r="G100" s="207">
        <v>177</v>
      </c>
      <c r="H100" s="207" t="s">
        <v>15</v>
      </c>
      <c r="I100" s="207">
        <v>1</v>
      </c>
    </row>
    <row r="101" spans="1:9" x14ac:dyDescent="0.2">
      <c r="A101" s="207"/>
      <c r="C101" s="207"/>
    </row>
    <row r="102" spans="1:9" x14ac:dyDescent="0.2">
      <c r="A102" s="207">
        <v>21</v>
      </c>
      <c r="B102" s="207" t="s">
        <v>144</v>
      </c>
      <c r="C102" s="207"/>
      <c r="E102" s="207" t="s">
        <v>118</v>
      </c>
      <c r="G102" s="207">
        <v>61</v>
      </c>
      <c r="H102" s="207" t="s">
        <v>12</v>
      </c>
      <c r="I102" s="207">
        <v>0.32795698924731181</v>
      </c>
    </row>
    <row r="103" spans="1:9" x14ac:dyDescent="0.2">
      <c r="A103" s="207">
        <v>21</v>
      </c>
      <c r="B103" s="207" t="s">
        <v>144</v>
      </c>
      <c r="C103" s="207"/>
      <c r="E103" s="207" t="s">
        <v>119</v>
      </c>
      <c r="G103" s="207">
        <v>62</v>
      </c>
      <c r="H103" s="207" t="s">
        <v>13</v>
      </c>
      <c r="I103" s="207">
        <v>0.33333333333333331</v>
      </c>
    </row>
    <row r="104" spans="1:9" x14ac:dyDescent="0.2">
      <c r="A104" s="207">
        <v>21</v>
      </c>
      <c r="B104" s="207" t="s">
        <v>144</v>
      </c>
      <c r="C104" s="207"/>
      <c r="E104" s="207" t="s">
        <v>120</v>
      </c>
      <c r="G104" s="207">
        <v>63</v>
      </c>
      <c r="H104" s="207" t="s">
        <v>14</v>
      </c>
      <c r="I104" s="207">
        <v>0.33870967741935482</v>
      </c>
    </row>
    <row r="105" spans="1:9" x14ac:dyDescent="0.2">
      <c r="A105" s="207"/>
      <c r="C105" s="207"/>
      <c r="E105" s="207" t="s">
        <v>125</v>
      </c>
      <c r="G105" s="207">
        <v>186</v>
      </c>
      <c r="H105" s="207" t="s">
        <v>15</v>
      </c>
      <c r="I105" s="207">
        <v>1</v>
      </c>
    </row>
    <row r="106" spans="1:9" x14ac:dyDescent="0.2">
      <c r="A106" s="207"/>
      <c r="C106" s="207"/>
    </row>
    <row r="107" spans="1:9" x14ac:dyDescent="0.2">
      <c r="A107" s="207">
        <v>22</v>
      </c>
      <c r="B107" s="207" t="s">
        <v>145</v>
      </c>
      <c r="C107" s="207"/>
      <c r="E107" s="207" t="s">
        <v>118</v>
      </c>
      <c r="G107" s="207">
        <v>64</v>
      </c>
      <c r="H107" s="207" t="s">
        <v>12</v>
      </c>
      <c r="I107" s="207">
        <v>0.3282051282051282</v>
      </c>
    </row>
    <row r="108" spans="1:9" x14ac:dyDescent="0.2">
      <c r="A108" s="207">
        <v>22</v>
      </c>
      <c r="B108" s="207" t="s">
        <v>145</v>
      </c>
      <c r="C108" s="207"/>
      <c r="E108" s="207" t="s">
        <v>119</v>
      </c>
      <c r="G108" s="207">
        <v>65</v>
      </c>
      <c r="H108" s="207" t="s">
        <v>13</v>
      </c>
      <c r="I108" s="207">
        <v>0.33333333333333331</v>
      </c>
    </row>
    <row r="109" spans="1:9" x14ac:dyDescent="0.2">
      <c r="A109" s="207">
        <v>22</v>
      </c>
      <c r="B109" s="207" t="s">
        <v>145</v>
      </c>
      <c r="C109" s="207"/>
      <c r="E109" s="207" t="s">
        <v>120</v>
      </c>
      <c r="G109" s="207">
        <v>66</v>
      </c>
      <c r="H109" s="207" t="s">
        <v>14</v>
      </c>
      <c r="I109" s="207">
        <v>0.33846153846153848</v>
      </c>
    </row>
    <row r="110" spans="1:9" x14ac:dyDescent="0.2">
      <c r="A110" s="207"/>
      <c r="C110" s="207"/>
      <c r="E110" s="207" t="s">
        <v>125</v>
      </c>
      <c r="G110" s="207">
        <v>195</v>
      </c>
      <c r="H110" s="207" t="s">
        <v>15</v>
      </c>
      <c r="I110" s="207">
        <v>1</v>
      </c>
    </row>
    <row r="111" spans="1:9" x14ac:dyDescent="0.2">
      <c r="A111" s="207"/>
      <c r="C111" s="207"/>
    </row>
    <row r="112" spans="1:9" x14ac:dyDescent="0.2">
      <c r="A112" s="207">
        <v>23</v>
      </c>
      <c r="B112" s="207" t="s">
        <v>146</v>
      </c>
      <c r="C112" s="207"/>
      <c r="E112" s="207" t="s">
        <v>118</v>
      </c>
      <c r="G112" s="207">
        <v>67</v>
      </c>
      <c r="H112" s="207" t="s">
        <v>12</v>
      </c>
      <c r="I112" s="207">
        <v>0.32843137254901961</v>
      </c>
    </row>
    <row r="113" spans="1:9" x14ac:dyDescent="0.2">
      <c r="A113" s="207">
        <v>23</v>
      </c>
      <c r="B113" s="207" t="s">
        <v>146</v>
      </c>
      <c r="C113" s="207"/>
      <c r="E113" s="207" t="s">
        <v>119</v>
      </c>
      <c r="G113" s="207">
        <v>68</v>
      </c>
      <c r="H113" s="207" t="s">
        <v>13</v>
      </c>
      <c r="I113" s="207">
        <v>0.33333333333333331</v>
      </c>
    </row>
    <row r="114" spans="1:9" x14ac:dyDescent="0.2">
      <c r="A114" s="207">
        <v>23</v>
      </c>
      <c r="B114" s="207" t="s">
        <v>146</v>
      </c>
      <c r="C114" s="207"/>
      <c r="E114" s="207" t="s">
        <v>120</v>
      </c>
      <c r="G114" s="207">
        <v>69</v>
      </c>
      <c r="H114" s="207" t="s">
        <v>14</v>
      </c>
      <c r="I114" s="207">
        <v>0.33823529411764708</v>
      </c>
    </row>
    <row r="115" spans="1:9" x14ac:dyDescent="0.2">
      <c r="A115" s="207"/>
      <c r="C115" s="207"/>
      <c r="E115" s="207" t="s">
        <v>125</v>
      </c>
      <c r="G115" s="207">
        <v>204</v>
      </c>
      <c r="H115" s="207" t="s">
        <v>15</v>
      </c>
      <c r="I115" s="207">
        <v>1</v>
      </c>
    </row>
    <row r="116" spans="1:9" x14ac:dyDescent="0.2">
      <c r="A116" s="207"/>
      <c r="C116" s="207"/>
    </row>
    <row r="117" spans="1:9" x14ac:dyDescent="0.2">
      <c r="A117" s="207">
        <v>24</v>
      </c>
      <c r="B117" s="207" t="s">
        <v>147</v>
      </c>
      <c r="C117" s="207"/>
      <c r="E117" s="207" t="s">
        <v>118</v>
      </c>
      <c r="G117" s="207">
        <v>70</v>
      </c>
      <c r="H117" s="207" t="s">
        <v>12</v>
      </c>
      <c r="I117" s="207">
        <v>0.32863849765258218</v>
      </c>
    </row>
    <row r="118" spans="1:9" x14ac:dyDescent="0.2">
      <c r="A118" s="207">
        <v>24</v>
      </c>
      <c r="B118" s="207" t="s">
        <v>147</v>
      </c>
      <c r="C118" s="207"/>
      <c r="E118" s="207" t="s">
        <v>119</v>
      </c>
      <c r="G118" s="207">
        <v>71</v>
      </c>
      <c r="H118" s="207" t="s">
        <v>13</v>
      </c>
      <c r="I118" s="207">
        <v>0.33333333333333331</v>
      </c>
    </row>
    <row r="119" spans="1:9" x14ac:dyDescent="0.2">
      <c r="A119" s="207">
        <v>24</v>
      </c>
      <c r="B119" s="207" t="s">
        <v>147</v>
      </c>
      <c r="C119" s="207"/>
      <c r="E119" s="207" t="s">
        <v>120</v>
      </c>
      <c r="G119" s="207">
        <v>72</v>
      </c>
      <c r="H119" s="207" t="s">
        <v>14</v>
      </c>
      <c r="I119" s="207">
        <v>0.3380281690140845</v>
      </c>
    </row>
    <row r="120" spans="1:9" x14ac:dyDescent="0.2">
      <c r="A120" s="207"/>
      <c r="C120" s="207"/>
      <c r="E120" s="207" t="s">
        <v>125</v>
      </c>
      <c r="G120" s="207">
        <v>213</v>
      </c>
      <c r="H120" s="207" t="s">
        <v>15</v>
      </c>
      <c r="I120" s="207">
        <v>1</v>
      </c>
    </row>
    <row r="121" spans="1:9" x14ac:dyDescent="0.2">
      <c r="A121" s="207"/>
      <c r="C121" s="207"/>
    </row>
    <row r="122" spans="1:9" x14ac:dyDescent="0.2">
      <c r="A122" s="207">
        <v>25</v>
      </c>
      <c r="B122" s="207" t="s">
        <v>148</v>
      </c>
      <c r="C122" s="207"/>
      <c r="E122" s="207" t="s">
        <v>118</v>
      </c>
      <c r="G122" s="207">
        <v>73</v>
      </c>
      <c r="H122" s="207" t="s">
        <v>12</v>
      </c>
      <c r="I122" s="207">
        <v>0.32882882882882886</v>
      </c>
    </row>
    <row r="123" spans="1:9" x14ac:dyDescent="0.2">
      <c r="A123" s="207">
        <v>25</v>
      </c>
      <c r="B123" s="207" t="s">
        <v>148</v>
      </c>
      <c r="C123" s="207"/>
      <c r="E123" s="207" t="s">
        <v>119</v>
      </c>
      <c r="G123" s="207">
        <v>74</v>
      </c>
      <c r="H123" s="207" t="s">
        <v>13</v>
      </c>
      <c r="I123" s="207">
        <v>0.33333333333333331</v>
      </c>
    </row>
    <row r="124" spans="1:9" x14ac:dyDescent="0.2">
      <c r="A124" s="207">
        <v>25</v>
      </c>
      <c r="B124" s="207" t="s">
        <v>148</v>
      </c>
      <c r="C124" s="207"/>
      <c r="E124" s="207" t="s">
        <v>120</v>
      </c>
      <c r="G124" s="207">
        <v>75</v>
      </c>
      <c r="H124" s="207" t="s">
        <v>14</v>
      </c>
      <c r="I124" s="207">
        <v>0.33783783783783783</v>
      </c>
    </row>
    <row r="125" spans="1:9" x14ac:dyDescent="0.2">
      <c r="A125" s="207"/>
      <c r="C125" s="207"/>
      <c r="E125" s="207" t="s">
        <v>125</v>
      </c>
      <c r="G125" s="207">
        <v>222</v>
      </c>
      <c r="H125" s="207" t="s">
        <v>15</v>
      </c>
      <c r="I125" s="207">
        <v>1</v>
      </c>
    </row>
    <row r="126" spans="1:9" x14ac:dyDescent="0.2">
      <c r="A126" s="207"/>
      <c r="C126" s="207"/>
    </row>
    <row r="127" spans="1:9" x14ac:dyDescent="0.2">
      <c r="A127" s="207">
        <v>26</v>
      </c>
      <c r="B127" s="207" t="s">
        <v>149</v>
      </c>
      <c r="C127" s="207"/>
      <c r="E127" s="207" t="s">
        <v>118</v>
      </c>
      <c r="G127" s="207">
        <v>76</v>
      </c>
      <c r="H127" s="207" t="s">
        <v>12</v>
      </c>
      <c r="I127" s="207">
        <v>0.32900432900432902</v>
      </c>
    </row>
    <row r="128" spans="1:9" x14ac:dyDescent="0.2">
      <c r="A128" s="207">
        <v>26</v>
      </c>
      <c r="B128" s="207" t="s">
        <v>149</v>
      </c>
      <c r="C128" s="207"/>
      <c r="E128" s="207" t="s">
        <v>119</v>
      </c>
      <c r="G128" s="207">
        <v>77</v>
      </c>
      <c r="H128" s="207" t="s">
        <v>13</v>
      </c>
      <c r="I128" s="207">
        <v>0.33333333333333331</v>
      </c>
    </row>
    <row r="129" spans="1:9" x14ac:dyDescent="0.2">
      <c r="A129" s="207">
        <v>26</v>
      </c>
      <c r="B129" s="207" t="s">
        <v>149</v>
      </c>
      <c r="C129" s="207"/>
      <c r="E129" s="207" t="s">
        <v>120</v>
      </c>
      <c r="G129" s="207">
        <v>78</v>
      </c>
      <c r="H129" s="207" t="s">
        <v>14</v>
      </c>
      <c r="I129" s="207">
        <v>0.33766233766233766</v>
      </c>
    </row>
    <row r="130" spans="1:9" x14ac:dyDescent="0.2">
      <c r="A130" s="207"/>
      <c r="C130" s="207"/>
      <c r="E130" s="207" t="s">
        <v>125</v>
      </c>
      <c r="G130" s="207">
        <v>231</v>
      </c>
      <c r="H130" s="207" t="s">
        <v>15</v>
      </c>
      <c r="I130" s="207">
        <v>1</v>
      </c>
    </row>
    <row r="131" spans="1:9" x14ac:dyDescent="0.2">
      <c r="A131" s="207"/>
      <c r="C131" s="207"/>
    </row>
    <row r="132" spans="1:9" x14ac:dyDescent="0.2">
      <c r="A132" s="207">
        <v>27</v>
      </c>
      <c r="B132" s="207" t="s">
        <v>150</v>
      </c>
      <c r="C132" s="207"/>
      <c r="E132" s="207" t="s">
        <v>118</v>
      </c>
      <c r="G132" s="207">
        <v>79</v>
      </c>
      <c r="H132" s="207" t="s">
        <v>12</v>
      </c>
      <c r="I132" s="207">
        <v>0.32916666666666666</v>
      </c>
    </row>
    <row r="133" spans="1:9" x14ac:dyDescent="0.2">
      <c r="A133" s="207">
        <v>27</v>
      </c>
      <c r="B133" s="207" t="s">
        <v>150</v>
      </c>
      <c r="C133" s="207"/>
      <c r="E133" s="207" t="s">
        <v>119</v>
      </c>
      <c r="G133" s="207">
        <v>80</v>
      </c>
      <c r="H133" s="207" t="s">
        <v>13</v>
      </c>
      <c r="I133" s="207">
        <v>0.33333333333333331</v>
      </c>
    </row>
    <row r="134" spans="1:9" x14ac:dyDescent="0.2">
      <c r="A134" s="207">
        <v>27</v>
      </c>
      <c r="B134" s="207" t="s">
        <v>150</v>
      </c>
      <c r="C134" s="207"/>
      <c r="E134" s="207" t="s">
        <v>120</v>
      </c>
      <c r="G134" s="207">
        <v>81</v>
      </c>
      <c r="H134" s="207" t="s">
        <v>14</v>
      </c>
      <c r="I134" s="207">
        <v>0.33750000000000002</v>
      </c>
    </row>
    <row r="135" spans="1:9" x14ac:dyDescent="0.2">
      <c r="A135" s="207"/>
      <c r="C135" s="207"/>
      <c r="E135" s="207" t="s">
        <v>125</v>
      </c>
      <c r="G135" s="207">
        <v>240</v>
      </c>
      <c r="H135" s="207" t="s">
        <v>15</v>
      </c>
      <c r="I135" s="207">
        <v>1</v>
      </c>
    </row>
    <row r="136" spans="1:9" x14ac:dyDescent="0.2">
      <c r="A136" s="207"/>
      <c r="C136" s="207"/>
    </row>
    <row r="137" spans="1:9" x14ac:dyDescent="0.2">
      <c r="A137" s="207">
        <v>28</v>
      </c>
      <c r="B137" s="207" t="s">
        <v>151</v>
      </c>
      <c r="C137" s="207"/>
      <c r="E137" s="207" t="s">
        <v>118</v>
      </c>
      <c r="G137" s="207">
        <v>82</v>
      </c>
      <c r="H137" s="207" t="s">
        <v>12</v>
      </c>
      <c r="I137" s="207">
        <v>0.32931726907630521</v>
      </c>
    </row>
    <row r="138" spans="1:9" x14ac:dyDescent="0.2">
      <c r="A138" s="207">
        <v>28</v>
      </c>
      <c r="B138" s="207" t="s">
        <v>151</v>
      </c>
      <c r="C138" s="207"/>
      <c r="E138" s="207" t="s">
        <v>119</v>
      </c>
      <c r="G138" s="207">
        <v>83</v>
      </c>
      <c r="H138" s="207" t="s">
        <v>13</v>
      </c>
      <c r="I138" s="207">
        <v>0.33333333333333331</v>
      </c>
    </row>
    <row r="139" spans="1:9" x14ac:dyDescent="0.2">
      <c r="A139" s="207">
        <v>28</v>
      </c>
      <c r="B139" s="207" t="s">
        <v>151</v>
      </c>
      <c r="C139" s="207"/>
      <c r="E139" s="207" t="s">
        <v>120</v>
      </c>
      <c r="G139" s="207">
        <v>84</v>
      </c>
      <c r="H139" s="207" t="s">
        <v>14</v>
      </c>
      <c r="I139" s="207">
        <v>0.33734939759036142</v>
      </c>
    </row>
    <row r="140" spans="1:9" x14ac:dyDescent="0.2">
      <c r="A140" s="207"/>
      <c r="C140" s="207"/>
      <c r="E140" s="207" t="s">
        <v>125</v>
      </c>
      <c r="G140" s="207">
        <v>249</v>
      </c>
      <c r="H140" s="207" t="s">
        <v>15</v>
      </c>
      <c r="I140" s="207">
        <v>1</v>
      </c>
    </row>
    <row r="141" spans="1:9" x14ac:dyDescent="0.2">
      <c r="A141" s="207"/>
      <c r="C141" s="207"/>
    </row>
    <row r="142" spans="1:9" x14ac:dyDescent="0.2">
      <c r="A142" s="207">
        <v>29</v>
      </c>
      <c r="B142" s="207" t="s">
        <v>152</v>
      </c>
      <c r="C142" s="207"/>
      <c r="E142" s="207" t="s">
        <v>118</v>
      </c>
      <c r="G142" s="207">
        <v>85</v>
      </c>
      <c r="H142" s="207" t="s">
        <v>12</v>
      </c>
      <c r="I142" s="207">
        <v>0.32945736434108525</v>
      </c>
    </row>
    <row r="143" spans="1:9" x14ac:dyDescent="0.2">
      <c r="A143" s="207">
        <v>29</v>
      </c>
      <c r="B143" s="207" t="s">
        <v>152</v>
      </c>
      <c r="C143" s="207"/>
      <c r="E143" s="207" t="s">
        <v>119</v>
      </c>
      <c r="G143" s="207">
        <v>86</v>
      </c>
      <c r="H143" s="207" t="s">
        <v>13</v>
      </c>
      <c r="I143" s="207">
        <v>0.33333333333333331</v>
      </c>
    </row>
    <row r="144" spans="1:9" x14ac:dyDescent="0.2">
      <c r="A144" s="207">
        <v>29</v>
      </c>
      <c r="B144" s="207" t="s">
        <v>152</v>
      </c>
      <c r="C144" s="207"/>
      <c r="E144" s="207" t="s">
        <v>120</v>
      </c>
      <c r="G144" s="207">
        <v>87</v>
      </c>
      <c r="H144" s="207" t="s">
        <v>14</v>
      </c>
      <c r="I144" s="207">
        <v>0.33720930232558138</v>
      </c>
    </row>
    <row r="145" spans="1:9" x14ac:dyDescent="0.2">
      <c r="A145" s="207"/>
      <c r="C145" s="207"/>
      <c r="E145" s="207" t="s">
        <v>125</v>
      </c>
      <c r="G145" s="207">
        <v>258</v>
      </c>
      <c r="H145" s="207" t="s">
        <v>15</v>
      </c>
      <c r="I145" s="207">
        <v>1</v>
      </c>
    </row>
    <row r="146" spans="1:9" x14ac:dyDescent="0.2">
      <c r="A146" s="207"/>
      <c r="C146" s="207"/>
    </row>
    <row r="147" spans="1:9" x14ac:dyDescent="0.2">
      <c r="A147" s="207">
        <v>30</v>
      </c>
      <c r="B147" s="207" t="s">
        <v>153</v>
      </c>
      <c r="C147" s="207"/>
      <c r="E147" s="207" t="s">
        <v>118</v>
      </c>
      <c r="G147" s="207">
        <v>88</v>
      </c>
      <c r="H147" s="207" t="s">
        <v>12</v>
      </c>
      <c r="I147" s="207">
        <v>0.32958801498127338</v>
      </c>
    </row>
    <row r="148" spans="1:9" x14ac:dyDescent="0.2">
      <c r="A148" s="207">
        <v>30</v>
      </c>
      <c r="B148" s="207" t="s">
        <v>153</v>
      </c>
      <c r="C148" s="207"/>
      <c r="E148" s="207" t="s">
        <v>119</v>
      </c>
      <c r="G148" s="207">
        <v>89</v>
      </c>
      <c r="H148" s="207" t="s">
        <v>13</v>
      </c>
      <c r="I148" s="207">
        <v>0.33333333333333331</v>
      </c>
    </row>
    <row r="149" spans="1:9" x14ac:dyDescent="0.2">
      <c r="A149" s="207">
        <v>30</v>
      </c>
      <c r="B149" s="207" t="s">
        <v>153</v>
      </c>
      <c r="C149" s="207"/>
      <c r="E149" s="207" t="s">
        <v>120</v>
      </c>
      <c r="G149" s="207">
        <v>90</v>
      </c>
      <c r="H149" s="207" t="s">
        <v>14</v>
      </c>
      <c r="I149" s="207">
        <v>0.33707865168539325</v>
      </c>
    </row>
    <row r="150" spans="1:9" x14ac:dyDescent="0.2">
      <c r="A150" s="207"/>
      <c r="C150" s="207"/>
      <c r="E150" s="207" t="s">
        <v>125</v>
      </c>
      <c r="G150" s="207">
        <v>267</v>
      </c>
      <c r="H150" s="207" t="s">
        <v>15</v>
      </c>
      <c r="I150" s="207">
        <v>1</v>
      </c>
    </row>
    <row r="151" spans="1:9" x14ac:dyDescent="0.2">
      <c r="A151" s="207"/>
      <c r="C151" s="207"/>
    </row>
    <row r="152" spans="1:9" x14ac:dyDescent="0.2">
      <c r="A152" s="207">
        <v>31</v>
      </c>
      <c r="B152" s="207" t="s">
        <v>154</v>
      </c>
      <c r="C152" s="207"/>
      <c r="E152" s="207" t="s">
        <v>118</v>
      </c>
      <c r="G152" s="207">
        <v>91</v>
      </c>
      <c r="H152" s="207" t="s">
        <v>12</v>
      </c>
      <c r="I152" s="207">
        <v>0.32971014492753625</v>
      </c>
    </row>
    <row r="153" spans="1:9" x14ac:dyDescent="0.2">
      <c r="A153" s="207">
        <v>31</v>
      </c>
      <c r="B153" s="207" t="s">
        <v>154</v>
      </c>
      <c r="C153" s="207"/>
      <c r="E153" s="207" t="s">
        <v>119</v>
      </c>
      <c r="G153" s="207">
        <v>92</v>
      </c>
      <c r="H153" s="207" t="s">
        <v>13</v>
      </c>
      <c r="I153" s="207">
        <v>0.33333333333333331</v>
      </c>
    </row>
    <row r="154" spans="1:9" x14ac:dyDescent="0.2">
      <c r="A154" s="207">
        <v>31</v>
      </c>
      <c r="B154" s="207" t="s">
        <v>154</v>
      </c>
      <c r="C154" s="207"/>
      <c r="E154" s="207" t="s">
        <v>120</v>
      </c>
      <c r="G154" s="207">
        <v>93</v>
      </c>
      <c r="H154" s="207" t="s">
        <v>14</v>
      </c>
      <c r="I154" s="207">
        <v>0.33695652173913043</v>
      </c>
    </row>
    <row r="155" spans="1:9" x14ac:dyDescent="0.2">
      <c r="A155" s="207"/>
      <c r="C155" s="207"/>
      <c r="E155" s="207" t="s">
        <v>125</v>
      </c>
      <c r="G155" s="207">
        <v>276</v>
      </c>
      <c r="H155" s="207" t="s">
        <v>15</v>
      </c>
      <c r="I155" s="207">
        <v>1</v>
      </c>
    </row>
    <row r="156" spans="1:9" x14ac:dyDescent="0.2">
      <c r="A156" s="207"/>
      <c r="C156" s="207"/>
    </row>
    <row r="157" spans="1:9" x14ac:dyDescent="0.2">
      <c r="A157" s="207">
        <v>32</v>
      </c>
      <c r="B157" s="207" t="s">
        <v>155</v>
      </c>
      <c r="C157" s="207"/>
      <c r="E157" s="207" t="s">
        <v>118</v>
      </c>
      <c r="G157" s="207">
        <v>94</v>
      </c>
      <c r="H157" s="207" t="s">
        <v>12</v>
      </c>
      <c r="I157" s="207">
        <v>0.3298245614035088</v>
      </c>
    </row>
    <row r="158" spans="1:9" x14ac:dyDescent="0.2">
      <c r="A158" s="207">
        <v>32</v>
      </c>
      <c r="B158" s="207" t="s">
        <v>155</v>
      </c>
      <c r="C158" s="207"/>
      <c r="E158" s="207" t="s">
        <v>119</v>
      </c>
      <c r="G158" s="207">
        <v>95</v>
      </c>
      <c r="H158" s="207" t="s">
        <v>13</v>
      </c>
      <c r="I158" s="207">
        <v>0.33333333333333331</v>
      </c>
    </row>
    <row r="159" spans="1:9" x14ac:dyDescent="0.2">
      <c r="A159" s="207">
        <v>32</v>
      </c>
      <c r="B159" s="207" t="s">
        <v>155</v>
      </c>
      <c r="C159" s="207"/>
      <c r="E159" s="207" t="s">
        <v>120</v>
      </c>
      <c r="G159" s="207">
        <v>96</v>
      </c>
      <c r="H159" s="207" t="s">
        <v>14</v>
      </c>
      <c r="I159" s="207">
        <v>0.33684210526315789</v>
      </c>
    </row>
    <row r="160" spans="1:9" x14ac:dyDescent="0.2">
      <c r="A160" s="207"/>
      <c r="C160" s="207"/>
      <c r="E160" s="207" t="s">
        <v>125</v>
      </c>
      <c r="G160" s="207">
        <v>285</v>
      </c>
      <c r="H160" s="207" t="s">
        <v>15</v>
      </c>
      <c r="I160" s="207">
        <v>1</v>
      </c>
    </row>
    <row r="161" spans="1:9" x14ac:dyDescent="0.2">
      <c r="A161" s="207"/>
      <c r="C161" s="207"/>
    </row>
    <row r="162" spans="1:9" x14ac:dyDescent="0.2">
      <c r="A162" s="207">
        <v>33</v>
      </c>
      <c r="B162" s="207" t="s">
        <v>156</v>
      </c>
      <c r="C162" s="207"/>
      <c r="E162" s="207" t="s">
        <v>118</v>
      </c>
      <c r="G162" s="207">
        <v>97</v>
      </c>
      <c r="H162" s="207" t="s">
        <v>12</v>
      </c>
      <c r="I162" s="207">
        <v>0.32993197278911562</v>
      </c>
    </row>
    <row r="163" spans="1:9" x14ac:dyDescent="0.2">
      <c r="A163" s="207">
        <v>33</v>
      </c>
      <c r="B163" s="207" t="s">
        <v>156</v>
      </c>
      <c r="C163" s="207"/>
      <c r="E163" s="207" t="s">
        <v>119</v>
      </c>
      <c r="G163" s="207">
        <v>98</v>
      </c>
      <c r="H163" s="207" t="s">
        <v>13</v>
      </c>
      <c r="I163" s="207">
        <v>0.33333333333333331</v>
      </c>
    </row>
    <row r="164" spans="1:9" x14ac:dyDescent="0.2">
      <c r="A164" s="207">
        <v>33</v>
      </c>
      <c r="B164" s="207" t="s">
        <v>156</v>
      </c>
      <c r="C164" s="207"/>
      <c r="E164" s="207" t="s">
        <v>120</v>
      </c>
      <c r="G164" s="207">
        <v>99</v>
      </c>
      <c r="H164" s="207" t="s">
        <v>14</v>
      </c>
      <c r="I164" s="207">
        <v>0.33673469387755101</v>
      </c>
    </row>
    <row r="165" spans="1:9" x14ac:dyDescent="0.2">
      <c r="A165" s="207"/>
      <c r="C165" s="207"/>
      <c r="E165" s="207" t="s">
        <v>125</v>
      </c>
      <c r="G165" s="207">
        <v>294</v>
      </c>
      <c r="H165" s="207" t="s">
        <v>15</v>
      </c>
      <c r="I165" s="207">
        <v>1</v>
      </c>
    </row>
    <row r="166" spans="1:9" x14ac:dyDescent="0.2">
      <c r="A166" s="207"/>
      <c r="C166" s="207"/>
    </row>
    <row r="167" spans="1:9" x14ac:dyDescent="0.2">
      <c r="A167" s="207">
        <v>34</v>
      </c>
      <c r="B167" s="207" t="s">
        <v>157</v>
      </c>
      <c r="C167" s="207"/>
      <c r="E167" s="207" t="s">
        <v>118</v>
      </c>
      <c r="G167" s="207">
        <v>100</v>
      </c>
      <c r="H167" s="207" t="s">
        <v>12</v>
      </c>
      <c r="I167" s="207">
        <v>0.33003300330033003</v>
      </c>
    </row>
    <row r="168" spans="1:9" x14ac:dyDescent="0.2">
      <c r="A168" s="207">
        <v>34</v>
      </c>
      <c r="B168" s="207" t="s">
        <v>157</v>
      </c>
      <c r="C168" s="207"/>
      <c r="E168" s="207" t="s">
        <v>119</v>
      </c>
      <c r="G168" s="207">
        <v>101</v>
      </c>
      <c r="H168" s="207" t="s">
        <v>13</v>
      </c>
      <c r="I168" s="207">
        <v>0.33333333333333331</v>
      </c>
    </row>
    <row r="169" spans="1:9" x14ac:dyDescent="0.2">
      <c r="A169" s="207">
        <v>34</v>
      </c>
      <c r="B169" s="207" t="s">
        <v>157</v>
      </c>
      <c r="C169" s="207"/>
      <c r="E169" s="207" t="s">
        <v>120</v>
      </c>
      <c r="G169" s="207">
        <v>102</v>
      </c>
      <c r="H169" s="207" t="s">
        <v>14</v>
      </c>
      <c r="I169" s="207">
        <v>0.33663366336633666</v>
      </c>
    </row>
    <row r="170" spans="1:9" x14ac:dyDescent="0.2">
      <c r="A170" s="207"/>
      <c r="C170" s="207"/>
      <c r="E170" s="207" t="s">
        <v>125</v>
      </c>
      <c r="G170" s="207">
        <v>303</v>
      </c>
      <c r="H170" s="207" t="s">
        <v>15</v>
      </c>
      <c r="I170" s="207">
        <v>1</v>
      </c>
    </row>
    <row r="171" spans="1:9" x14ac:dyDescent="0.2">
      <c r="A171" s="207"/>
      <c r="C171" s="207"/>
    </row>
    <row r="172" spans="1:9" x14ac:dyDescent="0.2">
      <c r="A172" s="207">
        <v>35</v>
      </c>
      <c r="B172" s="207" t="s">
        <v>158</v>
      </c>
      <c r="C172" s="207"/>
      <c r="E172" s="207" t="s">
        <v>118</v>
      </c>
      <c r="G172" s="207">
        <v>103</v>
      </c>
      <c r="H172" s="207" t="s">
        <v>12</v>
      </c>
      <c r="I172" s="207">
        <v>0.33012820512820512</v>
      </c>
    </row>
    <row r="173" spans="1:9" x14ac:dyDescent="0.2">
      <c r="A173" s="207">
        <v>35</v>
      </c>
      <c r="B173" s="207" t="s">
        <v>158</v>
      </c>
      <c r="C173" s="207"/>
      <c r="E173" s="207" t="s">
        <v>119</v>
      </c>
      <c r="G173" s="207">
        <v>104</v>
      </c>
      <c r="H173" s="207" t="s">
        <v>13</v>
      </c>
      <c r="I173" s="207">
        <v>0.33333333333333331</v>
      </c>
    </row>
    <row r="174" spans="1:9" x14ac:dyDescent="0.2">
      <c r="A174" s="207">
        <v>35</v>
      </c>
      <c r="B174" s="207" t="s">
        <v>158</v>
      </c>
      <c r="C174" s="207"/>
      <c r="E174" s="207" t="s">
        <v>120</v>
      </c>
      <c r="G174" s="207">
        <v>105</v>
      </c>
      <c r="H174" s="207" t="s">
        <v>14</v>
      </c>
      <c r="I174" s="207">
        <v>0.33653846153846156</v>
      </c>
    </row>
    <row r="175" spans="1:9" x14ac:dyDescent="0.2">
      <c r="A175" s="207"/>
      <c r="C175" s="207"/>
      <c r="E175" s="207" t="s">
        <v>125</v>
      </c>
      <c r="G175" s="207">
        <v>312</v>
      </c>
      <c r="H175" s="207" t="s">
        <v>15</v>
      </c>
      <c r="I175" s="207">
        <v>1</v>
      </c>
    </row>
    <row r="176" spans="1:9" x14ac:dyDescent="0.2">
      <c r="A176" s="207"/>
      <c r="C176" s="207"/>
    </row>
    <row r="177" spans="1:9" x14ac:dyDescent="0.2">
      <c r="A177" s="207">
        <v>36</v>
      </c>
      <c r="B177" s="207" t="s">
        <v>159</v>
      </c>
      <c r="C177" s="207"/>
      <c r="E177" s="207" t="s">
        <v>118</v>
      </c>
      <c r="G177" s="207">
        <v>106</v>
      </c>
      <c r="H177" s="207" t="s">
        <v>12</v>
      </c>
      <c r="I177" s="207">
        <v>0.33021806853582553</v>
      </c>
    </row>
    <row r="178" spans="1:9" x14ac:dyDescent="0.2">
      <c r="A178" s="207">
        <v>36</v>
      </c>
      <c r="B178" s="207" t="s">
        <v>159</v>
      </c>
      <c r="C178" s="207"/>
      <c r="E178" s="207" t="s">
        <v>119</v>
      </c>
      <c r="G178" s="207">
        <v>107</v>
      </c>
      <c r="H178" s="207" t="s">
        <v>13</v>
      </c>
      <c r="I178" s="207">
        <v>0.33333333333333331</v>
      </c>
    </row>
    <row r="179" spans="1:9" x14ac:dyDescent="0.2">
      <c r="A179" s="207">
        <v>36</v>
      </c>
      <c r="B179" s="207" t="s">
        <v>159</v>
      </c>
      <c r="C179" s="207"/>
      <c r="E179" s="207" t="s">
        <v>120</v>
      </c>
      <c r="G179" s="207">
        <v>108</v>
      </c>
      <c r="H179" s="207" t="s">
        <v>14</v>
      </c>
      <c r="I179" s="207">
        <v>0.3364485981308411</v>
      </c>
    </row>
    <row r="180" spans="1:9" x14ac:dyDescent="0.2">
      <c r="A180" s="207"/>
      <c r="C180" s="207"/>
      <c r="E180" s="207" t="s">
        <v>125</v>
      </c>
      <c r="G180" s="207">
        <v>321</v>
      </c>
      <c r="H180" s="207" t="s">
        <v>15</v>
      </c>
      <c r="I180" s="207">
        <v>1</v>
      </c>
    </row>
    <row r="181" spans="1:9" x14ac:dyDescent="0.2">
      <c r="A181" s="207"/>
      <c r="C181" s="207"/>
    </row>
    <row r="182" spans="1:9" x14ac:dyDescent="0.2">
      <c r="A182" s="207">
        <v>37</v>
      </c>
      <c r="B182" s="207" t="s">
        <v>160</v>
      </c>
      <c r="C182" s="207"/>
      <c r="E182" s="207" t="s">
        <v>118</v>
      </c>
      <c r="G182" s="207">
        <v>109</v>
      </c>
      <c r="H182" s="207" t="s">
        <v>12</v>
      </c>
      <c r="I182" s="207">
        <v>0.33030303030303032</v>
      </c>
    </row>
    <row r="183" spans="1:9" x14ac:dyDescent="0.2">
      <c r="A183" s="207">
        <v>37</v>
      </c>
      <c r="B183" s="207" t="s">
        <v>160</v>
      </c>
      <c r="C183" s="207"/>
      <c r="E183" s="207" t="s">
        <v>119</v>
      </c>
      <c r="G183" s="207">
        <v>110</v>
      </c>
      <c r="H183" s="207" t="s">
        <v>13</v>
      </c>
      <c r="I183" s="207">
        <v>0.33333333333333331</v>
      </c>
    </row>
    <row r="184" spans="1:9" x14ac:dyDescent="0.2">
      <c r="A184" s="207">
        <v>37</v>
      </c>
      <c r="B184" s="207" t="s">
        <v>160</v>
      </c>
      <c r="C184" s="207"/>
      <c r="E184" s="207" t="s">
        <v>120</v>
      </c>
      <c r="G184" s="207">
        <v>111</v>
      </c>
      <c r="H184" s="207" t="s">
        <v>14</v>
      </c>
      <c r="I184" s="207">
        <v>0.33636363636363636</v>
      </c>
    </row>
    <row r="185" spans="1:9" x14ac:dyDescent="0.2">
      <c r="A185" s="207"/>
      <c r="C185" s="207"/>
      <c r="E185" s="207" t="s">
        <v>125</v>
      </c>
      <c r="G185" s="207">
        <v>330</v>
      </c>
      <c r="H185" s="207" t="s">
        <v>15</v>
      </c>
      <c r="I185" s="207">
        <v>1</v>
      </c>
    </row>
    <row r="186" spans="1:9" x14ac:dyDescent="0.2">
      <c r="A186" s="207"/>
      <c r="C186" s="207"/>
    </row>
    <row r="187" spans="1:9" x14ac:dyDescent="0.2">
      <c r="A187" s="207">
        <v>38</v>
      </c>
      <c r="B187" s="207" t="s">
        <v>161</v>
      </c>
      <c r="C187" s="207"/>
      <c r="E187" s="207" t="s">
        <v>118</v>
      </c>
      <c r="G187" s="207">
        <v>112</v>
      </c>
      <c r="H187" s="207" t="s">
        <v>12</v>
      </c>
      <c r="I187" s="207">
        <v>0.3303834808259587</v>
      </c>
    </row>
    <row r="188" spans="1:9" x14ac:dyDescent="0.2">
      <c r="A188" s="207">
        <v>38</v>
      </c>
      <c r="B188" s="207" t="s">
        <v>161</v>
      </c>
      <c r="C188" s="207"/>
      <c r="E188" s="207" t="s">
        <v>119</v>
      </c>
      <c r="G188" s="207">
        <v>113</v>
      </c>
      <c r="H188" s="207" t="s">
        <v>13</v>
      </c>
      <c r="I188" s="207">
        <v>0.33333333333333331</v>
      </c>
    </row>
    <row r="189" spans="1:9" x14ac:dyDescent="0.2">
      <c r="A189" s="207">
        <v>38</v>
      </c>
      <c r="B189" s="207" t="s">
        <v>161</v>
      </c>
      <c r="C189" s="207"/>
      <c r="E189" s="207" t="s">
        <v>120</v>
      </c>
      <c r="G189" s="207">
        <v>114</v>
      </c>
      <c r="H189" s="207" t="s">
        <v>14</v>
      </c>
      <c r="I189" s="207">
        <v>0.33628318584070799</v>
      </c>
    </row>
    <row r="190" spans="1:9" x14ac:dyDescent="0.2">
      <c r="A190" s="207"/>
      <c r="C190" s="207"/>
      <c r="E190" s="207" t="s">
        <v>125</v>
      </c>
      <c r="G190" s="207">
        <v>339</v>
      </c>
      <c r="H190" s="207" t="s">
        <v>15</v>
      </c>
      <c r="I190" s="207">
        <v>1</v>
      </c>
    </row>
    <row r="191" spans="1:9" x14ac:dyDescent="0.2">
      <c r="A191" s="207"/>
      <c r="C191" s="207"/>
    </row>
    <row r="192" spans="1:9" x14ac:dyDescent="0.2">
      <c r="A192" s="207">
        <v>39</v>
      </c>
      <c r="B192" s="207" t="s">
        <v>162</v>
      </c>
      <c r="C192" s="207"/>
      <c r="E192" s="207" t="s">
        <v>118</v>
      </c>
      <c r="G192" s="207">
        <v>115</v>
      </c>
      <c r="H192" s="207" t="s">
        <v>12</v>
      </c>
      <c r="I192" s="207">
        <v>0.33045977011494254</v>
      </c>
    </row>
    <row r="193" spans="1:9" x14ac:dyDescent="0.2">
      <c r="A193" s="207">
        <v>39</v>
      </c>
      <c r="B193" s="207" t="s">
        <v>162</v>
      </c>
      <c r="C193" s="207"/>
      <c r="E193" s="207" t="s">
        <v>119</v>
      </c>
      <c r="G193" s="207">
        <v>116</v>
      </c>
      <c r="H193" s="207" t="s">
        <v>13</v>
      </c>
      <c r="I193" s="207">
        <v>0.33333333333333331</v>
      </c>
    </row>
    <row r="194" spans="1:9" x14ac:dyDescent="0.2">
      <c r="A194" s="207">
        <v>39</v>
      </c>
      <c r="B194" s="207" t="s">
        <v>162</v>
      </c>
      <c r="C194" s="207"/>
      <c r="E194" s="207" t="s">
        <v>120</v>
      </c>
      <c r="G194" s="207">
        <v>117</v>
      </c>
      <c r="H194" s="207" t="s">
        <v>14</v>
      </c>
      <c r="I194" s="207">
        <v>0.33620689655172414</v>
      </c>
    </row>
    <row r="195" spans="1:9" x14ac:dyDescent="0.2">
      <c r="A195" s="207"/>
      <c r="C195" s="207"/>
      <c r="E195" s="207" t="s">
        <v>125</v>
      </c>
      <c r="G195" s="207">
        <v>348</v>
      </c>
      <c r="H195" s="207" t="s">
        <v>15</v>
      </c>
      <c r="I195" s="207">
        <v>1</v>
      </c>
    </row>
    <row r="196" spans="1:9" x14ac:dyDescent="0.2">
      <c r="A196" s="207"/>
      <c r="C196" s="207"/>
    </row>
    <row r="197" spans="1:9" x14ac:dyDescent="0.2">
      <c r="A197" s="207">
        <v>40</v>
      </c>
      <c r="B197" s="207" t="s">
        <v>163</v>
      </c>
      <c r="C197" s="207"/>
      <c r="E197" s="207" t="s">
        <v>118</v>
      </c>
      <c r="G197" s="207">
        <v>118</v>
      </c>
      <c r="H197" s="207" t="s">
        <v>12</v>
      </c>
      <c r="I197" s="207">
        <v>0.33053221288515405</v>
      </c>
    </row>
    <row r="198" spans="1:9" x14ac:dyDescent="0.2">
      <c r="A198" s="207">
        <v>40</v>
      </c>
      <c r="B198" s="207" t="s">
        <v>163</v>
      </c>
      <c r="C198" s="207"/>
      <c r="E198" s="207" t="s">
        <v>119</v>
      </c>
      <c r="G198" s="207">
        <v>119</v>
      </c>
      <c r="H198" s="207" t="s">
        <v>13</v>
      </c>
      <c r="I198" s="207">
        <v>0.33333333333333331</v>
      </c>
    </row>
    <row r="199" spans="1:9" x14ac:dyDescent="0.2">
      <c r="A199" s="207">
        <v>40</v>
      </c>
      <c r="B199" s="207" t="s">
        <v>163</v>
      </c>
      <c r="C199" s="207"/>
      <c r="E199" s="207" t="s">
        <v>120</v>
      </c>
      <c r="G199" s="207">
        <v>120</v>
      </c>
      <c r="H199" s="207" t="s">
        <v>14</v>
      </c>
      <c r="I199" s="207">
        <v>0.33613445378151263</v>
      </c>
    </row>
    <row r="200" spans="1:9" x14ac:dyDescent="0.2">
      <c r="A200" s="207"/>
      <c r="C200" s="207"/>
      <c r="E200" s="207" t="s">
        <v>125</v>
      </c>
      <c r="G200" s="207">
        <v>357</v>
      </c>
      <c r="H200" s="207" t="s">
        <v>15</v>
      </c>
      <c r="I200" s="207">
        <v>1</v>
      </c>
    </row>
    <row r="201" spans="1:9" x14ac:dyDescent="0.2">
      <c r="A201" s="207"/>
      <c r="C201" s="207"/>
    </row>
    <row r="202" spans="1:9" x14ac:dyDescent="0.2">
      <c r="A202" s="207">
        <v>41</v>
      </c>
      <c r="B202" s="207" t="s">
        <v>164</v>
      </c>
      <c r="C202" s="207"/>
      <c r="E202" s="207" t="s">
        <v>118</v>
      </c>
      <c r="G202" s="207">
        <v>121</v>
      </c>
      <c r="H202" s="207" t="s">
        <v>12</v>
      </c>
      <c r="I202" s="207">
        <v>0.33060109289617484</v>
      </c>
    </row>
    <row r="203" spans="1:9" x14ac:dyDescent="0.2">
      <c r="A203" s="207">
        <v>41</v>
      </c>
      <c r="B203" s="207" t="s">
        <v>164</v>
      </c>
      <c r="C203" s="207"/>
      <c r="E203" s="207" t="s">
        <v>119</v>
      </c>
      <c r="G203" s="207">
        <v>122</v>
      </c>
      <c r="H203" s="207" t="s">
        <v>13</v>
      </c>
      <c r="I203" s="207">
        <v>0.33333333333333331</v>
      </c>
    </row>
    <row r="204" spans="1:9" x14ac:dyDescent="0.2">
      <c r="A204" s="207">
        <v>41</v>
      </c>
      <c r="B204" s="207" t="s">
        <v>164</v>
      </c>
      <c r="C204" s="207"/>
      <c r="E204" s="207" t="s">
        <v>120</v>
      </c>
      <c r="G204" s="207">
        <v>123</v>
      </c>
      <c r="H204" s="207" t="s">
        <v>14</v>
      </c>
      <c r="I204" s="207">
        <v>0.33606557377049179</v>
      </c>
    </row>
    <row r="205" spans="1:9" x14ac:dyDescent="0.2">
      <c r="A205" s="207"/>
      <c r="C205" s="207"/>
      <c r="E205" s="207" t="s">
        <v>125</v>
      </c>
      <c r="G205" s="207">
        <v>366</v>
      </c>
      <c r="H205" s="207" t="s">
        <v>15</v>
      </c>
      <c r="I205" s="207">
        <v>1</v>
      </c>
    </row>
    <row r="206" spans="1:9" x14ac:dyDescent="0.2">
      <c r="A206" s="207"/>
      <c r="C206" s="207"/>
    </row>
    <row r="207" spans="1:9" x14ac:dyDescent="0.2">
      <c r="A207" s="207">
        <v>42</v>
      </c>
      <c r="B207" s="207" t="s">
        <v>165</v>
      </c>
      <c r="C207" s="207"/>
      <c r="E207" s="207" t="s">
        <v>118</v>
      </c>
      <c r="G207" s="207">
        <v>124</v>
      </c>
      <c r="H207" s="207" t="s">
        <v>12</v>
      </c>
      <c r="I207" s="207">
        <v>0.33066666666666666</v>
      </c>
    </row>
    <row r="208" spans="1:9" x14ac:dyDescent="0.2">
      <c r="A208" s="207">
        <v>42</v>
      </c>
      <c r="B208" s="207" t="s">
        <v>165</v>
      </c>
      <c r="C208" s="207"/>
      <c r="E208" s="207" t="s">
        <v>119</v>
      </c>
      <c r="G208" s="207">
        <v>125</v>
      </c>
      <c r="H208" s="207" t="s">
        <v>13</v>
      </c>
      <c r="I208" s="207">
        <v>0.33333333333333331</v>
      </c>
    </row>
    <row r="209" spans="1:9" x14ac:dyDescent="0.2">
      <c r="A209" s="207">
        <v>42</v>
      </c>
      <c r="B209" s="207" t="s">
        <v>165</v>
      </c>
      <c r="C209" s="207"/>
      <c r="E209" s="207" t="s">
        <v>120</v>
      </c>
      <c r="G209" s="207">
        <v>126</v>
      </c>
      <c r="H209" s="207" t="s">
        <v>14</v>
      </c>
      <c r="I209" s="207">
        <v>0.33600000000000002</v>
      </c>
    </row>
    <row r="210" spans="1:9" x14ac:dyDescent="0.2">
      <c r="A210" s="207"/>
      <c r="C210" s="207"/>
      <c r="E210" s="207" t="s">
        <v>125</v>
      </c>
      <c r="G210" s="207">
        <v>375</v>
      </c>
      <c r="H210" s="207" t="s">
        <v>15</v>
      </c>
      <c r="I210" s="207">
        <v>1</v>
      </c>
    </row>
    <row r="211" spans="1:9" x14ac:dyDescent="0.2">
      <c r="A211" s="207"/>
      <c r="C211" s="207"/>
    </row>
    <row r="212" spans="1:9" x14ac:dyDescent="0.2">
      <c r="A212" s="207">
        <v>43</v>
      </c>
      <c r="B212" s="207" t="s">
        <v>166</v>
      </c>
      <c r="C212" s="207"/>
      <c r="E212" s="207" t="s">
        <v>118</v>
      </c>
      <c r="G212" s="207">
        <v>127</v>
      </c>
      <c r="H212" s="207" t="s">
        <v>12</v>
      </c>
      <c r="I212" s="207">
        <v>0.33072916666666669</v>
      </c>
    </row>
    <row r="213" spans="1:9" x14ac:dyDescent="0.2">
      <c r="A213" s="207">
        <v>43</v>
      </c>
      <c r="B213" s="207" t="s">
        <v>166</v>
      </c>
      <c r="C213" s="207"/>
      <c r="E213" s="207" t="s">
        <v>119</v>
      </c>
      <c r="G213" s="207">
        <v>128</v>
      </c>
      <c r="H213" s="207" t="s">
        <v>13</v>
      </c>
      <c r="I213" s="207">
        <v>0.33333333333333331</v>
      </c>
    </row>
    <row r="214" spans="1:9" x14ac:dyDescent="0.2">
      <c r="A214" s="207">
        <v>43</v>
      </c>
      <c r="B214" s="207" t="s">
        <v>166</v>
      </c>
      <c r="C214" s="207"/>
      <c r="E214" s="207" t="s">
        <v>120</v>
      </c>
      <c r="G214" s="207">
        <v>129</v>
      </c>
      <c r="H214" s="207" t="s">
        <v>14</v>
      </c>
      <c r="I214" s="207">
        <v>0.3359375</v>
      </c>
    </row>
    <row r="215" spans="1:9" x14ac:dyDescent="0.2">
      <c r="A215" s="207"/>
      <c r="C215" s="207"/>
      <c r="E215" s="207" t="s">
        <v>125</v>
      </c>
      <c r="G215" s="207">
        <v>384</v>
      </c>
      <c r="H215" s="207" t="s">
        <v>15</v>
      </c>
      <c r="I215" s="207">
        <v>1</v>
      </c>
    </row>
    <row r="216" spans="1:9" x14ac:dyDescent="0.2">
      <c r="A216" s="207"/>
      <c r="C216" s="207"/>
    </row>
    <row r="217" spans="1:9" x14ac:dyDescent="0.2">
      <c r="A217" s="207">
        <v>44</v>
      </c>
      <c r="B217" s="207" t="s">
        <v>167</v>
      </c>
      <c r="C217" s="207"/>
      <c r="E217" s="207" t="s">
        <v>118</v>
      </c>
      <c r="G217" s="207">
        <v>130</v>
      </c>
      <c r="H217" s="207" t="s">
        <v>12</v>
      </c>
      <c r="I217" s="207">
        <v>0.33078880407124683</v>
      </c>
    </row>
    <row r="218" spans="1:9" x14ac:dyDescent="0.2">
      <c r="A218" s="207">
        <v>44</v>
      </c>
      <c r="B218" s="207" t="s">
        <v>167</v>
      </c>
      <c r="C218" s="207"/>
      <c r="E218" s="207" t="s">
        <v>119</v>
      </c>
      <c r="G218" s="207">
        <v>131</v>
      </c>
      <c r="H218" s="207" t="s">
        <v>13</v>
      </c>
      <c r="I218" s="207">
        <v>0.33333333333333331</v>
      </c>
    </row>
    <row r="219" spans="1:9" x14ac:dyDescent="0.2">
      <c r="A219" s="207">
        <v>44</v>
      </c>
      <c r="B219" s="207" t="s">
        <v>167</v>
      </c>
      <c r="C219" s="207"/>
      <c r="E219" s="207" t="s">
        <v>120</v>
      </c>
      <c r="G219" s="207">
        <v>132</v>
      </c>
      <c r="H219" s="207" t="s">
        <v>14</v>
      </c>
      <c r="I219" s="207">
        <v>0.33587786259541985</v>
      </c>
    </row>
    <row r="220" spans="1:9" x14ac:dyDescent="0.2">
      <c r="A220" s="207"/>
      <c r="C220" s="207"/>
      <c r="E220" s="207" t="s">
        <v>125</v>
      </c>
      <c r="G220" s="207">
        <v>393</v>
      </c>
      <c r="H220" s="207" t="s">
        <v>15</v>
      </c>
      <c r="I220" s="207">
        <v>1</v>
      </c>
    </row>
    <row r="221" spans="1:9" x14ac:dyDescent="0.2">
      <c r="A221" s="207"/>
      <c r="C221" s="207"/>
    </row>
    <row r="222" spans="1:9" x14ac:dyDescent="0.2">
      <c r="A222" s="207">
        <v>45</v>
      </c>
      <c r="B222" s="207" t="s">
        <v>168</v>
      </c>
      <c r="C222" s="207"/>
      <c r="E222" s="207" t="s">
        <v>118</v>
      </c>
      <c r="G222" s="207">
        <v>133</v>
      </c>
      <c r="H222" s="207" t="s">
        <v>12</v>
      </c>
      <c r="I222" s="207">
        <v>0.3308457711442786</v>
      </c>
    </row>
    <row r="223" spans="1:9" x14ac:dyDescent="0.2">
      <c r="A223" s="207">
        <v>45</v>
      </c>
      <c r="B223" s="207" t="s">
        <v>168</v>
      </c>
      <c r="C223" s="207"/>
      <c r="E223" s="207" t="s">
        <v>119</v>
      </c>
      <c r="G223" s="207">
        <v>134</v>
      </c>
      <c r="H223" s="207" t="s">
        <v>13</v>
      </c>
      <c r="I223" s="207">
        <v>0.33333333333333331</v>
      </c>
    </row>
    <row r="224" spans="1:9" x14ac:dyDescent="0.2">
      <c r="A224" s="207">
        <v>45</v>
      </c>
      <c r="B224" s="207" t="s">
        <v>168</v>
      </c>
      <c r="C224" s="207"/>
      <c r="E224" s="207" t="s">
        <v>120</v>
      </c>
      <c r="G224" s="207">
        <v>135</v>
      </c>
      <c r="H224" s="207" t="s">
        <v>14</v>
      </c>
      <c r="I224" s="207">
        <v>0.33582089552238809</v>
      </c>
    </row>
    <row r="225" spans="1:9" x14ac:dyDescent="0.2">
      <c r="A225" s="207"/>
      <c r="C225" s="207"/>
      <c r="E225" s="207" t="s">
        <v>125</v>
      </c>
      <c r="G225" s="207">
        <v>402</v>
      </c>
      <c r="H225" s="207" t="s">
        <v>15</v>
      </c>
      <c r="I225" s="207">
        <v>1</v>
      </c>
    </row>
    <row r="226" spans="1:9" x14ac:dyDescent="0.2">
      <c r="A226" s="207"/>
      <c r="C226" s="207"/>
    </row>
    <row r="227" spans="1:9" x14ac:dyDescent="0.2">
      <c r="A227" s="207">
        <v>46</v>
      </c>
      <c r="B227" s="207" t="s">
        <v>169</v>
      </c>
      <c r="C227" s="207"/>
      <c r="E227" s="207" t="s">
        <v>118</v>
      </c>
      <c r="G227" s="207">
        <v>136</v>
      </c>
      <c r="H227" s="207" t="s">
        <v>12</v>
      </c>
      <c r="I227" s="207">
        <v>0.33090024330900242</v>
      </c>
    </row>
    <row r="228" spans="1:9" x14ac:dyDescent="0.2">
      <c r="A228" s="207">
        <v>46</v>
      </c>
      <c r="B228" s="207" t="s">
        <v>169</v>
      </c>
      <c r="C228" s="207"/>
      <c r="E228" s="207" t="s">
        <v>119</v>
      </c>
      <c r="G228" s="207">
        <v>137</v>
      </c>
      <c r="H228" s="207" t="s">
        <v>13</v>
      </c>
      <c r="I228" s="207">
        <v>0.33333333333333331</v>
      </c>
    </row>
    <row r="229" spans="1:9" x14ac:dyDescent="0.2">
      <c r="A229" s="207">
        <v>46</v>
      </c>
      <c r="B229" s="207" t="s">
        <v>169</v>
      </c>
      <c r="C229" s="207"/>
      <c r="E229" s="207" t="s">
        <v>120</v>
      </c>
      <c r="G229" s="207">
        <v>138</v>
      </c>
      <c r="H229" s="207" t="s">
        <v>14</v>
      </c>
      <c r="I229" s="207">
        <v>0.33576642335766421</v>
      </c>
    </row>
    <row r="230" spans="1:9" x14ac:dyDescent="0.2">
      <c r="A230" s="207"/>
      <c r="C230" s="207"/>
      <c r="E230" s="207" t="s">
        <v>125</v>
      </c>
      <c r="G230" s="207">
        <v>411</v>
      </c>
      <c r="H230" s="207" t="s">
        <v>15</v>
      </c>
      <c r="I230" s="207">
        <v>1</v>
      </c>
    </row>
    <row r="231" spans="1:9" x14ac:dyDescent="0.2">
      <c r="A231" s="207"/>
      <c r="C231" s="207"/>
    </row>
    <row r="232" spans="1:9" x14ac:dyDescent="0.2">
      <c r="A232" s="207">
        <v>47</v>
      </c>
      <c r="B232" s="207" t="s">
        <v>170</v>
      </c>
      <c r="C232" s="207"/>
      <c r="E232" s="207" t="s">
        <v>118</v>
      </c>
      <c r="G232" s="207">
        <v>139</v>
      </c>
      <c r="H232" s="207" t="s">
        <v>12</v>
      </c>
      <c r="I232" s="207">
        <v>0.33095238095238094</v>
      </c>
    </row>
    <row r="233" spans="1:9" x14ac:dyDescent="0.2">
      <c r="A233" s="207">
        <v>47</v>
      </c>
      <c r="B233" s="207" t="s">
        <v>170</v>
      </c>
      <c r="C233" s="207"/>
      <c r="E233" s="207" t="s">
        <v>119</v>
      </c>
      <c r="G233" s="207">
        <v>140</v>
      </c>
      <c r="H233" s="207" t="s">
        <v>13</v>
      </c>
      <c r="I233" s="207">
        <v>0.33333333333333331</v>
      </c>
    </row>
    <row r="234" spans="1:9" x14ac:dyDescent="0.2">
      <c r="A234" s="207">
        <v>47</v>
      </c>
      <c r="B234" s="207" t="s">
        <v>170</v>
      </c>
      <c r="C234" s="207"/>
      <c r="E234" s="207" t="s">
        <v>120</v>
      </c>
      <c r="G234" s="207">
        <v>141</v>
      </c>
      <c r="H234" s="207" t="s">
        <v>14</v>
      </c>
      <c r="I234" s="207">
        <v>0.33571428571428569</v>
      </c>
    </row>
    <row r="235" spans="1:9" x14ac:dyDescent="0.2">
      <c r="A235" s="207"/>
      <c r="C235" s="207"/>
      <c r="E235" s="207" t="s">
        <v>125</v>
      </c>
      <c r="G235" s="207">
        <v>420</v>
      </c>
      <c r="H235" s="207" t="s">
        <v>15</v>
      </c>
      <c r="I235" s="207">
        <v>1</v>
      </c>
    </row>
    <row r="236" spans="1:9" x14ac:dyDescent="0.2">
      <c r="A236" s="207"/>
      <c r="C236" s="207"/>
    </row>
    <row r="237" spans="1:9" x14ac:dyDescent="0.2">
      <c r="A237" s="207">
        <v>48</v>
      </c>
      <c r="B237" s="207" t="s">
        <v>171</v>
      </c>
      <c r="C237" s="207"/>
      <c r="E237" s="207" t="s">
        <v>118</v>
      </c>
      <c r="G237" s="207">
        <v>142</v>
      </c>
      <c r="H237" s="207" t="s">
        <v>12</v>
      </c>
      <c r="I237" s="207">
        <v>0.33100233100233101</v>
      </c>
    </row>
    <row r="238" spans="1:9" x14ac:dyDescent="0.2">
      <c r="A238" s="207">
        <v>48</v>
      </c>
      <c r="B238" s="207" t="s">
        <v>171</v>
      </c>
      <c r="C238" s="207"/>
      <c r="E238" s="207" t="s">
        <v>119</v>
      </c>
      <c r="G238" s="207">
        <v>143</v>
      </c>
      <c r="H238" s="207" t="s">
        <v>13</v>
      </c>
      <c r="I238" s="207">
        <v>0.33333333333333331</v>
      </c>
    </row>
    <row r="239" spans="1:9" x14ac:dyDescent="0.2">
      <c r="A239" s="207">
        <v>48</v>
      </c>
      <c r="B239" s="207" t="s">
        <v>171</v>
      </c>
      <c r="C239" s="207"/>
      <c r="E239" s="207" t="s">
        <v>120</v>
      </c>
      <c r="G239" s="207">
        <v>144</v>
      </c>
      <c r="H239" s="207" t="s">
        <v>14</v>
      </c>
      <c r="I239" s="207">
        <v>0.33566433566433568</v>
      </c>
    </row>
    <row r="240" spans="1:9" x14ac:dyDescent="0.2">
      <c r="A240" s="207"/>
      <c r="C240" s="207"/>
      <c r="E240" s="207" t="s">
        <v>125</v>
      </c>
      <c r="G240" s="207">
        <v>429</v>
      </c>
      <c r="H240" s="207" t="s">
        <v>15</v>
      </c>
      <c r="I240" s="207">
        <v>1</v>
      </c>
    </row>
    <row r="241" spans="1:9" x14ac:dyDescent="0.2">
      <c r="A241" s="207"/>
      <c r="C241" s="207"/>
    </row>
    <row r="242" spans="1:9" x14ac:dyDescent="0.2">
      <c r="A242" s="207">
        <v>49</v>
      </c>
      <c r="B242" s="207" t="s">
        <v>172</v>
      </c>
      <c r="C242" s="207"/>
      <c r="E242" s="207" t="s">
        <v>118</v>
      </c>
      <c r="G242" s="207">
        <v>145</v>
      </c>
      <c r="H242" s="207" t="s">
        <v>12</v>
      </c>
      <c r="I242" s="207">
        <v>0.33105022831050229</v>
      </c>
    </row>
    <row r="243" spans="1:9" x14ac:dyDescent="0.2">
      <c r="A243" s="207">
        <v>49</v>
      </c>
      <c r="B243" s="207" t="s">
        <v>172</v>
      </c>
      <c r="C243" s="207"/>
      <c r="E243" s="207" t="s">
        <v>119</v>
      </c>
      <c r="G243" s="207">
        <v>146</v>
      </c>
      <c r="H243" s="207" t="s">
        <v>13</v>
      </c>
      <c r="I243" s="207">
        <v>0.33333333333333331</v>
      </c>
    </row>
    <row r="244" spans="1:9" x14ac:dyDescent="0.2">
      <c r="A244" s="207">
        <v>49</v>
      </c>
      <c r="B244" s="207" t="s">
        <v>172</v>
      </c>
      <c r="C244" s="207"/>
      <c r="E244" s="207" t="s">
        <v>120</v>
      </c>
      <c r="G244" s="207">
        <v>147</v>
      </c>
      <c r="H244" s="207" t="s">
        <v>14</v>
      </c>
      <c r="I244" s="207">
        <v>0.33561643835616439</v>
      </c>
    </row>
    <row r="245" spans="1:9" x14ac:dyDescent="0.2">
      <c r="A245" s="207"/>
      <c r="C245" s="207"/>
      <c r="E245" s="207" t="s">
        <v>125</v>
      </c>
      <c r="G245" s="207">
        <v>438</v>
      </c>
      <c r="H245" s="207" t="s">
        <v>15</v>
      </c>
      <c r="I245" s="207">
        <v>1</v>
      </c>
    </row>
    <row r="246" spans="1:9" x14ac:dyDescent="0.2">
      <c r="A246" s="207"/>
      <c r="C246" s="207"/>
    </row>
    <row r="247" spans="1:9" x14ac:dyDescent="0.2">
      <c r="A247" s="207">
        <v>50</v>
      </c>
      <c r="B247" s="207" t="s">
        <v>173</v>
      </c>
      <c r="C247" s="207"/>
      <c r="E247" s="207" t="s">
        <v>118</v>
      </c>
      <c r="G247" s="207">
        <v>148</v>
      </c>
      <c r="H247" s="207" t="s">
        <v>12</v>
      </c>
      <c r="I247" s="207">
        <v>0.33109619686800895</v>
      </c>
    </row>
    <row r="248" spans="1:9" x14ac:dyDescent="0.2">
      <c r="A248" s="207">
        <v>50</v>
      </c>
      <c r="B248" s="207" t="s">
        <v>173</v>
      </c>
      <c r="C248" s="207"/>
      <c r="E248" s="207" t="s">
        <v>119</v>
      </c>
      <c r="G248" s="207">
        <v>149</v>
      </c>
      <c r="H248" s="207" t="s">
        <v>13</v>
      </c>
      <c r="I248" s="207">
        <v>0.33333333333333331</v>
      </c>
    </row>
    <row r="249" spans="1:9" x14ac:dyDescent="0.2">
      <c r="A249" s="207">
        <v>50</v>
      </c>
      <c r="B249" s="207" t="s">
        <v>173</v>
      </c>
      <c r="C249" s="207"/>
      <c r="E249" s="207" t="s">
        <v>120</v>
      </c>
      <c r="G249" s="207">
        <v>150</v>
      </c>
      <c r="H249" s="207" t="s">
        <v>14</v>
      </c>
      <c r="I249" s="207">
        <v>0.33557046979865773</v>
      </c>
    </row>
    <row r="250" spans="1:9" x14ac:dyDescent="0.2">
      <c r="A250" s="207"/>
      <c r="C250" s="207"/>
      <c r="E250" s="207" t="s">
        <v>125</v>
      </c>
      <c r="G250" s="207">
        <v>447</v>
      </c>
      <c r="H250" s="207" t="s">
        <v>15</v>
      </c>
      <c r="I250" s="207">
        <v>1</v>
      </c>
    </row>
    <row r="251" spans="1:9" x14ac:dyDescent="0.2">
      <c r="A251" s="207"/>
      <c r="C251" s="207"/>
    </row>
    <row r="252" spans="1:9" x14ac:dyDescent="0.2">
      <c r="A252" s="207">
        <v>51</v>
      </c>
      <c r="B252" s="207" t="s">
        <v>174</v>
      </c>
      <c r="C252" s="207"/>
      <c r="E252" s="207" t="s">
        <v>118</v>
      </c>
      <c r="G252" s="207">
        <v>151</v>
      </c>
      <c r="H252" s="207" t="s">
        <v>12</v>
      </c>
      <c r="I252" s="207">
        <v>0.33114035087719296</v>
      </c>
    </row>
    <row r="253" spans="1:9" x14ac:dyDescent="0.2">
      <c r="A253" s="207">
        <v>51</v>
      </c>
      <c r="B253" s="207" t="s">
        <v>174</v>
      </c>
      <c r="C253" s="207"/>
      <c r="E253" s="207" t="s">
        <v>119</v>
      </c>
      <c r="G253" s="207">
        <v>152</v>
      </c>
      <c r="H253" s="207" t="s">
        <v>13</v>
      </c>
      <c r="I253" s="207">
        <v>0.33333333333333331</v>
      </c>
    </row>
    <row r="254" spans="1:9" x14ac:dyDescent="0.2">
      <c r="A254" s="207">
        <v>51</v>
      </c>
      <c r="B254" s="207" t="s">
        <v>174</v>
      </c>
      <c r="C254" s="207"/>
      <c r="E254" s="207" t="s">
        <v>120</v>
      </c>
      <c r="G254" s="207">
        <v>153</v>
      </c>
      <c r="H254" s="207" t="s">
        <v>14</v>
      </c>
      <c r="I254" s="207">
        <v>0.33552631578947367</v>
      </c>
    </row>
    <row r="255" spans="1:9" x14ac:dyDescent="0.2">
      <c r="A255" s="207"/>
      <c r="C255" s="207"/>
      <c r="E255" s="207" t="s">
        <v>125</v>
      </c>
      <c r="G255" s="207">
        <v>456</v>
      </c>
      <c r="H255" s="207" t="s">
        <v>15</v>
      </c>
      <c r="I255" s="207">
        <v>1</v>
      </c>
    </row>
    <row r="256" spans="1:9" x14ac:dyDescent="0.2">
      <c r="A256" s="207"/>
      <c r="C256" s="207"/>
    </row>
    <row r="257" spans="1:9" x14ac:dyDescent="0.2">
      <c r="A257" s="207">
        <v>52</v>
      </c>
      <c r="B257" s="207" t="s">
        <v>175</v>
      </c>
      <c r="C257" s="207"/>
      <c r="E257" s="207" t="s">
        <v>118</v>
      </c>
      <c r="G257" s="207">
        <v>154</v>
      </c>
      <c r="H257" s="207" t="s">
        <v>12</v>
      </c>
      <c r="I257" s="207">
        <v>0.33118279569892473</v>
      </c>
    </row>
    <row r="258" spans="1:9" x14ac:dyDescent="0.2">
      <c r="A258" s="207">
        <v>52</v>
      </c>
      <c r="B258" s="207" t="s">
        <v>175</v>
      </c>
      <c r="C258" s="207"/>
      <c r="E258" s="207" t="s">
        <v>119</v>
      </c>
      <c r="G258" s="207">
        <v>155</v>
      </c>
      <c r="H258" s="207" t="s">
        <v>13</v>
      </c>
      <c r="I258" s="207">
        <v>0.33333333333333331</v>
      </c>
    </row>
    <row r="259" spans="1:9" x14ac:dyDescent="0.2">
      <c r="A259" s="207">
        <v>52</v>
      </c>
      <c r="B259" s="207" t="s">
        <v>175</v>
      </c>
      <c r="C259" s="207"/>
      <c r="E259" s="207" t="s">
        <v>120</v>
      </c>
      <c r="G259" s="207">
        <v>156</v>
      </c>
      <c r="H259" s="207" t="s">
        <v>14</v>
      </c>
      <c r="I259" s="207">
        <v>0.33548387096774196</v>
      </c>
    </row>
    <row r="260" spans="1:9" x14ac:dyDescent="0.2">
      <c r="A260" s="207"/>
      <c r="C260" s="207"/>
      <c r="E260" s="207" t="s">
        <v>125</v>
      </c>
      <c r="G260" s="207">
        <v>465</v>
      </c>
      <c r="H260" s="207" t="s">
        <v>15</v>
      </c>
      <c r="I260" s="207">
        <v>1</v>
      </c>
    </row>
    <row r="261" spans="1:9" x14ac:dyDescent="0.2">
      <c r="A261" s="207"/>
      <c r="C261" s="207"/>
    </row>
    <row r="262" spans="1:9" x14ac:dyDescent="0.2">
      <c r="A262" s="207">
        <v>53</v>
      </c>
      <c r="B262" s="207" t="s">
        <v>176</v>
      </c>
      <c r="C262" s="207"/>
      <c r="E262" s="207" t="s">
        <v>118</v>
      </c>
      <c r="G262" s="207">
        <v>157</v>
      </c>
      <c r="H262" s="207" t="s">
        <v>12</v>
      </c>
      <c r="I262" s="207">
        <v>0.33122362869198313</v>
      </c>
    </row>
    <row r="263" spans="1:9" x14ac:dyDescent="0.2">
      <c r="A263" s="207">
        <v>53</v>
      </c>
      <c r="B263" s="207" t="s">
        <v>176</v>
      </c>
      <c r="C263" s="207"/>
      <c r="E263" s="207" t="s">
        <v>119</v>
      </c>
      <c r="G263" s="207">
        <v>158</v>
      </c>
      <c r="H263" s="207" t="s">
        <v>13</v>
      </c>
      <c r="I263" s="207">
        <v>0.33333333333333331</v>
      </c>
    </row>
    <row r="264" spans="1:9" x14ac:dyDescent="0.2">
      <c r="A264" s="207">
        <v>53</v>
      </c>
      <c r="B264" s="207" t="s">
        <v>176</v>
      </c>
      <c r="C264" s="207"/>
      <c r="E264" s="207" t="s">
        <v>120</v>
      </c>
      <c r="G264" s="207">
        <v>159</v>
      </c>
      <c r="H264" s="207" t="s">
        <v>14</v>
      </c>
      <c r="I264" s="207">
        <v>0.33544303797468356</v>
      </c>
    </row>
    <row r="265" spans="1:9" x14ac:dyDescent="0.2">
      <c r="A265" s="207"/>
      <c r="C265" s="207"/>
      <c r="E265" s="207" t="s">
        <v>125</v>
      </c>
      <c r="G265" s="207">
        <v>474</v>
      </c>
      <c r="H265" s="207" t="s">
        <v>15</v>
      </c>
      <c r="I265" s="207">
        <v>1</v>
      </c>
    </row>
    <row r="266" spans="1:9" x14ac:dyDescent="0.2">
      <c r="A266" s="207"/>
      <c r="C266" s="207"/>
    </row>
    <row r="267" spans="1:9" x14ac:dyDescent="0.2">
      <c r="A267" s="207">
        <v>54</v>
      </c>
      <c r="B267" s="207" t="s">
        <v>177</v>
      </c>
      <c r="C267" s="207"/>
      <c r="E267" s="207" t="s">
        <v>118</v>
      </c>
      <c r="G267" s="207">
        <v>160</v>
      </c>
      <c r="H267" s="207" t="s">
        <v>12</v>
      </c>
      <c r="I267" s="207">
        <v>0.33126293995859213</v>
      </c>
    </row>
    <row r="268" spans="1:9" x14ac:dyDescent="0.2">
      <c r="A268" s="207">
        <v>54</v>
      </c>
      <c r="B268" s="207" t="s">
        <v>177</v>
      </c>
      <c r="C268" s="207"/>
      <c r="E268" s="207" t="s">
        <v>119</v>
      </c>
      <c r="G268" s="207">
        <v>161</v>
      </c>
      <c r="H268" s="207" t="s">
        <v>13</v>
      </c>
      <c r="I268" s="207">
        <v>0.33333333333333331</v>
      </c>
    </row>
    <row r="269" spans="1:9" x14ac:dyDescent="0.2">
      <c r="A269" s="207">
        <v>54</v>
      </c>
      <c r="B269" s="207" t="s">
        <v>177</v>
      </c>
      <c r="C269" s="207"/>
      <c r="E269" s="207" t="s">
        <v>120</v>
      </c>
      <c r="G269" s="207">
        <v>162</v>
      </c>
      <c r="H269" s="207" t="s">
        <v>14</v>
      </c>
      <c r="I269" s="207">
        <v>0.33540372670807456</v>
      </c>
    </row>
    <row r="270" spans="1:9" x14ac:dyDescent="0.2">
      <c r="A270" s="207"/>
      <c r="C270" s="207"/>
      <c r="E270" s="207" t="s">
        <v>125</v>
      </c>
      <c r="G270" s="207">
        <v>483</v>
      </c>
      <c r="H270" s="207" t="s">
        <v>15</v>
      </c>
      <c r="I270" s="207">
        <v>1</v>
      </c>
    </row>
    <row r="271" spans="1:9" x14ac:dyDescent="0.2">
      <c r="A271" s="207"/>
      <c r="C271" s="207"/>
    </row>
    <row r="272" spans="1:9" x14ac:dyDescent="0.2">
      <c r="A272" s="207">
        <v>55</v>
      </c>
      <c r="B272" s="207" t="s">
        <v>178</v>
      </c>
      <c r="C272" s="207"/>
      <c r="E272" s="207" t="s">
        <v>118</v>
      </c>
      <c r="G272" s="207">
        <v>163</v>
      </c>
      <c r="H272" s="207" t="s">
        <v>12</v>
      </c>
      <c r="I272" s="207">
        <v>0.33130081300813008</v>
      </c>
    </row>
    <row r="273" spans="1:9" x14ac:dyDescent="0.2">
      <c r="A273" s="207">
        <v>55</v>
      </c>
      <c r="B273" s="207" t="s">
        <v>178</v>
      </c>
      <c r="C273" s="207"/>
      <c r="E273" s="207" t="s">
        <v>119</v>
      </c>
      <c r="G273" s="207">
        <v>164</v>
      </c>
      <c r="H273" s="207" t="s">
        <v>13</v>
      </c>
      <c r="I273" s="207">
        <v>0.33333333333333331</v>
      </c>
    </row>
    <row r="274" spans="1:9" x14ac:dyDescent="0.2">
      <c r="A274" s="207">
        <v>55</v>
      </c>
      <c r="B274" s="207" t="s">
        <v>178</v>
      </c>
      <c r="C274" s="207"/>
      <c r="E274" s="207" t="s">
        <v>120</v>
      </c>
      <c r="G274" s="207">
        <v>165</v>
      </c>
      <c r="H274" s="207" t="s">
        <v>14</v>
      </c>
      <c r="I274" s="207">
        <v>0.33536585365853661</v>
      </c>
    </row>
    <row r="275" spans="1:9" x14ac:dyDescent="0.2">
      <c r="A275" s="207"/>
      <c r="C275" s="207"/>
      <c r="E275" s="207" t="s">
        <v>125</v>
      </c>
      <c r="G275" s="207">
        <v>492</v>
      </c>
      <c r="H275" s="207" t="s">
        <v>15</v>
      </c>
      <c r="I275" s="207">
        <v>1</v>
      </c>
    </row>
    <row r="276" spans="1:9" x14ac:dyDescent="0.2">
      <c r="A276" s="207"/>
      <c r="C276" s="207"/>
    </row>
    <row r="277" spans="1:9" x14ac:dyDescent="0.2">
      <c r="A277" s="207">
        <v>56</v>
      </c>
      <c r="B277" s="207" t="s">
        <v>179</v>
      </c>
      <c r="C277" s="207"/>
      <c r="E277" s="207" t="s">
        <v>118</v>
      </c>
      <c r="G277" s="207">
        <v>166</v>
      </c>
      <c r="H277" s="207" t="s">
        <v>12</v>
      </c>
      <c r="I277" s="207">
        <v>0.33133732534930138</v>
      </c>
    </row>
    <row r="278" spans="1:9" x14ac:dyDescent="0.2">
      <c r="A278" s="207">
        <v>56</v>
      </c>
      <c r="B278" s="207" t="s">
        <v>179</v>
      </c>
      <c r="C278" s="207"/>
      <c r="E278" s="207" t="s">
        <v>119</v>
      </c>
      <c r="G278" s="207">
        <v>167</v>
      </c>
      <c r="H278" s="207" t="s">
        <v>13</v>
      </c>
      <c r="I278" s="207">
        <v>0.33333333333333331</v>
      </c>
    </row>
    <row r="279" spans="1:9" x14ac:dyDescent="0.2">
      <c r="A279" s="207">
        <v>56</v>
      </c>
      <c r="B279" s="207" t="s">
        <v>179</v>
      </c>
      <c r="C279" s="207"/>
      <c r="E279" s="207" t="s">
        <v>120</v>
      </c>
      <c r="G279" s="207">
        <v>168</v>
      </c>
      <c r="H279" s="207" t="s">
        <v>14</v>
      </c>
      <c r="I279" s="207">
        <v>0.33532934131736525</v>
      </c>
    </row>
    <row r="280" spans="1:9" x14ac:dyDescent="0.2">
      <c r="A280" s="207"/>
      <c r="C280" s="207"/>
      <c r="E280" s="207" t="s">
        <v>125</v>
      </c>
      <c r="G280" s="207">
        <v>501</v>
      </c>
      <c r="H280" s="207" t="s">
        <v>15</v>
      </c>
      <c r="I280" s="207">
        <v>1</v>
      </c>
    </row>
    <row r="281" spans="1:9" x14ac:dyDescent="0.2">
      <c r="A281" s="207"/>
      <c r="C281" s="207"/>
    </row>
    <row r="282" spans="1:9" x14ac:dyDescent="0.2">
      <c r="A282" s="207">
        <v>57</v>
      </c>
      <c r="B282" s="207" t="s">
        <v>180</v>
      </c>
      <c r="C282" s="207"/>
      <c r="E282" s="207" t="s">
        <v>118</v>
      </c>
      <c r="G282" s="207">
        <v>169</v>
      </c>
      <c r="H282" s="207" t="s">
        <v>12</v>
      </c>
      <c r="I282" s="207">
        <v>0.33137254901960783</v>
      </c>
    </row>
    <row r="283" spans="1:9" x14ac:dyDescent="0.2">
      <c r="A283" s="207">
        <v>57</v>
      </c>
      <c r="B283" s="207" t="s">
        <v>180</v>
      </c>
      <c r="C283" s="207"/>
      <c r="E283" s="207" t="s">
        <v>119</v>
      </c>
      <c r="G283" s="207">
        <v>170</v>
      </c>
      <c r="H283" s="207" t="s">
        <v>13</v>
      </c>
      <c r="I283" s="207">
        <v>0.33333333333333331</v>
      </c>
    </row>
    <row r="284" spans="1:9" x14ac:dyDescent="0.2">
      <c r="A284" s="207">
        <v>57</v>
      </c>
      <c r="B284" s="207" t="s">
        <v>180</v>
      </c>
      <c r="C284" s="207"/>
      <c r="E284" s="207" t="s">
        <v>120</v>
      </c>
      <c r="G284" s="207">
        <v>171</v>
      </c>
      <c r="H284" s="207" t="s">
        <v>14</v>
      </c>
      <c r="I284" s="207">
        <v>0.3352941176470588</v>
      </c>
    </row>
    <row r="285" spans="1:9" x14ac:dyDescent="0.2">
      <c r="A285" s="207"/>
      <c r="C285" s="207"/>
      <c r="E285" s="207" t="s">
        <v>125</v>
      </c>
      <c r="G285" s="207">
        <v>510</v>
      </c>
      <c r="H285" s="207" t="s">
        <v>15</v>
      </c>
      <c r="I285" s="207">
        <v>1</v>
      </c>
    </row>
    <row r="286" spans="1:9" x14ac:dyDescent="0.2">
      <c r="A286" s="207"/>
      <c r="C286" s="207"/>
    </row>
    <row r="287" spans="1:9" x14ac:dyDescent="0.2">
      <c r="A287" s="207">
        <v>58</v>
      </c>
      <c r="B287" s="207" t="s">
        <v>181</v>
      </c>
      <c r="C287" s="207"/>
      <c r="E287" s="207" t="s">
        <v>118</v>
      </c>
      <c r="G287" s="207">
        <v>172</v>
      </c>
      <c r="H287" s="207" t="s">
        <v>12</v>
      </c>
      <c r="I287" s="207">
        <v>0.33140655105973027</v>
      </c>
    </row>
    <row r="288" spans="1:9" x14ac:dyDescent="0.2">
      <c r="A288" s="207">
        <v>58</v>
      </c>
      <c r="B288" s="207" t="s">
        <v>181</v>
      </c>
      <c r="C288" s="207"/>
      <c r="E288" s="207" t="s">
        <v>119</v>
      </c>
      <c r="G288" s="207">
        <v>173</v>
      </c>
      <c r="H288" s="207" t="s">
        <v>13</v>
      </c>
      <c r="I288" s="207">
        <v>0.33333333333333331</v>
      </c>
    </row>
    <row r="289" spans="1:9" x14ac:dyDescent="0.2">
      <c r="A289" s="207">
        <v>58</v>
      </c>
      <c r="B289" s="207" t="s">
        <v>181</v>
      </c>
      <c r="C289" s="207"/>
      <c r="E289" s="207" t="s">
        <v>120</v>
      </c>
      <c r="G289" s="207">
        <v>174</v>
      </c>
      <c r="H289" s="207" t="s">
        <v>14</v>
      </c>
      <c r="I289" s="207">
        <v>0.33526011560693642</v>
      </c>
    </row>
    <row r="290" spans="1:9" x14ac:dyDescent="0.2">
      <c r="A290" s="207"/>
      <c r="C290" s="207"/>
      <c r="E290" s="207" t="s">
        <v>125</v>
      </c>
      <c r="G290" s="207">
        <v>519</v>
      </c>
      <c r="H290" s="207" t="s">
        <v>15</v>
      </c>
      <c r="I290" s="207">
        <v>1</v>
      </c>
    </row>
    <row r="291" spans="1:9" x14ac:dyDescent="0.2">
      <c r="A291" s="207"/>
      <c r="C291" s="207"/>
    </row>
    <row r="292" spans="1:9" x14ac:dyDescent="0.2">
      <c r="A292" s="207">
        <v>59</v>
      </c>
      <c r="B292" s="207" t="s">
        <v>182</v>
      </c>
      <c r="C292" s="207"/>
      <c r="E292" s="207" t="s">
        <v>118</v>
      </c>
      <c r="G292" s="207">
        <v>175</v>
      </c>
      <c r="H292" s="207" t="s">
        <v>12</v>
      </c>
      <c r="I292" s="207">
        <v>0.33143939393939392</v>
      </c>
    </row>
    <row r="293" spans="1:9" x14ac:dyDescent="0.2">
      <c r="A293" s="207">
        <v>59</v>
      </c>
      <c r="B293" s="207" t="s">
        <v>182</v>
      </c>
      <c r="C293" s="207"/>
      <c r="E293" s="207" t="s">
        <v>119</v>
      </c>
      <c r="G293" s="207">
        <v>176</v>
      </c>
      <c r="H293" s="207" t="s">
        <v>13</v>
      </c>
      <c r="I293" s="207">
        <v>0.33333333333333331</v>
      </c>
    </row>
    <row r="294" spans="1:9" x14ac:dyDescent="0.2">
      <c r="A294" s="207">
        <v>59</v>
      </c>
      <c r="B294" s="207" t="s">
        <v>182</v>
      </c>
      <c r="C294" s="207"/>
      <c r="E294" s="207" t="s">
        <v>120</v>
      </c>
      <c r="G294" s="207">
        <v>177</v>
      </c>
      <c r="H294" s="207" t="s">
        <v>14</v>
      </c>
      <c r="I294" s="207">
        <v>0.33522727272727271</v>
      </c>
    </row>
    <row r="295" spans="1:9" x14ac:dyDescent="0.2">
      <c r="A295" s="207"/>
      <c r="C295" s="207"/>
      <c r="E295" s="207" t="s">
        <v>125</v>
      </c>
      <c r="G295" s="207">
        <v>528</v>
      </c>
      <c r="H295" s="207" t="s">
        <v>15</v>
      </c>
      <c r="I295" s="207">
        <v>1</v>
      </c>
    </row>
    <row r="296" spans="1:9" x14ac:dyDescent="0.2">
      <c r="A296" s="207"/>
      <c r="C296" s="207"/>
    </row>
    <row r="297" spans="1:9" x14ac:dyDescent="0.2">
      <c r="A297" s="207">
        <v>60</v>
      </c>
      <c r="B297" s="207" t="s">
        <v>183</v>
      </c>
      <c r="C297" s="207"/>
      <c r="E297" s="207" t="s">
        <v>118</v>
      </c>
      <c r="G297" s="207">
        <v>178</v>
      </c>
      <c r="H297" s="207" t="s">
        <v>12</v>
      </c>
      <c r="I297" s="207">
        <v>0.33147113594040967</v>
      </c>
    </row>
    <row r="298" spans="1:9" x14ac:dyDescent="0.2">
      <c r="A298" s="207">
        <v>60</v>
      </c>
      <c r="B298" s="207" t="s">
        <v>183</v>
      </c>
      <c r="C298" s="207"/>
      <c r="E298" s="207" t="s">
        <v>119</v>
      </c>
      <c r="G298" s="207">
        <v>179</v>
      </c>
      <c r="H298" s="207" t="s">
        <v>13</v>
      </c>
      <c r="I298" s="207">
        <v>0.33333333333333331</v>
      </c>
    </row>
    <row r="299" spans="1:9" x14ac:dyDescent="0.2">
      <c r="A299" s="207">
        <v>60</v>
      </c>
      <c r="B299" s="207" t="s">
        <v>183</v>
      </c>
      <c r="C299" s="207"/>
      <c r="E299" s="207" t="s">
        <v>120</v>
      </c>
      <c r="G299" s="207">
        <v>180</v>
      </c>
      <c r="H299" s="207" t="s">
        <v>14</v>
      </c>
      <c r="I299" s="207">
        <v>0.33519553072625696</v>
      </c>
    </row>
    <row r="300" spans="1:9" x14ac:dyDescent="0.2">
      <c r="A300" s="207"/>
      <c r="C300" s="207"/>
      <c r="E300" s="207" t="s">
        <v>125</v>
      </c>
      <c r="G300" s="207">
        <v>537</v>
      </c>
      <c r="H300" s="207" t="s">
        <v>15</v>
      </c>
      <c r="I300" s="207">
        <v>0.99999999999999989</v>
      </c>
    </row>
    <row r="301" spans="1:9" x14ac:dyDescent="0.2">
      <c r="A301" s="207"/>
      <c r="C301" s="207"/>
    </row>
    <row r="302" spans="1:9" x14ac:dyDescent="0.2">
      <c r="A302" s="207">
        <v>61</v>
      </c>
      <c r="B302" s="207" t="s">
        <v>184</v>
      </c>
      <c r="C302" s="207"/>
      <c r="E302" s="207" t="s">
        <v>118</v>
      </c>
      <c r="G302" s="207">
        <v>181</v>
      </c>
      <c r="H302" s="207" t="s">
        <v>12</v>
      </c>
      <c r="I302" s="207">
        <v>0.33150183150183149</v>
      </c>
    </row>
    <row r="303" spans="1:9" x14ac:dyDescent="0.2">
      <c r="A303" s="207">
        <v>61</v>
      </c>
      <c r="B303" s="207" t="s">
        <v>184</v>
      </c>
      <c r="C303" s="207"/>
      <c r="E303" s="207" t="s">
        <v>119</v>
      </c>
      <c r="G303" s="207">
        <v>182</v>
      </c>
      <c r="H303" s="207" t="s">
        <v>13</v>
      </c>
      <c r="I303" s="207">
        <v>0.33333333333333331</v>
      </c>
    </row>
    <row r="304" spans="1:9" x14ac:dyDescent="0.2">
      <c r="A304" s="207">
        <v>61</v>
      </c>
      <c r="B304" s="207" t="s">
        <v>184</v>
      </c>
      <c r="C304" s="207"/>
      <c r="E304" s="207" t="s">
        <v>120</v>
      </c>
      <c r="G304" s="207">
        <v>183</v>
      </c>
      <c r="H304" s="207" t="s">
        <v>14</v>
      </c>
      <c r="I304" s="207">
        <v>0.33516483516483514</v>
      </c>
    </row>
    <row r="305" spans="1:9" x14ac:dyDescent="0.2">
      <c r="A305" s="207"/>
      <c r="C305" s="207"/>
      <c r="E305" s="207" t="s">
        <v>125</v>
      </c>
      <c r="G305" s="207">
        <v>546</v>
      </c>
      <c r="H305" s="207" t="s">
        <v>15</v>
      </c>
      <c r="I305" s="207">
        <v>1</v>
      </c>
    </row>
    <row r="306" spans="1:9" x14ac:dyDescent="0.2">
      <c r="A306" s="207"/>
      <c r="C306" s="207"/>
    </row>
    <row r="307" spans="1:9" x14ac:dyDescent="0.2">
      <c r="A307" s="207">
        <v>62</v>
      </c>
      <c r="B307" s="207" t="s">
        <v>185</v>
      </c>
      <c r="C307" s="207"/>
      <c r="E307" s="207" t="s">
        <v>118</v>
      </c>
      <c r="G307" s="207">
        <v>184</v>
      </c>
      <c r="H307" s="207" t="s">
        <v>12</v>
      </c>
      <c r="I307" s="207">
        <v>0.33153153153153153</v>
      </c>
    </row>
    <row r="308" spans="1:9" x14ac:dyDescent="0.2">
      <c r="A308" s="207">
        <v>62</v>
      </c>
      <c r="B308" s="207" t="s">
        <v>185</v>
      </c>
      <c r="C308" s="207"/>
      <c r="E308" s="207" t="s">
        <v>119</v>
      </c>
      <c r="G308" s="207">
        <v>185</v>
      </c>
      <c r="H308" s="207" t="s">
        <v>13</v>
      </c>
      <c r="I308" s="207">
        <v>0.33333333333333331</v>
      </c>
    </row>
    <row r="309" spans="1:9" x14ac:dyDescent="0.2">
      <c r="A309" s="207">
        <v>62</v>
      </c>
      <c r="B309" s="207" t="s">
        <v>185</v>
      </c>
      <c r="C309" s="207"/>
      <c r="E309" s="207" t="s">
        <v>120</v>
      </c>
      <c r="G309" s="207">
        <v>186</v>
      </c>
      <c r="H309" s="207" t="s">
        <v>14</v>
      </c>
      <c r="I309" s="207">
        <v>0.33513513513513515</v>
      </c>
    </row>
    <row r="310" spans="1:9" x14ac:dyDescent="0.2">
      <c r="A310" s="207"/>
      <c r="C310" s="207"/>
      <c r="E310" s="207" t="s">
        <v>125</v>
      </c>
      <c r="G310" s="207">
        <v>555</v>
      </c>
      <c r="H310" s="207" t="s">
        <v>15</v>
      </c>
      <c r="I310" s="207">
        <v>1</v>
      </c>
    </row>
    <row r="311" spans="1:9" x14ac:dyDescent="0.2">
      <c r="A311" s="207"/>
      <c r="C311" s="207"/>
    </row>
    <row r="312" spans="1:9" x14ac:dyDescent="0.2">
      <c r="A312" s="207">
        <v>63</v>
      </c>
      <c r="B312" s="207" t="s">
        <v>186</v>
      </c>
      <c r="C312" s="207"/>
      <c r="E312" s="207" t="s">
        <v>118</v>
      </c>
      <c r="G312" s="207">
        <v>187</v>
      </c>
      <c r="H312" s="207" t="s">
        <v>12</v>
      </c>
      <c r="I312" s="207">
        <v>0.33156028368794327</v>
      </c>
    </row>
    <row r="313" spans="1:9" x14ac:dyDescent="0.2">
      <c r="A313" s="207">
        <v>63</v>
      </c>
      <c r="B313" s="207" t="s">
        <v>186</v>
      </c>
      <c r="C313" s="207"/>
      <c r="E313" s="207" t="s">
        <v>119</v>
      </c>
      <c r="G313" s="207">
        <v>188</v>
      </c>
      <c r="H313" s="207" t="s">
        <v>13</v>
      </c>
      <c r="I313" s="207">
        <v>0.33333333333333331</v>
      </c>
    </row>
    <row r="314" spans="1:9" x14ac:dyDescent="0.2">
      <c r="A314" s="207">
        <v>63</v>
      </c>
      <c r="B314" s="207" t="s">
        <v>186</v>
      </c>
      <c r="C314" s="207"/>
      <c r="E314" s="207" t="s">
        <v>120</v>
      </c>
      <c r="G314" s="207">
        <v>189</v>
      </c>
      <c r="H314" s="207" t="s">
        <v>14</v>
      </c>
      <c r="I314" s="207">
        <v>0.33510638297872342</v>
      </c>
    </row>
    <row r="315" spans="1:9" x14ac:dyDescent="0.2">
      <c r="A315" s="207"/>
      <c r="C315" s="207"/>
      <c r="E315" s="207" t="s">
        <v>125</v>
      </c>
      <c r="G315" s="207">
        <v>564</v>
      </c>
      <c r="H315" s="207" t="s">
        <v>15</v>
      </c>
      <c r="I315" s="207">
        <v>1</v>
      </c>
    </row>
    <row r="316" spans="1:9" x14ac:dyDescent="0.2">
      <c r="A316" s="207"/>
      <c r="C316" s="207"/>
    </row>
    <row r="317" spans="1:9" x14ac:dyDescent="0.2">
      <c r="A317" s="207">
        <v>64</v>
      </c>
      <c r="B317" s="207" t="s">
        <v>187</v>
      </c>
      <c r="C317" s="207"/>
      <c r="E317" s="207" t="s">
        <v>118</v>
      </c>
      <c r="G317" s="207">
        <v>190</v>
      </c>
      <c r="H317" s="207" t="s">
        <v>12</v>
      </c>
      <c r="I317" s="207">
        <v>0.33158813263525305</v>
      </c>
    </row>
    <row r="318" spans="1:9" x14ac:dyDescent="0.2">
      <c r="A318" s="207">
        <v>64</v>
      </c>
      <c r="B318" s="207" t="s">
        <v>187</v>
      </c>
      <c r="C318" s="207"/>
      <c r="E318" s="207" t="s">
        <v>119</v>
      </c>
      <c r="G318" s="207">
        <v>191</v>
      </c>
      <c r="H318" s="207" t="s">
        <v>13</v>
      </c>
      <c r="I318" s="207">
        <v>0.33333333333333331</v>
      </c>
    </row>
    <row r="319" spans="1:9" x14ac:dyDescent="0.2">
      <c r="A319" s="207">
        <v>64</v>
      </c>
      <c r="B319" s="207" t="s">
        <v>187</v>
      </c>
      <c r="C319" s="207"/>
      <c r="E319" s="207" t="s">
        <v>120</v>
      </c>
      <c r="G319" s="207">
        <v>192</v>
      </c>
      <c r="H319" s="207" t="s">
        <v>14</v>
      </c>
      <c r="I319" s="207">
        <v>0.33507853403141363</v>
      </c>
    </row>
    <row r="320" spans="1:9" x14ac:dyDescent="0.2">
      <c r="A320" s="207"/>
      <c r="C320" s="207"/>
      <c r="E320" s="207" t="s">
        <v>125</v>
      </c>
      <c r="G320" s="207">
        <v>573</v>
      </c>
      <c r="H320" s="207" t="s">
        <v>15</v>
      </c>
      <c r="I320" s="207">
        <v>1</v>
      </c>
    </row>
    <row r="321" spans="1:9" x14ac:dyDescent="0.2">
      <c r="A321" s="207"/>
      <c r="C321" s="207"/>
    </row>
    <row r="322" spans="1:9" x14ac:dyDescent="0.2">
      <c r="A322" s="207">
        <v>65</v>
      </c>
      <c r="B322" s="207" t="s">
        <v>188</v>
      </c>
      <c r="C322" s="207"/>
      <c r="E322" s="207" t="s">
        <v>118</v>
      </c>
      <c r="G322" s="207">
        <v>193</v>
      </c>
      <c r="H322" s="207" t="s">
        <v>12</v>
      </c>
      <c r="I322" s="207">
        <v>0.33161512027491408</v>
      </c>
    </row>
    <row r="323" spans="1:9" x14ac:dyDescent="0.2">
      <c r="A323" s="207">
        <v>65</v>
      </c>
      <c r="B323" s="207" t="s">
        <v>188</v>
      </c>
      <c r="C323" s="207"/>
      <c r="E323" s="207" t="s">
        <v>119</v>
      </c>
      <c r="G323" s="207">
        <v>194</v>
      </c>
      <c r="H323" s="207" t="s">
        <v>13</v>
      </c>
      <c r="I323" s="207">
        <v>0.33333333333333331</v>
      </c>
    </row>
    <row r="324" spans="1:9" x14ac:dyDescent="0.2">
      <c r="A324" s="207">
        <v>65</v>
      </c>
      <c r="B324" s="207" t="s">
        <v>188</v>
      </c>
      <c r="C324" s="207"/>
      <c r="E324" s="207" t="s">
        <v>120</v>
      </c>
      <c r="G324" s="207">
        <v>195</v>
      </c>
      <c r="H324" s="207" t="s">
        <v>14</v>
      </c>
      <c r="I324" s="207">
        <v>0.33505154639175255</v>
      </c>
    </row>
    <row r="325" spans="1:9" x14ac:dyDescent="0.2">
      <c r="A325" s="207"/>
      <c r="C325" s="207"/>
      <c r="E325" s="207" t="s">
        <v>125</v>
      </c>
      <c r="G325" s="207">
        <v>582</v>
      </c>
      <c r="H325" s="207" t="s">
        <v>15</v>
      </c>
      <c r="I325" s="207">
        <v>1</v>
      </c>
    </row>
    <row r="326" spans="1:9" x14ac:dyDescent="0.2">
      <c r="A326" s="207"/>
      <c r="C326" s="207"/>
    </row>
    <row r="327" spans="1:9" x14ac:dyDescent="0.2">
      <c r="A327" s="207">
        <v>66</v>
      </c>
      <c r="B327" s="207" t="s">
        <v>189</v>
      </c>
      <c r="C327" s="207"/>
      <c r="E327" s="207" t="s">
        <v>118</v>
      </c>
      <c r="G327" s="207">
        <v>196</v>
      </c>
      <c r="H327" s="207" t="s">
        <v>12</v>
      </c>
      <c r="I327" s="207">
        <v>0.33164128595600678</v>
      </c>
    </row>
    <row r="328" spans="1:9" x14ac:dyDescent="0.2">
      <c r="A328" s="207">
        <v>66</v>
      </c>
      <c r="B328" s="207" t="s">
        <v>189</v>
      </c>
      <c r="C328" s="207"/>
      <c r="E328" s="207" t="s">
        <v>119</v>
      </c>
      <c r="G328" s="207">
        <v>197</v>
      </c>
      <c r="H328" s="207" t="s">
        <v>13</v>
      </c>
      <c r="I328" s="207">
        <v>0.33333333333333331</v>
      </c>
    </row>
    <row r="329" spans="1:9" x14ac:dyDescent="0.2">
      <c r="A329" s="207">
        <v>66</v>
      </c>
      <c r="B329" s="207" t="s">
        <v>189</v>
      </c>
      <c r="C329" s="207"/>
      <c r="E329" s="207" t="s">
        <v>120</v>
      </c>
      <c r="G329" s="207">
        <v>198</v>
      </c>
      <c r="H329" s="207" t="s">
        <v>14</v>
      </c>
      <c r="I329" s="207">
        <v>0.3350253807106599</v>
      </c>
    </row>
    <row r="330" spans="1:9" x14ac:dyDescent="0.2">
      <c r="A330" s="207"/>
      <c r="C330" s="207"/>
      <c r="E330" s="207" t="s">
        <v>125</v>
      </c>
      <c r="G330" s="207">
        <v>591</v>
      </c>
      <c r="H330" s="207" t="s">
        <v>15</v>
      </c>
      <c r="I330" s="207">
        <v>1</v>
      </c>
    </row>
    <row r="331" spans="1:9" x14ac:dyDescent="0.2">
      <c r="A331" s="207"/>
      <c r="C331" s="207"/>
    </row>
    <row r="332" spans="1:9" x14ac:dyDescent="0.2">
      <c r="A332" s="207">
        <v>67</v>
      </c>
      <c r="B332" s="207" t="s">
        <v>190</v>
      </c>
      <c r="C332" s="207"/>
      <c r="E332" s="207" t="s">
        <v>118</v>
      </c>
      <c r="G332" s="207">
        <v>199</v>
      </c>
      <c r="H332" s="207" t="s">
        <v>12</v>
      </c>
      <c r="I332" s="207">
        <v>0.33166666666666667</v>
      </c>
    </row>
    <row r="333" spans="1:9" x14ac:dyDescent="0.2">
      <c r="A333" s="207">
        <v>67</v>
      </c>
      <c r="B333" s="207" t="s">
        <v>190</v>
      </c>
      <c r="C333" s="207"/>
      <c r="E333" s="207" t="s">
        <v>119</v>
      </c>
      <c r="G333" s="207">
        <v>200</v>
      </c>
      <c r="H333" s="207" t="s">
        <v>13</v>
      </c>
      <c r="I333" s="207">
        <v>0.33333333333333331</v>
      </c>
    </row>
    <row r="334" spans="1:9" x14ac:dyDescent="0.2">
      <c r="A334" s="207">
        <v>67</v>
      </c>
      <c r="B334" s="207" t="s">
        <v>190</v>
      </c>
      <c r="C334" s="207"/>
      <c r="E334" s="207" t="s">
        <v>120</v>
      </c>
      <c r="G334" s="207">
        <v>201</v>
      </c>
      <c r="H334" s="207" t="s">
        <v>14</v>
      </c>
      <c r="I334" s="207">
        <v>0.33500000000000002</v>
      </c>
    </row>
    <row r="335" spans="1:9" x14ac:dyDescent="0.2">
      <c r="A335" s="207"/>
      <c r="C335" s="207"/>
      <c r="E335" s="207" t="s">
        <v>125</v>
      </c>
      <c r="G335" s="207">
        <v>600</v>
      </c>
      <c r="H335" s="207" t="s">
        <v>15</v>
      </c>
      <c r="I335" s="207">
        <v>1</v>
      </c>
    </row>
    <row r="336" spans="1:9" x14ac:dyDescent="0.2">
      <c r="A336" s="207"/>
      <c r="C336" s="207"/>
    </row>
    <row r="337" spans="1:9" x14ac:dyDescent="0.2">
      <c r="A337" s="207">
        <v>68</v>
      </c>
      <c r="B337" s="207" t="s">
        <v>191</v>
      </c>
      <c r="C337" s="207"/>
      <c r="E337" s="207" t="s">
        <v>118</v>
      </c>
      <c r="G337" s="207">
        <v>202</v>
      </c>
      <c r="H337" s="207" t="s">
        <v>12</v>
      </c>
      <c r="I337" s="207">
        <v>0.33169129720853857</v>
      </c>
    </row>
    <row r="338" spans="1:9" x14ac:dyDescent="0.2">
      <c r="A338" s="207">
        <v>68</v>
      </c>
      <c r="B338" s="207" t="s">
        <v>191</v>
      </c>
      <c r="C338" s="207"/>
      <c r="E338" s="207" t="s">
        <v>119</v>
      </c>
      <c r="G338" s="207">
        <v>203</v>
      </c>
      <c r="H338" s="207" t="s">
        <v>13</v>
      </c>
      <c r="I338" s="207">
        <v>0.33333333333333331</v>
      </c>
    </row>
    <row r="339" spans="1:9" x14ac:dyDescent="0.2">
      <c r="A339" s="207">
        <v>68</v>
      </c>
      <c r="B339" s="207" t="s">
        <v>191</v>
      </c>
      <c r="C339" s="207"/>
      <c r="E339" s="207" t="s">
        <v>120</v>
      </c>
      <c r="G339" s="207">
        <v>204</v>
      </c>
      <c r="H339" s="207" t="s">
        <v>14</v>
      </c>
      <c r="I339" s="207">
        <v>0.33497536945812806</v>
      </c>
    </row>
    <row r="340" spans="1:9" x14ac:dyDescent="0.2">
      <c r="A340" s="207"/>
      <c r="C340" s="207"/>
      <c r="E340" s="207" t="s">
        <v>125</v>
      </c>
      <c r="G340" s="207">
        <v>609</v>
      </c>
      <c r="H340" s="207" t="s">
        <v>15</v>
      </c>
      <c r="I340" s="207">
        <v>1</v>
      </c>
    </row>
    <row r="341" spans="1:9" x14ac:dyDescent="0.2">
      <c r="A341" s="207"/>
      <c r="C341" s="207"/>
    </row>
    <row r="342" spans="1:9" x14ac:dyDescent="0.2">
      <c r="A342" s="207">
        <v>69</v>
      </c>
      <c r="B342" s="207" t="s">
        <v>192</v>
      </c>
      <c r="C342" s="207"/>
      <c r="E342" s="207" t="s">
        <v>118</v>
      </c>
      <c r="G342" s="207">
        <v>205</v>
      </c>
      <c r="H342" s="207" t="s">
        <v>12</v>
      </c>
      <c r="I342" s="207">
        <v>0.33171521035598706</v>
      </c>
    </row>
    <row r="343" spans="1:9" x14ac:dyDescent="0.2">
      <c r="A343" s="207">
        <v>69</v>
      </c>
      <c r="B343" s="207" t="s">
        <v>192</v>
      </c>
      <c r="C343" s="207"/>
      <c r="E343" s="207" t="s">
        <v>119</v>
      </c>
      <c r="G343" s="207">
        <v>206</v>
      </c>
      <c r="H343" s="207" t="s">
        <v>13</v>
      </c>
      <c r="I343" s="207">
        <v>0.33333333333333331</v>
      </c>
    </row>
    <row r="344" spans="1:9" x14ac:dyDescent="0.2">
      <c r="A344" s="207">
        <v>69</v>
      </c>
      <c r="B344" s="207" t="s">
        <v>192</v>
      </c>
      <c r="C344" s="207"/>
      <c r="E344" s="207" t="s">
        <v>120</v>
      </c>
      <c r="G344" s="207">
        <v>207</v>
      </c>
      <c r="H344" s="207" t="s">
        <v>14</v>
      </c>
      <c r="I344" s="207">
        <v>0.33495145631067963</v>
      </c>
    </row>
    <row r="345" spans="1:9" x14ac:dyDescent="0.2">
      <c r="A345" s="207"/>
      <c r="C345" s="207"/>
      <c r="E345" s="207" t="s">
        <v>125</v>
      </c>
      <c r="G345" s="207">
        <v>618</v>
      </c>
      <c r="H345" s="207" t="s">
        <v>15</v>
      </c>
      <c r="I345" s="207">
        <v>1</v>
      </c>
    </row>
    <row r="346" spans="1:9" x14ac:dyDescent="0.2">
      <c r="A346" s="207"/>
      <c r="C346" s="207"/>
    </row>
    <row r="347" spans="1:9" x14ac:dyDescent="0.2">
      <c r="A347" s="207">
        <v>70</v>
      </c>
      <c r="B347" s="207" t="s">
        <v>193</v>
      </c>
      <c r="C347" s="207"/>
      <c r="E347" s="207" t="s">
        <v>118</v>
      </c>
      <c r="G347" s="207">
        <v>208</v>
      </c>
      <c r="H347" s="207" t="s">
        <v>12</v>
      </c>
      <c r="I347" s="207">
        <v>0.33173843700159489</v>
      </c>
    </row>
    <row r="348" spans="1:9" x14ac:dyDescent="0.2">
      <c r="A348" s="207">
        <v>70</v>
      </c>
      <c r="B348" s="207" t="s">
        <v>193</v>
      </c>
      <c r="C348" s="207"/>
      <c r="E348" s="207" t="s">
        <v>119</v>
      </c>
      <c r="G348" s="207">
        <v>209</v>
      </c>
      <c r="H348" s="207" t="s">
        <v>13</v>
      </c>
      <c r="I348" s="207">
        <v>0.33333333333333331</v>
      </c>
    </row>
    <row r="349" spans="1:9" x14ac:dyDescent="0.2">
      <c r="A349" s="207">
        <v>70</v>
      </c>
      <c r="B349" s="207" t="s">
        <v>193</v>
      </c>
      <c r="C349" s="207"/>
      <c r="E349" s="207" t="s">
        <v>120</v>
      </c>
      <c r="G349" s="207">
        <v>210</v>
      </c>
      <c r="H349" s="207" t="s">
        <v>14</v>
      </c>
      <c r="I349" s="207">
        <v>0.3349282296650718</v>
      </c>
    </row>
    <row r="350" spans="1:9" x14ac:dyDescent="0.2">
      <c r="A350" s="207"/>
      <c r="C350" s="207"/>
      <c r="E350" s="207" t="s">
        <v>125</v>
      </c>
      <c r="G350" s="207">
        <v>627</v>
      </c>
      <c r="H350" s="207" t="s">
        <v>15</v>
      </c>
      <c r="I350" s="207">
        <v>1</v>
      </c>
    </row>
    <row r="351" spans="1:9" x14ac:dyDescent="0.2">
      <c r="A351" s="207"/>
      <c r="C351" s="207"/>
    </row>
    <row r="352" spans="1:9" x14ac:dyDescent="0.2">
      <c r="A352" s="207">
        <v>71</v>
      </c>
      <c r="B352" s="207" t="s">
        <v>194</v>
      </c>
      <c r="C352" s="207"/>
      <c r="E352" s="207" t="s">
        <v>118</v>
      </c>
      <c r="G352" s="207">
        <v>211</v>
      </c>
      <c r="H352" s="207" t="s">
        <v>12</v>
      </c>
      <c r="I352" s="207">
        <v>0.33176100628930816</v>
      </c>
    </row>
    <row r="353" spans="1:9" x14ac:dyDescent="0.2">
      <c r="A353" s="207">
        <v>71</v>
      </c>
      <c r="B353" s="207" t="s">
        <v>194</v>
      </c>
      <c r="C353" s="207"/>
      <c r="E353" s="207" t="s">
        <v>119</v>
      </c>
      <c r="G353" s="207">
        <v>212</v>
      </c>
      <c r="H353" s="207" t="s">
        <v>13</v>
      </c>
      <c r="I353" s="207">
        <v>0.33333333333333331</v>
      </c>
    </row>
    <row r="354" spans="1:9" x14ac:dyDescent="0.2">
      <c r="A354" s="207">
        <v>71</v>
      </c>
      <c r="B354" s="207" t="s">
        <v>194</v>
      </c>
      <c r="C354" s="207"/>
      <c r="E354" s="207" t="s">
        <v>120</v>
      </c>
      <c r="G354" s="207">
        <v>213</v>
      </c>
      <c r="H354" s="207" t="s">
        <v>14</v>
      </c>
      <c r="I354" s="207">
        <v>0.33490566037735847</v>
      </c>
    </row>
    <row r="355" spans="1:9" x14ac:dyDescent="0.2">
      <c r="A355" s="207"/>
      <c r="C355" s="207"/>
      <c r="E355" s="207" t="s">
        <v>125</v>
      </c>
      <c r="G355" s="207">
        <v>636</v>
      </c>
      <c r="H355" s="207" t="s">
        <v>15</v>
      </c>
      <c r="I355" s="207">
        <v>0.99999999999999989</v>
      </c>
    </row>
    <row r="356" spans="1:9" x14ac:dyDescent="0.2">
      <c r="A356" s="207"/>
      <c r="C356" s="207"/>
    </row>
    <row r="357" spans="1:9" x14ac:dyDescent="0.2">
      <c r="A357" s="207">
        <v>72</v>
      </c>
      <c r="B357" s="207" t="s">
        <v>195</v>
      </c>
      <c r="C357" s="207"/>
      <c r="E357" s="207" t="s">
        <v>118</v>
      </c>
      <c r="G357" s="207">
        <v>214</v>
      </c>
      <c r="H357" s="207" t="s">
        <v>12</v>
      </c>
      <c r="I357" s="207">
        <v>0.33178294573643413</v>
      </c>
    </row>
    <row r="358" spans="1:9" x14ac:dyDescent="0.2">
      <c r="A358" s="207">
        <v>72</v>
      </c>
      <c r="B358" s="207" t="s">
        <v>195</v>
      </c>
      <c r="C358" s="207"/>
      <c r="E358" s="207" t="s">
        <v>119</v>
      </c>
      <c r="G358" s="207">
        <v>215</v>
      </c>
      <c r="H358" s="207" t="s">
        <v>13</v>
      </c>
      <c r="I358" s="207">
        <v>0.33333333333333331</v>
      </c>
    </row>
    <row r="359" spans="1:9" x14ac:dyDescent="0.2">
      <c r="A359" s="207">
        <v>72</v>
      </c>
      <c r="B359" s="207" t="s">
        <v>195</v>
      </c>
      <c r="C359" s="207"/>
      <c r="E359" s="207" t="s">
        <v>120</v>
      </c>
      <c r="G359" s="207">
        <v>216</v>
      </c>
      <c r="H359" s="207" t="s">
        <v>14</v>
      </c>
      <c r="I359" s="207">
        <v>0.33488372093023255</v>
      </c>
    </row>
    <row r="360" spans="1:9" x14ac:dyDescent="0.2">
      <c r="A360" s="207"/>
      <c r="C360" s="207"/>
      <c r="E360" s="207" t="s">
        <v>125</v>
      </c>
      <c r="G360" s="207">
        <v>645</v>
      </c>
      <c r="H360" s="207" t="s">
        <v>15</v>
      </c>
      <c r="I360" s="207">
        <v>1</v>
      </c>
    </row>
    <row r="361" spans="1:9" x14ac:dyDescent="0.2">
      <c r="A361" s="207"/>
      <c r="C361" s="207"/>
    </row>
    <row r="362" spans="1:9" x14ac:dyDescent="0.2">
      <c r="A362" s="207">
        <v>73</v>
      </c>
      <c r="B362" s="207" t="s">
        <v>196</v>
      </c>
      <c r="C362" s="207"/>
      <c r="E362" s="207" t="s">
        <v>118</v>
      </c>
      <c r="G362" s="207">
        <v>217</v>
      </c>
      <c r="H362" s="207" t="s">
        <v>12</v>
      </c>
      <c r="I362" s="207">
        <v>0.33180428134556578</v>
      </c>
    </row>
    <row r="363" spans="1:9" x14ac:dyDescent="0.2">
      <c r="A363" s="207">
        <v>73</v>
      </c>
      <c r="B363" s="207" t="s">
        <v>196</v>
      </c>
      <c r="C363" s="207"/>
      <c r="E363" s="207" t="s">
        <v>119</v>
      </c>
      <c r="G363" s="207">
        <v>218</v>
      </c>
      <c r="H363" s="207" t="s">
        <v>13</v>
      </c>
      <c r="I363" s="207">
        <v>0.33333333333333331</v>
      </c>
    </row>
    <row r="364" spans="1:9" x14ac:dyDescent="0.2">
      <c r="A364" s="207">
        <v>73</v>
      </c>
      <c r="B364" s="207" t="s">
        <v>196</v>
      </c>
      <c r="C364" s="207"/>
      <c r="E364" s="207" t="s">
        <v>120</v>
      </c>
      <c r="G364" s="207">
        <v>219</v>
      </c>
      <c r="H364" s="207" t="s">
        <v>14</v>
      </c>
      <c r="I364" s="207">
        <v>0.33486238532110091</v>
      </c>
    </row>
    <row r="365" spans="1:9" x14ac:dyDescent="0.2">
      <c r="A365" s="207"/>
      <c r="C365" s="207"/>
      <c r="E365" s="207" t="s">
        <v>125</v>
      </c>
      <c r="G365" s="207">
        <v>654</v>
      </c>
      <c r="H365" s="207" t="s">
        <v>15</v>
      </c>
      <c r="I365" s="207">
        <v>1</v>
      </c>
    </row>
    <row r="366" spans="1:9" x14ac:dyDescent="0.2">
      <c r="A366" s="207"/>
      <c r="C366" s="207"/>
    </row>
    <row r="367" spans="1:9" x14ac:dyDescent="0.2">
      <c r="A367" s="207">
        <v>74</v>
      </c>
      <c r="B367" s="207" t="s">
        <v>197</v>
      </c>
      <c r="C367" s="207"/>
      <c r="E367" s="207" t="s">
        <v>118</v>
      </c>
      <c r="G367" s="207">
        <v>220</v>
      </c>
      <c r="H367" s="207" t="s">
        <v>12</v>
      </c>
      <c r="I367" s="207">
        <v>0.33182503770739064</v>
      </c>
    </row>
    <row r="368" spans="1:9" x14ac:dyDescent="0.2">
      <c r="A368" s="207">
        <v>74</v>
      </c>
      <c r="B368" s="207" t="s">
        <v>197</v>
      </c>
      <c r="C368" s="207"/>
      <c r="E368" s="207" t="s">
        <v>119</v>
      </c>
      <c r="G368" s="207">
        <v>221</v>
      </c>
      <c r="H368" s="207" t="s">
        <v>13</v>
      </c>
      <c r="I368" s="207">
        <v>0.33333333333333331</v>
      </c>
    </row>
    <row r="369" spans="1:9" x14ac:dyDescent="0.2">
      <c r="A369" s="207">
        <v>74</v>
      </c>
      <c r="B369" s="207" t="s">
        <v>197</v>
      </c>
      <c r="C369" s="207"/>
      <c r="E369" s="207" t="s">
        <v>120</v>
      </c>
      <c r="G369" s="207">
        <v>222</v>
      </c>
      <c r="H369" s="207" t="s">
        <v>14</v>
      </c>
      <c r="I369" s="207">
        <v>0.33484162895927599</v>
      </c>
    </row>
    <row r="370" spans="1:9" x14ac:dyDescent="0.2">
      <c r="A370" s="207"/>
      <c r="C370" s="207"/>
      <c r="E370" s="207" t="s">
        <v>125</v>
      </c>
      <c r="G370" s="207">
        <v>663</v>
      </c>
      <c r="H370" s="207" t="s">
        <v>15</v>
      </c>
      <c r="I370" s="207">
        <v>1</v>
      </c>
    </row>
    <row r="371" spans="1:9" x14ac:dyDescent="0.2">
      <c r="A371" s="207"/>
      <c r="C371" s="207"/>
    </row>
    <row r="372" spans="1:9" x14ac:dyDescent="0.2">
      <c r="A372" s="207">
        <v>75</v>
      </c>
      <c r="B372" s="207" t="s">
        <v>198</v>
      </c>
      <c r="C372" s="207"/>
      <c r="E372" s="207" t="s">
        <v>118</v>
      </c>
      <c r="G372" s="207">
        <v>223</v>
      </c>
      <c r="H372" s="207" t="s">
        <v>12</v>
      </c>
      <c r="I372" s="207">
        <v>0.33184523809523808</v>
      </c>
    </row>
    <row r="373" spans="1:9" x14ac:dyDescent="0.2">
      <c r="A373" s="207">
        <v>75</v>
      </c>
      <c r="B373" s="207" t="s">
        <v>198</v>
      </c>
      <c r="C373" s="207"/>
      <c r="E373" s="207" t="s">
        <v>119</v>
      </c>
      <c r="G373" s="207">
        <v>224</v>
      </c>
      <c r="H373" s="207" t="s">
        <v>13</v>
      </c>
      <c r="I373" s="207">
        <v>0.33333333333333331</v>
      </c>
    </row>
    <row r="374" spans="1:9" x14ac:dyDescent="0.2">
      <c r="A374" s="207">
        <v>75</v>
      </c>
      <c r="B374" s="207" t="s">
        <v>198</v>
      </c>
      <c r="C374" s="207"/>
      <c r="E374" s="207" t="s">
        <v>120</v>
      </c>
      <c r="G374" s="207">
        <v>225</v>
      </c>
      <c r="H374" s="207" t="s">
        <v>14</v>
      </c>
      <c r="I374" s="207">
        <v>0.33482142857142855</v>
      </c>
    </row>
    <row r="375" spans="1:9" x14ac:dyDescent="0.2">
      <c r="A375" s="207"/>
      <c r="C375" s="207"/>
      <c r="E375" s="207" t="s">
        <v>125</v>
      </c>
      <c r="G375" s="207">
        <v>672</v>
      </c>
      <c r="H375" s="207" t="s">
        <v>15</v>
      </c>
      <c r="I375" s="207">
        <v>1</v>
      </c>
    </row>
    <row r="376" spans="1:9" x14ac:dyDescent="0.2">
      <c r="A376" s="207"/>
      <c r="C376" s="207"/>
    </row>
    <row r="377" spans="1:9" x14ac:dyDescent="0.2">
      <c r="A377" s="207">
        <v>76</v>
      </c>
      <c r="B377" s="207" t="s">
        <v>199</v>
      </c>
      <c r="C377" s="207"/>
      <c r="E377" s="207" t="s">
        <v>118</v>
      </c>
      <c r="G377" s="207">
        <v>226</v>
      </c>
      <c r="H377" s="207" t="s">
        <v>12</v>
      </c>
      <c r="I377" s="207">
        <v>0.33186490455212925</v>
      </c>
    </row>
    <row r="378" spans="1:9" x14ac:dyDescent="0.2">
      <c r="A378" s="207">
        <v>76</v>
      </c>
      <c r="B378" s="207" t="s">
        <v>199</v>
      </c>
      <c r="C378" s="207"/>
      <c r="E378" s="207" t="s">
        <v>119</v>
      </c>
      <c r="G378" s="207">
        <v>227</v>
      </c>
      <c r="H378" s="207" t="s">
        <v>13</v>
      </c>
      <c r="I378" s="207">
        <v>0.33333333333333331</v>
      </c>
    </row>
    <row r="379" spans="1:9" x14ac:dyDescent="0.2">
      <c r="A379" s="207">
        <v>76</v>
      </c>
      <c r="B379" s="207" t="s">
        <v>199</v>
      </c>
      <c r="C379" s="207"/>
      <c r="E379" s="207" t="s">
        <v>120</v>
      </c>
      <c r="G379" s="207">
        <v>228</v>
      </c>
      <c r="H379" s="207" t="s">
        <v>14</v>
      </c>
      <c r="I379" s="207">
        <v>0.33480176211453744</v>
      </c>
    </row>
    <row r="380" spans="1:9" x14ac:dyDescent="0.2">
      <c r="A380" s="207"/>
      <c r="C380" s="207"/>
      <c r="E380" s="207" t="s">
        <v>125</v>
      </c>
      <c r="G380" s="207">
        <v>681</v>
      </c>
      <c r="H380" s="207" t="s">
        <v>15</v>
      </c>
      <c r="I380" s="207">
        <v>1</v>
      </c>
    </row>
    <row r="381" spans="1:9" x14ac:dyDescent="0.2">
      <c r="A381" s="207"/>
      <c r="C381" s="207"/>
    </row>
    <row r="382" spans="1:9" x14ac:dyDescent="0.2">
      <c r="A382" s="207">
        <v>77</v>
      </c>
      <c r="B382" s="207" t="s">
        <v>200</v>
      </c>
      <c r="C382" s="207"/>
      <c r="E382" s="207" t="s">
        <v>118</v>
      </c>
      <c r="G382" s="207">
        <v>229</v>
      </c>
      <c r="H382" s="207" t="s">
        <v>12</v>
      </c>
      <c r="I382" s="207">
        <v>0.3318840579710145</v>
      </c>
    </row>
    <row r="383" spans="1:9" x14ac:dyDescent="0.2">
      <c r="A383" s="207">
        <v>77</v>
      </c>
      <c r="B383" s="207" t="s">
        <v>200</v>
      </c>
      <c r="C383" s="207"/>
      <c r="E383" s="207" t="s">
        <v>119</v>
      </c>
      <c r="G383" s="207">
        <v>230</v>
      </c>
      <c r="H383" s="207" t="s">
        <v>13</v>
      </c>
      <c r="I383" s="207">
        <v>0.33333333333333331</v>
      </c>
    </row>
    <row r="384" spans="1:9" x14ac:dyDescent="0.2">
      <c r="A384" s="207">
        <v>77</v>
      </c>
      <c r="B384" s="207" t="s">
        <v>200</v>
      </c>
      <c r="C384" s="207"/>
      <c r="E384" s="207" t="s">
        <v>120</v>
      </c>
      <c r="G384" s="207">
        <v>231</v>
      </c>
      <c r="H384" s="207" t="s">
        <v>14</v>
      </c>
      <c r="I384" s="207">
        <v>0.33478260869565218</v>
      </c>
    </row>
    <row r="385" spans="1:9" x14ac:dyDescent="0.2">
      <c r="A385" s="207"/>
      <c r="C385" s="207"/>
      <c r="E385" s="207" t="s">
        <v>125</v>
      </c>
      <c r="G385" s="207">
        <v>690</v>
      </c>
      <c r="H385" s="207" t="s">
        <v>15</v>
      </c>
      <c r="I385" s="207">
        <v>1</v>
      </c>
    </row>
    <row r="386" spans="1:9" x14ac:dyDescent="0.2">
      <c r="A386" s="207"/>
      <c r="C386" s="207"/>
    </row>
    <row r="387" spans="1:9" x14ac:dyDescent="0.2">
      <c r="A387" s="207">
        <v>78</v>
      </c>
      <c r="B387" s="207" t="s">
        <v>201</v>
      </c>
      <c r="C387" s="207"/>
      <c r="E387" s="207" t="s">
        <v>118</v>
      </c>
      <c r="G387" s="207">
        <v>232</v>
      </c>
      <c r="H387" s="207" t="s">
        <v>12</v>
      </c>
      <c r="I387" s="207">
        <v>0.33190271816881262</v>
      </c>
    </row>
    <row r="388" spans="1:9" x14ac:dyDescent="0.2">
      <c r="A388" s="207">
        <v>78</v>
      </c>
      <c r="B388" s="207" t="s">
        <v>201</v>
      </c>
      <c r="C388" s="207"/>
      <c r="E388" s="207" t="s">
        <v>119</v>
      </c>
      <c r="G388" s="207">
        <v>233</v>
      </c>
      <c r="H388" s="207" t="s">
        <v>13</v>
      </c>
      <c r="I388" s="207">
        <v>0.33333333333333331</v>
      </c>
    </row>
    <row r="389" spans="1:9" x14ac:dyDescent="0.2">
      <c r="A389" s="207">
        <v>78</v>
      </c>
      <c r="B389" s="207" t="s">
        <v>201</v>
      </c>
      <c r="C389" s="207"/>
      <c r="E389" s="207" t="s">
        <v>120</v>
      </c>
      <c r="G389" s="207">
        <v>234</v>
      </c>
      <c r="H389" s="207" t="s">
        <v>14</v>
      </c>
      <c r="I389" s="207">
        <v>0.33476394849785407</v>
      </c>
    </row>
    <row r="390" spans="1:9" x14ac:dyDescent="0.2">
      <c r="A390" s="207"/>
      <c r="C390" s="207"/>
      <c r="E390" s="207" t="s">
        <v>125</v>
      </c>
      <c r="G390" s="207">
        <v>699</v>
      </c>
      <c r="H390" s="207" t="s">
        <v>15</v>
      </c>
      <c r="I390" s="207">
        <v>1</v>
      </c>
    </row>
    <row r="391" spans="1:9" x14ac:dyDescent="0.2">
      <c r="A391" s="207"/>
      <c r="C391" s="207"/>
    </row>
    <row r="392" spans="1:9" x14ac:dyDescent="0.2">
      <c r="A392" s="207">
        <v>79</v>
      </c>
      <c r="B392" s="207" t="s">
        <v>202</v>
      </c>
      <c r="C392" s="207"/>
      <c r="E392" s="207" t="s">
        <v>118</v>
      </c>
      <c r="G392" s="207">
        <v>235</v>
      </c>
      <c r="H392" s="207" t="s">
        <v>12</v>
      </c>
      <c r="I392" s="207">
        <v>0.33192090395480228</v>
      </c>
    </row>
    <row r="393" spans="1:9" x14ac:dyDescent="0.2">
      <c r="A393" s="207">
        <v>79</v>
      </c>
      <c r="B393" s="207" t="s">
        <v>202</v>
      </c>
      <c r="C393" s="207"/>
      <c r="E393" s="207" t="s">
        <v>119</v>
      </c>
      <c r="G393" s="207">
        <v>236</v>
      </c>
      <c r="H393" s="207" t="s">
        <v>13</v>
      </c>
      <c r="I393" s="207">
        <v>0.33333333333333331</v>
      </c>
    </row>
    <row r="394" spans="1:9" x14ac:dyDescent="0.2">
      <c r="A394" s="207">
        <v>79</v>
      </c>
      <c r="B394" s="207" t="s">
        <v>202</v>
      </c>
      <c r="C394" s="207"/>
      <c r="E394" s="207" t="s">
        <v>120</v>
      </c>
      <c r="G394" s="207">
        <v>237</v>
      </c>
      <c r="H394" s="207" t="s">
        <v>14</v>
      </c>
      <c r="I394" s="207">
        <v>0.3347457627118644</v>
      </c>
    </row>
    <row r="395" spans="1:9" x14ac:dyDescent="0.2">
      <c r="A395" s="207"/>
      <c r="C395" s="207"/>
      <c r="E395" s="207" t="s">
        <v>125</v>
      </c>
      <c r="G395" s="207">
        <v>708</v>
      </c>
      <c r="H395" s="207" t="s">
        <v>15</v>
      </c>
      <c r="I395" s="207">
        <v>1</v>
      </c>
    </row>
    <row r="396" spans="1:9" x14ac:dyDescent="0.2">
      <c r="A396" s="207"/>
      <c r="C396" s="207"/>
    </row>
    <row r="397" spans="1:9" x14ac:dyDescent="0.2">
      <c r="A397" s="207">
        <v>80</v>
      </c>
      <c r="B397" s="207" t="s">
        <v>203</v>
      </c>
      <c r="C397" s="207"/>
      <c r="E397" s="207" t="s">
        <v>118</v>
      </c>
      <c r="G397" s="207">
        <v>238</v>
      </c>
      <c r="H397" s="207" t="s">
        <v>12</v>
      </c>
      <c r="I397" s="207">
        <v>0.3319386331938633</v>
      </c>
    </row>
    <row r="398" spans="1:9" x14ac:dyDescent="0.2">
      <c r="A398" s="207">
        <v>80</v>
      </c>
      <c r="B398" s="207" t="s">
        <v>203</v>
      </c>
      <c r="C398" s="207"/>
      <c r="E398" s="207" t="s">
        <v>119</v>
      </c>
      <c r="G398" s="207">
        <v>239</v>
      </c>
      <c r="H398" s="207" t="s">
        <v>13</v>
      </c>
      <c r="I398" s="207">
        <v>0.33333333333333331</v>
      </c>
    </row>
    <row r="399" spans="1:9" x14ac:dyDescent="0.2">
      <c r="A399" s="207">
        <v>80</v>
      </c>
      <c r="B399" s="207" t="s">
        <v>203</v>
      </c>
      <c r="C399" s="207"/>
      <c r="E399" s="207" t="s">
        <v>120</v>
      </c>
      <c r="G399" s="207">
        <v>240</v>
      </c>
      <c r="H399" s="207" t="s">
        <v>14</v>
      </c>
      <c r="I399" s="207">
        <v>0.33472803347280333</v>
      </c>
    </row>
    <row r="400" spans="1:9" x14ac:dyDescent="0.2">
      <c r="A400" s="207"/>
      <c r="C400" s="207"/>
      <c r="E400" s="207" t="s">
        <v>125</v>
      </c>
      <c r="G400" s="207">
        <v>717</v>
      </c>
      <c r="H400" s="207" t="s">
        <v>15</v>
      </c>
      <c r="I400" s="207">
        <v>1</v>
      </c>
    </row>
    <row r="401" spans="1:9" x14ac:dyDescent="0.2">
      <c r="A401" s="207"/>
      <c r="C401" s="207"/>
    </row>
    <row r="402" spans="1:9" x14ac:dyDescent="0.2">
      <c r="A402" s="207">
        <v>81</v>
      </c>
      <c r="B402" s="207" t="s">
        <v>204</v>
      </c>
      <c r="C402" s="207"/>
      <c r="E402" s="207" t="s">
        <v>118</v>
      </c>
      <c r="G402" s="207">
        <v>241</v>
      </c>
      <c r="H402" s="207" t="s">
        <v>12</v>
      </c>
      <c r="I402" s="207">
        <v>0.3319559228650138</v>
      </c>
    </row>
    <row r="403" spans="1:9" x14ac:dyDescent="0.2">
      <c r="A403" s="207">
        <v>81</v>
      </c>
      <c r="B403" s="207" t="s">
        <v>204</v>
      </c>
      <c r="C403" s="207"/>
      <c r="E403" s="207" t="s">
        <v>119</v>
      </c>
      <c r="G403" s="207">
        <v>242</v>
      </c>
      <c r="H403" s="207" t="s">
        <v>13</v>
      </c>
      <c r="I403" s="207">
        <v>0.33333333333333331</v>
      </c>
    </row>
    <row r="404" spans="1:9" x14ac:dyDescent="0.2">
      <c r="A404" s="207">
        <v>81</v>
      </c>
      <c r="B404" s="207" t="s">
        <v>204</v>
      </c>
      <c r="C404" s="207"/>
      <c r="E404" s="207" t="s">
        <v>120</v>
      </c>
      <c r="G404" s="207">
        <v>243</v>
      </c>
      <c r="H404" s="207" t="s">
        <v>14</v>
      </c>
      <c r="I404" s="207">
        <v>0.33471074380165289</v>
      </c>
    </row>
    <row r="405" spans="1:9" x14ac:dyDescent="0.2">
      <c r="A405" s="207"/>
      <c r="C405" s="207"/>
      <c r="E405" s="207" t="s">
        <v>125</v>
      </c>
      <c r="G405" s="207">
        <v>726</v>
      </c>
      <c r="H405" s="207" t="s">
        <v>15</v>
      </c>
      <c r="I405" s="207">
        <v>1</v>
      </c>
    </row>
    <row r="406" spans="1:9" x14ac:dyDescent="0.2">
      <c r="A406" s="207"/>
      <c r="C406" s="207"/>
    </row>
    <row r="407" spans="1:9" x14ac:dyDescent="0.2">
      <c r="A407" s="207">
        <v>82</v>
      </c>
      <c r="B407" s="207" t="s">
        <v>205</v>
      </c>
      <c r="C407" s="207"/>
      <c r="E407" s="207" t="s">
        <v>118</v>
      </c>
      <c r="G407" s="207">
        <v>244</v>
      </c>
      <c r="H407" s="207" t="s">
        <v>12</v>
      </c>
      <c r="I407" s="207">
        <v>0.33197278911564626</v>
      </c>
    </row>
    <row r="408" spans="1:9" x14ac:dyDescent="0.2">
      <c r="A408" s="207">
        <v>82</v>
      </c>
      <c r="B408" s="207" t="s">
        <v>205</v>
      </c>
      <c r="C408" s="207"/>
      <c r="E408" s="207" t="s">
        <v>119</v>
      </c>
      <c r="G408" s="207">
        <v>245</v>
      </c>
      <c r="H408" s="207" t="s">
        <v>13</v>
      </c>
      <c r="I408" s="207">
        <v>0.33333333333333331</v>
      </c>
    </row>
    <row r="409" spans="1:9" x14ac:dyDescent="0.2">
      <c r="A409" s="207">
        <v>82</v>
      </c>
      <c r="B409" s="207" t="s">
        <v>205</v>
      </c>
      <c r="C409" s="207"/>
      <c r="E409" s="207" t="s">
        <v>120</v>
      </c>
      <c r="G409" s="207">
        <v>246</v>
      </c>
      <c r="H409" s="207" t="s">
        <v>14</v>
      </c>
      <c r="I409" s="207">
        <v>0.33469387755102042</v>
      </c>
    </row>
    <row r="410" spans="1:9" x14ac:dyDescent="0.2">
      <c r="A410" s="207"/>
      <c r="C410" s="207"/>
      <c r="E410" s="207" t="s">
        <v>125</v>
      </c>
      <c r="G410" s="207">
        <v>735</v>
      </c>
      <c r="H410" s="207" t="s">
        <v>15</v>
      </c>
      <c r="I410" s="207">
        <v>1</v>
      </c>
    </row>
    <row r="411" spans="1:9" x14ac:dyDescent="0.2">
      <c r="A411" s="207"/>
      <c r="C411" s="207"/>
    </row>
    <row r="412" spans="1:9" x14ac:dyDescent="0.2">
      <c r="A412" s="207">
        <v>83</v>
      </c>
      <c r="B412" s="207" t="s">
        <v>206</v>
      </c>
      <c r="C412" s="207"/>
      <c r="E412" s="207" t="s">
        <v>118</v>
      </c>
      <c r="G412" s="207">
        <v>247</v>
      </c>
      <c r="H412" s="207" t="s">
        <v>12</v>
      </c>
      <c r="I412" s="207">
        <v>0.33198924731182794</v>
      </c>
    </row>
    <row r="413" spans="1:9" x14ac:dyDescent="0.2">
      <c r="A413" s="207">
        <v>83</v>
      </c>
      <c r="B413" s="207" t="s">
        <v>206</v>
      </c>
      <c r="C413" s="207"/>
      <c r="E413" s="207" t="s">
        <v>119</v>
      </c>
      <c r="G413" s="207">
        <v>248</v>
      </c>
      <c r="H413" s="207" t="s">
        <v>13</v>
      </c>
      <c r="I413" s="207">
        <v>0.33333333333333331</v>
      </c>
    </row>
    <row r="414" spans="1:9" x14ac:dyDescent="0.2">
      <c r="A414" s="207">
        <v>83</v>
      </c>
      <c r="B414" s="207" t="s">
        <v>206</v>
      </c>
      <c r="C414" s="207"/>
      <c r="E414" s="207" t="s">
        <v>120</v>
      </c>
      <c r="G414" s="207">
        <v>249</v>
      </c>
      <c r="H414" s="207" t="s">
        <v>14</v>
      </c>
      <c r="I414" s="207">
        <v>0.33467741935483869</v>
      </c>
    </row>
    <row r="415" spans="1:9" x14ac:dyDescent="0.2">
      <c r="A415" s="207"/>
      <c r="C415" s="207"/>
      <c r="E415" s="207" t="s">
        <v>125</v>
      </c>
      <c r="G415" s="207">
        <v>744</v>
      </c>
      <c r="H415" s="207" t="s">
        <v>15</v>
      </c>
      <c r="I415" s="207">
        <v>1</v>
      </c>
    </row>
    <row r="416" spans="1:9" x14ac:dyDescent="0.2">
      <c r="A416" s="207"/>
      <c r="C416" s="207"/>
    </row>
    <row r="417" spans="1:9" x14ac:dyDescent="0.2">
      <c r="A417" s="207">
        <v>84</v>
      </c>
      <c r="B417" s="207" t="s">
        <v>207</v>
      </c>
      <c r="C417" s="207"/>
      <c r="E417" s="207" t="s">
        <v>118</v>
      </c>
      <c r="G417" s="207">
        <v>250</v>
      </c>
      <c r="H417" s="207" t="s">
        <v>12</v>
      </c>
      <c r="I417" s="207">
        <v>0.33200531208499334</v>
      </c>
    </row>
    <row r="418" spans="1:9" x14ac:dyDescent="0.2">
      <c r="A418" s="207">
        <v>84</v>
      </c>
      <c r="B418" s="207" t="s">
        <v>207</v>
      </c>
      <c r="C418" s="207"/>
      <c r="E418" s="207" t="s">
        <v>119</v>
      </c>
      <c r="G418" s="207">
        <v>251</v>
      </c>
      <c r="H418" s="207" t="s">
        <v>13</v>
      </c>
      <c r="I418" s="207">
        <v>0.33333333333333331</v>
      </c>
    </row>
    <row r="419" spans="1:9" x14ac:dyDescent="0.2">
      <c r="A419" s="207">
        <v>84</v>
      </c>
      <c r="B419" s="207" t="s">
        <v>207</v>
      </c>
      <c r="C419" s="207"/>
      <c r="E419" s="207" t="s">
        <v>120</v>
      </c>
      <c r="G419" s="207">
        <v>252</v>
      </c>
      <c r="H419" s="207" t="s">
        <v>14</v>
      </c>
      <c r="I419" s="207">
        <v>0.33466135458167329</v>
      </c>
    </row>
    <row r="420" spans="1:9" x14ac:dyDescent="0.2">
      <c r="A420" s="207"/>
      <c r="C420" s="207"/>
      <c r="E420" s="207" t="s">
        <v>125</v>
      </c>
      <c r="G420" s="207">
        <v>753</v>
      </c>
      <c r="H420" s="207" t="s">
        <v>15</v>
      </c>
      <c r="I420" s="207">
        <v>1</v>
      </c>
    </row>
    <row r="421" spans="1:9" x14ac:dyDescent="0.2">
      <c r="A421" s="207"/>
      <c r="C421" s="207"/>
    </row>
    <row r="422" spans="1:9" x14ac:dyDescent="0.2">
      <c r="A422" s="207">
        <v>85</v>
      </c>
      <c r="B422" s="207" t="s">
        <v>208</v>
      </c>
      <c r="C422" s="207"/>
      <c r="E422" s="207" t="s">
        <v>118</v>
      </c>
      <c r="G422" s="207">
        <v>253</v>
      </c>
      <c r="H422" s="207" t="s">
        <v>12</v>
      </c>
      <c r="I422" s="207">
        <v>0.33202099737532809</v>
      </c>
    </row>
    <row r="423" spans="1:9" x14ac:dyDescent="0.2">
      <c r="A423" s="207">
        <v>85</v>
      </c>
      <c r="B423" s="207" t="s">
        <v>208</v>
      </c>
      <c r="C423" s="207"/>
      <c r="E423" s="207" t="s">
        <v>119</v>
      </c>
      <c r="G423" s="207">
        <v>254</v>
      </c>
      <c r="H423" s="207" t="s">
        <v>13</v>
      </c>
      <c r="I423" s="207">
        <v>0.33333333333333331</v>
      </c>
    </row>
    <row r="424" spans="1:9" x14ac:dyDescent="0.2">
      <c r="A424" s="207">
        <v>85</v>
      </c>
      <c r="B424" s="207" t="s">
        <v>208</v>
      </c>
      <c r="C424" s="207"/>
      <c r="E424" s="207" t="s">
        <v>120</v>
      </c>
      <c r="G424" s="207">
        <v>255</v>
      </c>
      <c r="H424" s="207" t="s">
        <v>14</v>
      </c>
      <c r="I424" s="207">
        <v>0.3346456692913386</v>
      </c>
    </row>
    <row r="425" spans="1:9" x14ac:dyDescent="0.2">
      <c r="A425" s="207"/>
      <c r="C425" s="207"/>
      <c r="E425" s="207" t="s">
        <v>125</v>
      </c>
      <c r="G425" s="207">
        <v>762</v>
      </c>
      <c r="H425" s="207" t="s">
        <v>15</v>
      </c>
      <c r="I425" s="207">
        <v>1</v>
      </c>
    </row>
    <row r="426" spans="1:9" x14ac:dyDescent="0.2">
      <c r="A426" s="207"/>
      <c r="C426" s="207"/>
    </row>
    <row r="427" spans="1:9" x14ac:dyDescent="0.2">
      <c r="A427" s="207">
        <v>86</v>
      </c>
      <c r="B427" s="207" t="s">
        <v>209</v>
      </c>
      <c r="C427" s="207"/>
      <c r="E427" s="207" t="s">
        <v>118</v>
      </c>
      <c r="G427" s="207">
        <v>256</v>
      </c>
      <c r="H427" s="207" t="s">
        <v>12</v>
      </c>
      <c r="I427" s="207">
        <v>0.33203631647211412</v>
      </c>
    </row>
    <row r="428" spans="1:9" x14ac:dyDescent="0.2">
      <c r="A428" s="207">
        <v>86</v>
      </c>
      <c r="B428" s="207" t="s">
        <v>209</v>
      </c>
      <c r="C428" s="207"/>
      <c r="E428" s="207" t="s">
        <v>119</v>
      </c>
      <c r="G428" s="207">
        <v>257</v>
      </c>
      <c r="H428" s="207" t="s">
        <v>13</v>
      </c>
      <c r="I428" s="207">
        <v>0.33333333333333331</v>
      </c>
    </row>
    <row r="429" spans="1:9" x14ac:dyDescent="0.2">
      <c r="A429" s="207">
        <v>86</v>
      </c>
      <c r="B429" s="207" t="s">
        <v>209</v>
      </c>
      <c r="C429" s="207"/>
      <c r="E429" s="207" t="s">
        <v>120</v>
      </c>
      <c r="G429" s="207">
        <v>258</v>
      </c>
      <c r="H429" s="207" t="s">
        <v>14</v>
      </c>
      <c r="I429" s="207">
        <v>0.33463035019455251</v>
      </c>
    </row>
    <row r="430" spans="1:9" x14ac:dyDescent="0.2">
      <c r="A430" s="207"/>
      <c r="C430" s="207"/>
      <c r="E430" s="207" t="s">
        <v>125</v>
      </c>
      <c r="G430" s="207">
        <v>771</v>
      </c>
      <c r="H430" s="207" t="s">
        <v>15</v>
      </c>
      <c r="I430" s="207">
        <v>1</v>
      </c>
    </row>
    <row r="431" spans="1:9" x14ac:dyDescent="0.2">
      <c r="A431" s="207"/>
      <c r="C431" s="207"/>
    </row>
    <row r="432" spans="1:9" x14ac:dyDescent="0.2">
      <c r="A432" s="207">
        <v>87</v>
      </c>
      <c r="B432" s="207" t="s">
        <v>210</v>
      </c>
      <c r="C432" s="207"/>
      <c r="E432" s="207" t="s">
        <v>118</v>
      </c>
      <c r="G432" s="207">
        <v>259</v>
      </c>
      <c r="H432" s="207" t="s">
        <v>12</v>
      </c>
      <c r="I432" s="207">
        <v>0.33205128205128204</v>
      </c>
    </row>
    <row r="433" spans="1:9" x14ac:dyDescent="0.2">
      <c r="A433" s="207">
        <v>87</v>
      </c>
      <c r="B433" s="207" t="s">
        <v>210</v>
      </c>
      <c r="C433" s="207"/>
      <c r="E433" s="207" t="s">
        <v>119</v>
      </c>
      <c r="G433" s="207">
        <v>260</v>
      </c>
      <c r="H433" s="207" t="s">
        <v>13</v>
      </c>
      <c r="I433" s="207">
        <v>0.33333333333333331</v>
      </c>
    </row>
    <row r="434" spans="1:9" x14ac:dyDescent="0.2">
      <c r="A434" s="207">
        <v>87</v>
      </c>
      <c r="B434" s="207" t="s">
        <v>210</v>
      </c>
      <c r="C434" s="207"/>
      <c r="E434" s="207" t="s">
        <v>120</v>
      </c>
      <c r="G434" s="207">
        <v>261</v>
      </c>
      <c r="H434" s="207" t="s">
        <v>14</v>
      </c>
      <c r="I434" s="207">
        <v>0.33461538461538459</v>
      </c>
    </row>
    <row r="435" spans="1:9" x14ac:dyDescent="0.2">
      <c r="A435" s="207"/>
      <c r="C435" s="207"/>
      <c r="E435" s="207" t="s">
        <v>125</v>
      </c>
      <c r="G435" s="207">
        <v>780</v>
      </c>
      <c r="H435" s="207" t="s">
        <v>15</v>
      </c>
      <c r="I435" s="207">
        <v>1</v>
      </c>
    </row>
    <row r="436" spans="1:9" x14ac:dyDescent="0.2">
      <c r="A436" s="207"/>
      <c r="C436" s="207"/>
    </row>
    <row r="437" spans="1:9" x14ac:dyDescent="0.2">
      <c r="A437" s="207">
        <v>88</v>
      </c>
      <c r="B437" s="207" t="s">
        <v>211</v>
      </c>
      <c r="C437" s="207"/>
      <c r="E437" s="207" t="s">
        <v>118</v>
      </c>
      <c r="G437" s="207">
        <v>262</v>
      </c>
      <c r="H437" s="207" t="s">
        <v>12</v>
      </c>
      <c r="I437" s="207">
        <v>0.33206590621039289</v>
      </c>
    </row>
    <row r="438" spans="1:9" x14ac:dyDescent="0.2">
      <c r="A438" s="207">
        <v>88</v>
      </c>
      <c r="B438" s="207" t="s">
        <v>211</v>
      </c>
      <c r="C438" s="207"/>
      <c r="E438" s="207" t="s">
        <v>119</v>
      </c>
      <c r="G438" s="207">
        <v>263</v>
      </c>
      <c r="H438" s="207" t="s">
        <v>13</v>
      </c>
      <c r="I438" s="207">
        <v>0.33333333333333331</v>
      </c>
    </row>
    <row r="439" spans="1:9" x14ac:dyDescent="0.2">
      <c r="A439" s="207">
        <v>88</v>
      </c>
      <c r="B439" s="207" t="s">
        <v>211</v>
      </c>
      <c r="C439" s="207"/>
      <c r="E439" s="207" t="s">
        <v>120</v>
      </c>
      <c r="G439" s="207">
        <v>264</v>
      </c>
      <c r="H439" s="207" t="s">
        <v>14</v>
      </c>
      <c r="I439" s="207">
        <v>0.33460076045627374</v>
      </c>
    </row>
    <row r="440" spans="1:9" x14ac:dyDescent="0.2">
      <c r="A440" s="207"/>
      <c r="C440" s="207"/>
      <c r="E440" s="207" t="s">
        <v>125</v>
      </c>
      <c r="G440" s="207">
        <v>789</v>
      </c>
      <c r="H440" s="207" t="s">
        <v>15</v>
      </c>
      <c r="I440" s="207">
        <v>1</v>
      </c>
    </row>
    <row r="441" spans="1:9" x14ac:dyDescent="0.2">
      <c r="A441" s="207"/>
      <c r="C441" s="207"/>
    </row>
    <row r="442" spans="1:9" x14ac:dyDescent="0.2">
      <c r="A442" s="207">
        <v>89</v>
      </c>
      <c r="B442" s="207" t="s">
        <v>212</v>
      </c>
      <c r="C442" s="207"/>
      <c r="E442" s="207" t="s">
        <v>118</v>
      </c>
      <c r="G442" s="207">
        <v>265</v>
      </c>
      <c r="H442" s="207" t="s">
        <v>12</v>
      </c>
      <c r="I442" s="207">
        <v>0.33208020050125314</v>
      </c>
    </row>
    <row r="443" spans="1:9" x14ac:dyDescent="0.2">
      <c r="A443" s="207">
        <v>89</v>
      </c>
      <c r="B443" s="207" t="s">
        <v>212</v>
      </c>
      <c r="C443" s="207"/>
      <c r="E443" s="207" t="s">
        <v>119</v>
      </c>
      <c r="G443" s="207">
        <v>266</v>
      </c>
      <c r="H443" s="207" t="s">
        <v>13</v>
      </c>
      <c r="I443" s="207">
        <v>0.33333333333333331</v>
      </c>
    </row>
    <row r="444" spans="1:9" x14ac:dyDescent="0.2">
      <c r="A444" s="207">
        <v>89</v>
      </c>
      <c r="B444" s="207" t="s">
        <v>212</v>
      </c>
      <c r="C444" s="207"/>
      <c r="E444" s="207" t="s">
        <v>120</v>
      </c>
      <c r="G444" s="207">
        <v>267</v>
      </c>
      <c r="H444" s="207" t="s">
        <v>14</v>
      </c>
      <c r="I444" s="207">
        <v>0.33458646616541354</v>
      </c>
    </row>
    <row r="445" spans="1:9" x14ac:dyDescent="0.2">
      <c r="A445" s="207"/>
      <c r="C445" s="207"/>
      <c r="E445" s="207" t="s">
        <v>125</v>
      </c>
      <c r="G445" s="207">
        <v>798</v>
      </c>
      <c r="H445" s="207" t="s">
        <v>15</v>
      </c>
      <c r="I445" s="207">
        <v>1</v>
      </c>
    </row>
    <row r="446" spans="1:9" x14ac:dyDescent="0.2">
      <c r="A446" s="207"/>
      <c r="C446" s="207"/>
    </row>
    <row r="447" spans="1:9" x14ac:dyDescent="0.2">
      <c r="A447" s="207">
        <v>90</v>
      </c>
      <c r="B447" s="207" t="s">
        <v>213</v>
      </c>
      <c r="C447" s="207"/>
      <c r="E447" s="207" t="s">
        <v>118</v>
      </c>
      <c r="G447" s="207">
        <v>268</v>
      </c>
      <c r="H447" s="207" t="s">
        <v>12</v>
      </c>
      <c r="I447" s="207">
        <v>0.33209417596034696</v>
      </c>
    </row>
    <row r="448" spans="1:9" x14ac:dyDescent="0.2">
      <c r="A448" s="207">
        <v>90</v>
      </c>
      <c r="B448" s="207" t="s">
        <v>213</v>
      </c>
      <c r="C448" s="207"/>
      <c r="E448" s="207" t="s">
        <v>119</v>
      </c>
      <c r="G448" s="207">
        <v>269</v>
      </c>
      <c r="H448" s="207" t="s">
        <v>13</v>
      </c>
      <c r="I448" s="207">
        <v>0.33333333333333331</v>
      </c>
    </row>
    <row r="449" spans="1:9" x14ac:dyDescent="0.2">
      <c r="A449" s="207">
        <v>90</v>
      </c>
      <c r="B449" s="207" t="s">
        <v>213</v>
      </c>
      <c r="C449" s="207"/>
      <c r="E449" s="207" t="s">
        <v>120</v>
      </c>
      <c r="G449" s="207">
        <v>270</v>
      </c>
      <c r="H449" s="207" t="s">
        <v>14</v>
      </c>
      <c r="I449" s="207">
        <v>0.33457249070631973</v>
      </c>
    </row>
    <row r="450" spans="1:9" x14ac:dyDescent="0.2">
      <c r="A450" s="207"/>
      <c r="C450" s="207"/>
      <c r="E450" s="207" t="s">
        <v>125</v>
      </c>
      <c r="G450" s="207">
        <v>807</v>
      </c>
      <c r="H450" s="207" t="s">
        <v>15</v>
      </c>
      <c r="I450" s="207">
        <v>1</v>
      </c>
    </row>
    <row r="451" spans="1:9" x14ac:dyDescent="0.2">
      <c r="A451" s="207"/>
      <c r="C451" s="207"/>
    </row>
    <row r="452" spans="1:9" x14ac:dyDescent="0.2">
      <c r="A452" s="207">
        <v>91</v>
      </c>
      <c r="B452" s="207" t="s">
        <v>214</v>
      </c>
      <c r="C452" s="207"/>
      <c r="E452" s="207" t="s">
        <v>118</v>
      </c>
      <c r="G452" s="207">
        <v>271</v>
      </c>
      <c r="H452" s="207" t="s">
        <v>12</v>
      </c>
      <c r="I452" s="207">
        <v>0.33210784313725489</v>
      </c>
    </row>
    <row r="453" spans="1:9" x14ac:dyDescent="0.2">
      <c r="A453" s="207">
        <v>91</v>
      </c>
      <c r="B453" s="207" t="s">
        <v>214</v>
      </c>
      <c r="C453" s="207"/>
      <c r="E453" s="207" t="s">
        <v>119</v>
      </c>
      <c r="G453" s="207">
        <v>272</v>
      </c>
      <c r="H453" s="207" t="s">
        <v>13</v>
      </c>
      <c r="I453" s="207">
        <v>0.33333333333333331</v>
      </c>
    </row>
    <row r="454" spans="1:9" x14ac:dyDescent="0.2">
      <c r="A454" s="207">
        <v>91</v>
      </c>
      <c r="B454" s="207" t="s">
        <v>214</v>
      </c>
      <c r="C454" s="207"/>
      <c r="E454" s="207" t="s">
        <v>120</v>
      </c>
      <c r="G454" s="207">
        <v>273</v>
      </c>
      <c r="H454" s="207" t="s">
        <v>14</v>
      </c>
      <c r="I454" s="207">
        <v>0.33455882352941174</v>
      </c>
    </row>
    <row r="455" spans="1:9" x14ac:dyDescent="0.2">
      <c r="A455" s="207"/>
      <c r="C455" s="207"/>
      <c r="E455" s="207" t="s">
        <v>125</v>
      </c>
      <c r="G455" s="207">
        <v>816</v>
      </c>
      <c r="H455" s="207" t="s">
        <v>15</v>
      </c>
      <c r="I455" s="207">
        <v>1</v>
      </c>
    </row>
    <row r="456" spans="1:9" x14ac:dyDescent="0.2">
      <c r="A456" s="207"/>
      <c r="C456" s="207"/>
    </row>
    <row r="457" spans="1:9" x14ac:dyDescent="0.2">
      <c r="A457" s="207">
        <v>92</v>
      </c>
      <c r="B457" s="207" t="s">
        <v>215</v>
      </c>
      <c r="C457" s="207"/>
      <c r="E457" s="207" t="s">
        <v>118</v>
      </c>
      <c r="G457" s="207">
        <v>274</v>
      </c>
      <c r="H457" s="207" t="s">
        <v>12</v>
      </c>
      <c r="I457" s="207">
        <v>0.33212121212121209</v>
      </c>
    </row>
    <row r="458" spans="1:9" x14ac:dyDescent="0.2">
      <c r="A458" s="207">
        <v>92</v>
      </c>
      <c r="B458" s="207" t="s">
        <v>215</v>
      </c>
      <c r="C458" s="207"/>
      <c r="E458" s="207" t="s">
        <v>119</v>
      </c>
      <c r="G458" s="207">
        <v>275</v>
      </c>
      <c r="H458" s="207" t="s">
        <v>13</v>
      </c>
      <c r="I458" s="207">
        <v>0.33333333333333331</v>
      </c>
    </row>
    <row r="459" spans="1:9" x14ac:dyDescent="0.2">
      <c r="A459" s="207">
        <v>92</v>
      </c>
      <c r="B459" s="207" t="s">
        <v>215</v>
      </c>
      <c r="C459" s="207"/>
      <c r="E459" s="207" t="s">
        <v>120</v>
      </c>
      <c r="G459" s="207">
        <v>276</v>
      </c>
      <c r="H459" s="207" t="s">
        <v>14</v>
      </c>
      <c r="I459" s="207">
        <v>0.33454545454545453</v>
      </c>
    </row>
    <row r="460" spans="1:9" x14ac:dyDescent="0.2">
      <c r="A460" s="207"/>
      <c r="C460" s="207"/>
      <c r="E460" s="207" t="s">
        <v>125</v>
      </c>
      <c r="G460" s="207">
        <v>825</v>
      </c>
      <c r="H460" s="207" t="s">
        <v>15</v>
      </c>
      <c r="I460" s="207">
        <v>1</v>
      </c>
    </row>
    <row r="461" spans="1:9" x14ac:dyDescent="0.2">
      <c r="A461" s="207"/>
      <c r="C461" s="207"/>
    </row>
    <row r="462" spans="1:9" x14ac:dyDescent="0.2">
      <c r="A462" s="207">
        <v>93</v>
      </c>
      <c r="B462" s="207" t="s">
        <v>216</v>
      </c>
      <c r="C462" s="207"/>
      <c r="E462" s="207" t="s">
        <v>118</v>
      </c>
      <c r="G462" s="207">
        <v>277</v>
      </c>
      <c r="H462" s="207" t="s">
        <v>12</v>
      </c>
      <c r="I462" s="207">
        <v>0.33213429256594723</v>
      </c>
    </row>
    <row r="463" spans="1:9" x14ac:dyDescent="0.2">
      <c r="A463" s="207">
        <v>93</v>
      </c>
      <c r="B463" s="207" t="s">
        <v>216</v>
      </c>
      <c r="C463" s="207"/>
      <c r="E463" s="207" t="s">
        <v>119</v>
      </c>
      <c r="G463" s="207">
        <v>278</v>
      </c>
      <c r="H463" s="207" t="s">
        <v>13</v>
      </c>
      <c r="I463" s="207">
        <v>0.33333333333333331</v>
      </c>
    </row>
    <row r="464" spans="1:9" x14ac:dyDescent="0.2">
      <c r="A464" s="207">
        <v>93</v>
      </c>
      <c r="B464" s="207" t="s">
        <v>216</v>
      </c>
      <c r="C464" s="207"/>
      <c r="E464" s="207" t="s">
        <v>120</v>
      </c>
      <c r="G464" s="207">
        <v>279</v>
      </c>
      <c r="H464" s="207" t="s">
        <v>14</v>
      </c>
      <c r="I464" s="207">
        <v>0.3345323741007194</v>
      </c>
    </row>
    <row r="465" spans="1:9" x14ac:dyDescent="0.2">
      <c r="A465" s="207"/>
      <c r="C465" s="207"/>
      <c r="E465" s="207" t="s">
        <v>125</v>
      </c>
      <c r="G465" s="207">
        <v>834</v>
      </c>
      <c r="H465" s="207" t="s">
        <v>15</v>
      </c>
      <c r="I465" s="207">
        <v>1</v>
      </c>
    </row>
    <row r="466" spans="1:9" x14ac:dyDescent="0.2">
      <c r="A466" s="207"/>
      <c r="C466" s="207"/>
    </row>
    <row r="467" spans="1:9" x14ac:dyDescent="0.2">
      <c r="A467" s="207">
        <v>94</v>
      </c>
      <c r="B467" s="207" t="s">
        <v>217</v>
      </c>
      <c r="C467" s="207"/>
      <c r="E467" s="207" t="s">
        <v>118</v>
      </c>
      <c r="G467" s="207">
        <v>280</v>
      </c>
      <c r="H467" s="207" t="s">
        <v>12</v>
      </c>
      <c r="I467" s="207">
        <v>0.33214709371293</v>
      </c>
    </row>
    <row r="468" spans="1:9" x14ac:dyDescent="0.2">
      <c r="A468" s="207">
        <v>94</v>
      </c>
      <c r="B468" s="207" t="s">
        <v>217</v>
      </c>
      <c r="C468" s="207"/>
      <c r="E468" s="207" t="s">
        <v>119</v>
      </c>
      <c r="G468" s="207">
        <v>281</v>
      </c>
      <c r="H468" s="207" t="s">
        <v>13</v>
      </c>
      <c r="I468" s="207">
        <v>0.33333333333333331</v>
      </c>
    </row>
    <row r="469" spans="1:9" x14ac:dyDescent="0.2">
      <c r="A469" s="207">
        <v>94</v>
      </c>
      <c r="B469" s="207" t="s">
        <v>217</v>
      </c>
      <c r="C469" s="207"/>
      <c r="E469" s="207" t="s">
        <v>120</v>
      </c>
      <c r="G469" s="207">
        <v>282</v>
      </c>
      <c r="H469" s="207" t="s">
        <v>14</v>
      </c>
      <c r="I469" s="207">
        <v>0.33451957295373663</v>
      </c>
    </row>
    <row r="470" spans="1:9" x14ac:dyDescent="0.2">
      <c r="A470" s="207"/>
      <c r="C470" s="207"/>
      <c r="E470" s="207" t="s">
        <v>125</v>
      </c>
      <c r="G470" s="207">
        <v>843</v>
      </c>
      <c r="H470" s="207" t="s">
        <v>15</v>
      </c>
      <c r="I470" s="207">
        <v>1</v>
      </c>
    </row>
    <row r="471" spans="1:9" x14ac:dyDescent="0.2">
      <c r="A471" s="207"/>
      <c r="C471" s="207"/>
    </row>
    <row r="472" spans="1:9" x14ac:dyDescent="0.2">
      <c r="A472" s="207">
        <v>95</v>
      </c>
      <c r="B472" s="207" t="s">
        <v>218</v>
      </c>
      <c r="C472" s="207"/>
      <c r="E472" s="207" t="s">
        <v>118</v>
      </c>
      <c r="G472" s="207">
        <v>283</v>
      </c>
      <c r="H472" s="207" t="s">
        <v>12</v>
      </c>
      <c r="I472" s="207">
        <v>0.33215962441314556</v>
      </c>
    </row>
    <row r="473" spans="1:9" x14ac:dyDescent="0.2">
      <c r="A473" s="207">
        <v>95</v>
      </c>
      <c r="B473" s="207" t="s">
        <v>218</v>
      </c>
      <c r="C473" s="207"/>
      <c r="E473" s="207" t="s">
        <v>119</v>
      </c>
      <c r="G473" s="207">
        <v>284</v>
      </c>
      <c r="H473" s="207" t="s">
        <v>13</v>
      </c>
      <c r="I473" s="207">
        <v>0.33333333333333331</v>
      </c>
    </row>
    <row r="474" spans="1:9" x14ac:dyDescent="0.2">
      <c r="A474" s="207">
        <v>95</v>
      </c>
      <c r="B474" s="207" t="s">
        <v>218</v>
      </c>
      <c r="C474" s="207"/>
      <c r="E474" s="207" t="s">
        <v>120</v>
      </c>
      <c r="G474" s="207">
        <v>285</v>
      </c>
      <c r="H474" s="207" t="s">
        <v>14</v>
      </c>
      <c r="I474" s="207">
        <v>0.33450704225352113</v>
      </c>
    </row>
    <row r="475" spans="1:9" x14ac:dyDescent="0.2">
      <c r="A475" s="207"/>
      <c r="C475" s="207"/>
      <c r="E475" s="207" t="s">
        <v>125</v>
      </c>
      <c r="G475" s="207">
        <v>852</v>
      </c>
      <c r="H475" s="207" t="s">
        <v>15</v>
      </c>
      <c r="I475" s="207">
        <v>1</v>
      </c>
    </row>
    <row r="476" spans="1:9" x14ac:dyDescent="0.2">
      <c r="A476" s="207"/>
      <c r="C476" s="207"/>
    </row>
    <row r="477" spans="1:9" x14ac:dyDescent="0.2">
      <c r="A477" s="207">
        <v>96</v>
      </c>
      <c r="B477" s="207" t="s">
        <v>219</v>
      </c>
      <c r="C477" s="207"/>
      <c r="E477" s="207" t="s">
        <v>118</v>
      </c>
      <c r="G477" s="207">
        <v>286</v>
      </c>
      <c r="H477" s="207" t="s">
        <v>12</v>
      </c>
      <c r="I477" s="207">
        <v>0.33217189314750289</v>
      </c>
    </row>
    <row r="478" spans="1:9" x14ac:dyDescent="0.2">
      <c r="A478" s="207">
        <v>96</v>
      </c>
      <c r="B478" s="207" t="s">
        <v>219</v>
      </c>
      <c r="C478" s="207"/>
      <c r="E478" s="207" t="s">
        <v>119</v>
      </c>
      <c r="G478" s="207">
        <v>287</v>
      </c>
      <c r="H478" s="207" t="s">
        <v>13</v>
      </c>
      <c r="I478" s="207">
        <v>0.33333333333333331</v>
      </c>
    </row>
    <row r="479" spans="1:9" x14ac:dyDescent="0.2">
      <c r="A479" s="207">
        <v>96</v>
      </c>
      <c r="B479" s="207" t="s">
        <v>219</v>
      </c>
      <c r="C479" s="207"/>
      <c r="E479" s="207" t="s">
        <v>120</v>
      </c>
      <c r="G479" s="207">
        <v>288</v>
      </c>
      <c r="H479" s="207" t="s">
        <v>14</v>
      </c>
      <c r="I479" s="207">
        <v>0.33449477351916379</v>
      </c>
    </row>
    <row r="480" spans="1:9" x14ac:dyDescent="0.2">
      <c r="A480" s="207"/>
      <c r="C480" s="207"/>
      <c r="E480" s="207" t="s">
        <v>125</v>
      </c>
      <c r="G480" s="207">
        <v>861</v>
      </c>
      <c r="H480" s="207" t="s">
        <v>15</v>
      </c>
      <c r="I480" s="207">
        <v>1</v>
      </c>
    </row>
    <row r="481" spans="1:9" x14ac:dyDescent="0.2">
      <c r="A481" s="207"/>
      <c r="C481" s="207"/>
    </row>
    <row r="482" spans="1:9" x14ac:dyDescent="0.2">
      <c r="A482" s="207">
        <v>97</v>
      </c>
      <c r="B482" s="207" t="s">
        <v>220</v>
      </c>
      <c r="C482" s="207"/>
      <c r="E482" s="207" t="s">
        <v>118</v>
      </c>
      <c r="G482" s="207">
        <v>289</v>
      </c>
      <c r="H482" s="207" t="s">
        <v>12</v>
      </c>
      <c r="I482" s="207">
        <v>0.33218390804597703</v>
      </c>
    </row>
    <row r="483" spans="1:9" x14ac:dyDescent="0.2">
      <c r="A483" s="207">
        <v>97</v>
      </c>
      <c r="B483" s="207" t="s">
        <v>220</v>
      </c>
      <c r="C483" s="207"/>
      <c r="E483" s="207" t="s">
        <v>119</v>
      </c>
      <c r="G483" s="207">
        <v>290</v>
      </c>
      <c r="H483" s="207" t="s">
        <v>13</v>
      </c>
      <c r="I483" s="207">
        <v>0.33333333333333331</v>
      </c>
    </row>
    <row r="484" spans="1:9" x14ac:dyDescent="0.2">
      <c r="A484" s="207">
        <v>97</v>
      </c>
      <c r="B484" s="207" t="s">
        <v>220</v>
      </c>
      <c r="C484" s="207"/>
      <c r="E484" s="207" t="s">
        <v>120</v>
      </c>
      <c r="G484" s="207">
        <v>291</v>
      </c>
      <c r="H484" s="207" t="s">
        <v>14</v>
      </c>
      <c r="I484" s="207">
        <v>0.33448275862068966</v>
      </c>
    </row>
    <row r="485" spans="1:9" x14ac:dyDescent="0.2">
      <c r="A485" s="207"/>
      <c r="C485" s="207"/>
      <c r="E485" s="207" t="s">
        <v>125</v>
      </c>
      <c r="G485" s="207">
        <v>870</v>
      </c>
      <c r="H485" s="207" t="s">
        <v>15</v>
      </c>
      <c r="I485" s="207">
        <v>1</v>
      </c>
    </row>
    <row r="486" spans="1:9" x14ac:dyDescent="0.2">
      <c r="A486" s="207"/>
      <c r="C486" s="207"/>
    </row>
    <row r="487" spans="1:9" x14ac:dyDescent="0.2">
      <c r="A487" s="207">
        <v>98</v>
      </c>
      <c r="B487" s="207" t="s">
        <v>221</v>
      </c>
      <c r="C487" s="207"/>
      <c r="E487" s="207" t="s">
        <v>118</v>
      </c>
      <c r="G487" s="207">
        <v>292</v>
      </c>
      <c r="H487" s="207" t="s">
        <v>12</v>
      </c>
      <c r="I487" s="207">
        <v>0.3321956769055745</v>
      </c>
    </row>
    <row r="488" spans="1:9" x14ac:dyDescent="0.2">
      <c r="A488" s="207">
        <v>98</v>
      </c>
      <c r="B488" s="207" t="s">
        <v>221</v>
      </c>
      <c r="C488" s="207"/>
      <c r="E488" s="207" t="s">
        <v>119</v>
      </c>
      <c r="G488" s="207">
        <v>293</v>
      </c>
      <c r="H488" s="207" t="s">
        <v>13</v>
      </c>
      <c r="I488" s="207">
        <v>0.33333333333333331</v>
      </c>
    </row>
    <row r="489" spans="1:9" x14ac:dyDescent="0.2">
      <c r="A489" s="207">
        <v>98</v>
      </c>
      <c r="B489" s="207" t="s">
        <v>221</v>
      </c>
      <c r="C489" s="207"/>
      <c r="E489" s="207" t="s">
        <v>120</v>
      </c>
      <c r="G489" s="207">
        <v>294</v>
      </c>
      <c r="H489" s="207" t="s">
        <v>14</v>
      </c>
      <c r="I489" s="207">
        <v>0.33447098976109213</v>
      </c>
    </row>
    <row r="490" spans="1:9" x14ac:dyDescent="0.2">
      <c r="A490" s="207"/>
      <c r="C490" s="207"/>
      <c r="E490" s="207" t="s">
        <v>125</v>
      </c>
      <c r="G490" s="207">
        <v>879</v>
      </c>
      <c r="H490" s="207" t="s">
        <v>15</v>
      </c>
      <c r="I490" s="207">
        <v>0.99999999999999989</v>
      </c>
    </row>
    <row r="491" spans="1:9" x14ac:dyDescent="0.2">
      <c r="A491" s="207"/>
      <c r="C491" s="207"/>
    </row>
    <row r="492" spans="1:9" x14ac:dyDescent="0.2">
      <c r="A492" s="207">
        <v>99</v>
      </c>
      <c r="B492" s="207" t="s">
        <v>222</v>
      </c>
      <c r="C492" s="207"/>
      <c r="E492" s="207" t="s">
        <v>118</v>
      </c>
      <c r="G492" s="207">
        <v>295</v>
      </c>
      <c r="H492" s="207" t="s">
        <v>12</v>
      </c>
      <c r="I492" s="207">
        <v>0.3322072072072072</v>
      </c>
    </row>
    <row r="493" spans="1:9" x14ac:dyDescent="0.2">
      <c r="A493" s="207">
        <v>99</v>
      </c>
      <c r="B493" s="207" t="s">
        <v>222</v>
      </c>
      <c r="C493" s="207"/>
      <c r="E493" s="207" t="s">
        <v>119</v>
      </c>
      <c r="G493" s="207">
        <v>296</v>
      </c>
      <c r="H493" s="207" t="s">
        <v>13</v>
      </c>
      <c r="I493" s="207">
        <v>0.33333333333333331</v>
      </c>
    </row>
    <row r="494" spans="1:9" x14ac:dyDescent="0.2">
      <c r="A494" s="207">
        <v>99</v>
      </c>
      <c r="B494" s="207" t="s">
        <v>222</v>
      </c>
      <c r="C494" s="207"/>
      <c r="E494" s="207" t="s">
        <v>120</v>
      </c>
      <c r="G494" s="207">
        <v>297</v>
      </c>
      <c r="H494" s="207" t="s">
        <v>14</v>
      </c>
      <c r="I494" s="207">
        <v>0.33445945945945948</v>
      </c>
    </row>
    <row r="495" spans="1:9" x14ac:dyDescent="0.2">
      <c r="A495" s="207"/>
      <c r="C495" s="207"/>
      <c r="E495" s="207" t="s">
        <v>125</v>
      </c>
      <c r="G495" s="207">
        <v>888</v>
      </c>
      <c r="H495" s="207" t="s">
        <v>15</v>
      </c>
      <c r="I495" s="207">
        <v>1</v>
      </c>
    </row>
    <row r="496" spans="1:9" x14ac:dyDescent="0.2">
      <c r="A496" s="207"/>
      <c r="C496" s="207"/>
    </row>
    <row r="497" spans="1:9" x14ac:dyDescent="0.2">
      <c r="A497" s="207">
        <v>100</v>
      </c>
      <c r="B497" s="207" t="s">
        <v>223</v>
      </c>
      <c r="C497" s="207"/>
      <c r="E497" s="207" t="s">
        <v>118</v>
      </c>
      <c r="G497" s="207">
        <v>298</v>
      </c>
      <c r="H497" s="207" t="s">
        <v>12</v>
      </c>
      <c r="I497" s="207">
        <v>0.33221850613154963</v>
      </c>
    </row>
    <row r="498" spans="1:9" x14ac:dyDescent="0.2">
      <c r="A498" s="207">
        <v>100</v>
      </c>
      <c r="B498" s="207" t="s">
        <v>223</v>
      </c>
      <c r="C498" s="207"/>
      <c r="E498" s="207" t="s">
        <v>119</v>
      </c>
      <c r="G498" s="207">
        <v>299</v>
      </c>
      <c r="H498" s="207" t="s">
        <v>13</v>
      </c>
      <c r="I498" s="207">
        <v>0.33333333333333331</v>
      </c>
    </row>
    <row r="499" spans="1:9" x14ac:dyDescent="0.2">
      <c r="A499" s="207">
        <v>100</v>
      </c>
      <c r="B499" s="207" t="s">
        <v>223</v>
      </c>
      <c r="C499" s="207"/>
      <c r="E499" s="207" t="s">
        <v>120</v>
      </c>
      <c r="G499" s="207">
        <v>300</v>
      </c>
      <c r="H499" s="207" t="s">
        <v>14</v>
      </c>
      <c r="I499" s="207">
        <v>0.33444816053511706</v>
      </c>
    </row>
    <row r="500" spans="1:9" x14ac:dyDescent="0.2">
      <c r="A500" s="207"/>
      <c r="C500" s="207"/>
      <c r="E500" s="207" t="s">
        <v>125</v>
      </c>
      <c r="G500" s="207">
        <v>897</v>
      </c>
      <c r="H500" s="207" t="s">
        <v>15</v>
      </c>
      <c r="I500" s="207">
        <v>1</v>
      </c>
    </row>
    <row r="501" spans="1:9" x14ac:dyDescent="0.2">
      <c r="A501" s="207"/>
      <c r="C501" s="207"/>
    </row>
    <row r="502" spans="1:9" x14ac:dyDescent="0.2">
      <c r="A502" s="207">
        <v>101</v>
      </c>
      <c r="B502" s="207" t="s">
        <v>224</v>
      </c>
      <c r="C502" s="207"/>
      <c r="E502" s="207" t="s">
        <v>118</v>
      </c>
      <c r="G502" s="207">
        <v>301</v>
      </c>
      <c r="H502" s="207" t="s">
        <v>12</v>
      </c>
      <c r="I502" s="207">
        <v>0.33222958057395141</v>
      </c>
    </row>
    <row r="503" spans="1:9" x14ac:dyDescent="0.2">
      <c r="A503" s="207">
        <v>101</v>
      </c>
      <c r="B503" s="207" t="s">
        <v>224</v>
      </c>
      <c r="C503" s="207"/>
      <c r="E503" s="207" t="s">
        <v>119</v>
      </c>
      <c r="G503" s="207">
        <v>302</v>
      </c>
      <c r="H503" s="207" t="s">
        <v>13</v>
      </c>
      <c r="I503" s="207">
        <v>0.33333333333333331</v>
      </c>
    </row>
    <row r="504" spans="1:9" x14ac:dyDescent="0.2">
      <c r="A504" s="207">
        <v>101</v>
      </c>
      <c r="B504" s="207" t="s">
        <v>224</v>
      </c>
      <c r="C504" s="207"/>
      <c r="E504" s="207" t="s">
        <v>120</v>
      </c>
      <c r="G504" s="207">
        <v>303</v>
      </c>
      <c r="H504" s="207" t="s">
        <v>14</v>
      </c>
      <c r="I504" s="207">
        <v>0.33443708609271522</v>
      </c>
    </row>
    <row r="505" spans="1:9" x14ac:dyDescent="0.2">
      <c r="A505" s="207"/>
      <c r="C505" s="207"/>
      <c r="E505" s="207" t="s">
        <v>125</v>
      </c>
      <c r="G505" s="207">
        <v>906</v>
      </c>
      <c r="H505" s="207" t="s">
        <v>15</v>
      </c>
      <c r="I505" s="207">
        <v>1</v>
      </c>
    </row>
    <row r="506" spans="1:9" x14ac:dyDescent="0.2">
      <c r="A506" s="207"/>
      <c r="C506" s="207"/>
    </row>
    <row r="507" spans="1:9" x14ac:dyDescent="0.2">
      <c r="A507" s="207">
        <v>102</v>
      </c>
      <c r="B507" s="207" t="s">
        <v>225</v>
      </c>
      <c r="C507" s="207"/>
      <c r="E507" s="207" t="s">
        <v>118</v>
      </c>
      <c r="G507" s="207">
        <v>304</v>
      </c>
      <c r="H507" s="207" t="s">
        <v>12</v>
      </c>
      <c r="I507" s="207">
        <v>0.33224043715846996</v>
      </c>
    </row>
    <row r="508" spans="1:9" x14ac:dyDescent="0.2">
      <c r="A508" s="207">
        <v>102</v>
      </c>
      <c r="B508" s="207" t="s">
        <v>225</v>
      </c>
      <c r="C508" s="207"/>
      <c r="E508" s="207" t="s">
        <v>119</v>
      </c>
      <c r="G508" s="207">
        <v>305</v>
      </c>
      <c r="H508" s="207" t="s">
        <v>13</v>
      </c>
      <c r="I508" s="207">
        <v>0.33333333333333331</v>
      </c>
    </row>
    <row r="509" spans="1:9" x14ac:dyDescent="0.2">
      <c r="A509" s="207">
        <v>102</v>
      </c>
      <c r="B509" s="207" t="s">
        <v>225</v>
      </c>
      <c r="C509" s="207"/>
      <c r="E509" s="207" t="s">
        <v>120</v>
      </c>
      <c r="G509" s="207">
        <v>306</v>
      </c>
      <c r="H509" s="207" t="s">
        <v>14</v>
      </c>
      <c r="I509" s="207">
        <v>0.33442622950819673</v>
      </c>
    </row>
    <row r="510" spans="1:9" x14ac:dyDescent="0.2">
      <c r="A510" s="207"/>
      <c r="C510" s="207"/>
      <c r="E510" s="207" t="s">
        <v>125</v>
      </c>
      <c r="G510" s="207">
        <v>915</v>
      </c>
      <c r="H510" s="207" t="s">
        <v>15</v>
      </c>
      <c r="I510" s="207">
        <v>1</v>
      </c>
    </row>
    <row r="511" spans="1:9" x14ac:dyDescent="0.2">
      <c r="A511" s="207"/>
      <c r="C511" s="207"/>
    </row>
    <row r="512" spans="1:9" x14ac:dyDescent="0.2">
      <c r="A512" s="207">
        <v>103</v>
      </c>
      <c r="B512" s="207" t="s">
        <v>226</v>
      </c>
      <c r="C512" s="207"/>
      <c r="E512" s="207" t="s">
        <v>118</v>
      </c>
      <c r="G512" s="207">
        <v>307</v>
      </c>
      <c r="H512" s="207" t="s">
        <v>12</v>
      </c>
      <c r="I512" s="207">
        <v>0.33225108225108224</v>
      </c>
    </row>
    <row r="513" spans="1:9" x14ac:dyDescent="0.2">
      <c r="A513" s="207">
        <v>103</v>
      </c>
      <c r="B513" s="207" t="s">
        <v>226</v>
      </c>
      <c r="C513" s="207"/>
      <c r="E513" s="207" t="s">
        <v>119</v>
      </c>
      <c r="G513" s="207">
        <v>308</v>
      </c>
      <c r="H513" s="207" t="s">
        <v>13</v>
      </c>
      <c r="I513" s="207">
        <v>0.33333333333333331</v>
      </c>
    </row>
    <row r="514" spans="1:9" x14ac:dyDescent="0.2">
      <c r="A514" s="207">
        <v>103</v>
      </c>
      <c r="B514" s="207" t="s">
        <v>226</v>
      </c>
      <c r="C514" s="207"/>
      <c r="E514" s="207" t="s">
        <v>120</v>
      </c>
      <c r="G514" s="207">
        <v>309</v>
      </c>
      <c r="H514" s="207" t="s">
        <v>14</v>
      </c>
      <c r="I514" s="207">
        <v>0.33441558441558439</v>
      </c>
    </row>
    <row r="515" spans="1:9" x14ac:dyDescent="0.2">
      <c r="A515" s="207"/>
      <c r="C515" s="207"/>
      <c r="E515" s="207" t="s">
        <v>125</v>
      </c>
      <c r="G515" s="207">
        <v>924</v>
      </c>
      <c r="H515" s="207" t="s">
        <v>15</v>
      </c>
      <c r="I515" s="207">
        <v>0.99999999999999989</v>
      </c>
    </row>
    <row r="516" spans="1:9" x14ac:dyDescent="0.2">
      <c r="A516" s="207"/>
      <c r="C516" s="207"/>
    </row>
    <row r="517" spans="1:9" x14ac:dyDescent="0.2">
      <c r="A517" s="207">
        <v>104</v>
      </c>
      <c r="B517" s="207" t="s">
        <v>227</v>
      </c>
      <c r="C517" s="207"/>
      <c r="E517" s="207" t="s">
        <v>118</v>
      </c>
      <c r="G517" s="207">
        <v>310</v>
      </c>
      <c r="H517" s="207" t="s">
        <v>12</v>
      </c>
      <c r="I517" s="207">
        <v>0.33226152197213288</v>
      </c>
    </row>
    <row r="518" spans="1:9" x14ac:dyDescent="0.2">
      <c r="A518" s="207">
        <v>104</v>
      </c>
      <c r="B518" s="207" t="s">
        <v>227</v>
      </c>
      <c r="C518" s="207"/>
      <c r="E518" s="207" t="s">
        <v>119</v>
      </c>
      <c r="G518" s="207">
        <v>311</v>
      </c>
      <c r="H518" s="207" t="s">
        <v>13</v>
      </c>
      <c r="I518" s="207">
        <v>0.33333333333333331</v>
      </c>
    </row>
    <row r="519" spans="1:9" x14ac:dyDescent="0.2">
      <c r="A519" s="207">
        <v>104</v>
      </c>
      <c r="B519" s="207" t="s">
        <v>227</v>
      </c>
      <c r="C519" s="207"/>
      <c r="E519" s="207" t="s">
        <v>120</v>
      </c>
      <c r="G519" s="207">
        <v>312</v>
      </c>
      <c r="H519" s="207" t="s">
        <v>14</v>
      </c>
      <c r="I519" s="207">
        <v>0.33440514469453375</v>
      </c>
    </row>
    <row r="520" spans="1:9" x14ac:dyDescent="0.2">
      <c r="A520" s="207"/>
      <c r="C520" s="207"/>
      <c r="E520" s="207" t="s">
        <v>125</v>
      </c>
      <c r="G520" s="207">
        <v>933</v>
      </c>
      <c r="H520" s="207" t="s">
        <v>15</v>
      </c>
      <c r="I520" s="207">
        <v>1</v>
      </c>
    </row>
    <row r="521" spans="1:9" x14ac:dyDescent="0.2">
      <c r="A521" s="207"/>
      <c r="C521" s="207"/>
    </row>
    <row r="522" spans="1:9" x14ac:dyDescent="0.2">
      <c r="A522" s="207">
        <v>105</v>
      </c>
      <c r="B522" s="207" t="s">
        <v>228</v>
      </c>
      <c r="C522" s="207"/>
      <c r="E522" s="207" t="s">
        <v>118</v>
      </c>
      <c r="G522" s="207">
        <v>313</v>
      </c>
      <c r="H522" s="207" t="s">
        <v>12</v>
      </c>
      <c r="I522" s="207">
        <v>0.33227176220806792</v>
      </c>
    </row>
    <row r="523" spans="1:9" x14ac:dyDescent="0.2">
      <c r="A523" s="207">
        <v>105</v>
      </c>
      <c r="B523" s="207" t="s">
        <v>228</v>
      </c>
      <c r="C523" s="207"/>
      <c r="E523" s="207" t="s">
        <v>119</v>
      </c>
      <c r="G523" s="207">
        <v>314</v>
      </c>
      <c r="H523" s="207" t="s">
        <v>13</v>
      </c>
      <c r="I523" s="207">
        <v>0.33333333333333331</v>
      </c>
    </row>
    <row r="524" spans="1:9" x14ac:dyDescent="0.2">
      <c r="A524" s="207">
        <v>105</v>
      </c>
      <c r="B524" s="207" t="s">
        <v>228</v>
      </c>
      <c r="C524" s="207"/>
      <c r="E524" s="207" t="s">
        <v>120</v>
      </c>
      <c r="G524" s="207">
        <v>315</v>
      </c>
      <c r="H524" s="207" t="s">
        <v>14</v>
      </c>
      <c r="I524" s="207">
        <v>0.33439490445859871</v>
      </c>
    </row>
    <row r="525" spans="1:9" x14ac:dyDescent="0.2">
      <c r="A525" s="207"/>
      <c r="C525" s="207"/>
      <c r="E525" s="207" t="s">
        <v>125</v>
      </c>
      <c r="G525" s="207">
        <v>942</v>
      </c>
      <c r="H525" s="207" t="s">
        <v>15</v>
      </c>
      <c r="I525" s="207">
        <v>1</v>
      </c>
    </row>
    <row r="526" spans="1:9" x14ac:dyDescent="0.2">
      <c r="A526" s="207"/>
      <c r="C526" s="207"/>
    </row>
    <row r="527" spans="1:9" x14ac:dyDescent="0.2">
      <c r="A527" s="207">
        <v>106</v>
      </c>
      <c r="B527" s="207" t="s">
        <v>229</v>
      </c>
      <c r="C527" s="207"/>
      <c r="E527" s="207" t="s">
        <v>118</v>
      </c>
      <c r="G527" s="207">
        <v>316</v>
      </c>
      <c r="H527" s="207" t="s">
        <v>12</v>
      </c>
      <c r="I527" s="207">
        <v>0.33228180862250262</v>
      </c>
    </row>
    <row r="528" spans="1:9" x14ac:dyDescent="0.2">
      <c r="A528" s="207">
        <v>106</v>
      </c>
      <c r="B528" s="207" t="s">
        <v>229</v>
      </c>
      <c r="C528" s="207"/>
      <c r="E528" s="207" t="s">
        <v>119</v>
      </c>
      <c r="G528" s="207">
        <v>317</v>
      </c>
      <c r="H528" s="207" t="s">
        <v>13</v>
      </c>
      <c r="I528" s="207">
        <v>0.33333333333333331</v>
      </c>
    </row>
    <row r="529" spans="1:9" x14ac:dyDescent="0.2">
      <c r="A529" s="207">
        <v>106</v>
      </c>
      <c r="B529" s="207" t="s">
        <v>229</v>
      </c>
      <c r="C529" s="207"/>
      <c r="E529" s="207" t="s">
        <v>120</v>
      </c>
      <c r="G529" s="207">
        <v>318</v>
      </c>
      <c r="H529" s="207" t="s">
        <v>14</v>
      </c>
      <c r="I529" s="207">
        <v>0.33438485804416401</v>
      </c>
    </row>
    <row r="530" spans="1:9" x14ac:dyDescent="0.2">
      <c r="A530" s="207"/>
      <c r="C530" s="207"/>
      <c r="E530" s="207" t="s">
        <v>125</v>
      </c>
      <c r="G530" s="207">
        <v>951</v>
      </c>
      <c r="H530" s="207" t="s">
        <v>15</v>
      </c>
      <c r="I530" s="207">
        <v>1</v>
      </c>
    </row>
    <row r="531" spans="1:9" x14ac:dyDescent="0.2">
      <c r="A531" s="207"/>
      <c r="C531" s="207"/>
    </row>
    <row r="532" spans="1:9" x14ac:dyDescent="0.2">
      <c r="A532" s="207">
        <v>107</v>
      </c>
      <c r="B532" s="207" t="s">
        <v>230</v>
      </c>
      <c r="C532" s="207"/>
      <c r="E532" s="207" t="s">
        <v>118</v>
      </c>
      <c r="G532" s="207">
        <v>319</v>
      </c>
      <c r="H532" s="207" t="s">
        <v>12</v>
      </c>
      <c r="I532" s="207">
        <v>0.33229166666666665</v>
      </c>
    </row>
    <row r="533" spans="1:9" x14ac:dyDescent="0.2">
      <c r="A533" s="207">
        <v>107</v>
      </c>
      <c r="B533" s="207" t="s">
        <v>230</v>
      </c>
      <c r="C533" s="207"/>
      <c r="E533" s="207" t="s">
        <v>119</v>
      </c>
      <c r="G533" s="207">
        <v>320</v>
      </c>
      <c r="H533" s="207" t="s">
        <v>13</v>
      </c>
      <c r="I533" s="207">
        <v>0.33333333333333331</v>
      </c>
    </row>
    <row r="534" spans="1:9" x14ac:dyDescent="0.2">
      <c r="A534" s="207">
        <v>107</v>
      </c>
      <c r="B534" s="207" t="s">
        <v>230</v>
      </c>
      <c r="C534" s="207"/>
      <c r="E534" s="207" t="s">
        <v>120</v>
      </c>
      <c r="G534" s="207">
        <v>321</v>
      </c>
      <c r="H534" s="207" t="s">
        <v>14</v>
      </c>
      <c r="I534" s="207">
        <v>0.33437499999999998</v>
      </c>
    </row>
    <row r="535" spans="1:9" x14ac:dyDescent="0.2">
      <c r="A535" s="207"/>
      <c r="C535" s="207"/>
      <c r="E535" s="207" t="s">
        <v>125</v>
      </c>
      <c r="G535" s="207">
        <v>960</v>
      </c>
      <c r="H535" s="207" t="s">
        <v>15</v>
      </c>
      <c r="I535" s="207">
        <v>0.99999999999999989</v>
      </c>
    </row>
    <row r="536" spans="1:9" x14ac:dyDescent="0.2">
      <c r="A536" s="207"/>
      <c r="C536" s="207"/>
    </row>
    <row r="537" spans="1:9" x14ac:dyDescent="0.2">
      <c r="A537" s="207">
        <v>108</v>
      </c>
      <c r="B537" s="207" t="s">
        <v>231</v>
      </c>
      <c r="C537" s="207"/>
      <c r="E537" s="207" t="s">
        <v>118</v>
      </c>
      <c r="G537" s="207">
        <v>322</v>
      </c>
      <c r="H537" s="207" t="s">
        <v>12</v>
      </c>
      <c r="I537" s="207">
        <v>0.33230134158926727</v>
      </c>
    </row>
    <row r="538" spans="1:9" x14ac:dyDescent="0.2">
      <c r="A538" s="207">
        <v>108</v>
      </c>
      <c r="B538" s="207" t="s">
        <v>231</v>
      </c>
      <c r="C538" s="207"/>
      <c r="E538" s="207" t="s">
        <v>119</v>
      </c>
      <c r="G538" s="207">
        <v>323</v>
      </c>
      <c r="H538" s="207" t="s">
        <v>13</v>
      </c>
      <c r="I538" s="207">
        <v>0.33333333333333331</v>
      </c>
    </row>
    <row r="539" spans="1:9" x14ac:dyDescent="0.2">
      <c r="A539" s="207">
        <v>108</v>
      </c>
      <c r="B539" s="207" t="s">
        <v>231</v>
      </c>
      <c r="C539" s="207"/>
      <c r="E539" s="207" t="s">
        <v>120</v>
      </c>
      <c r="G539" s="207">
        <v>324</v>
      </c>
      <c r="H539" s="207" t="s">
        <v>14</v>
      </c>
      <c r="I539" s="207">
        <v>0.33436532507739936</v>
      </c>
    </row>
    <row r="540" spans="1:9" x14ac:dyDescent="0.2">
      <c r="A540" s="207"/>
      <c r="C540" s="207"/>
      <c r="E540" s="207" t="s">
        <v>125</v>
      </c>
      <c r="G540" s="207">
        <v>969</v>
      </c>
      <c r="H540" s="207" t="s">
        <v>15</v>
      </c>
      <c r="I540" s="207">
        <v>0.99999999999999989</v>
      </c>
    </row>
    <row r="541" spans="1:9" x14ac:dyDescent="0.2">
      <c r="A541" s="207"/>
      <c r="C541" s="207"/>
    </row>
    <row r="542" spans="1:9" x14ac:dyDescent="0.2">
      <c r="A542" s="207">
        <v>109</v>
      </c>
      <c r="B542" s="207" t="s">
        <v>232</v>
      </c>
      <c r="C542" s="207"/>
      <c r="E542" s="207" t="s">
        <v>118</v>
      </c>
      <c r="G542" s="207">
        <v>325</v>
      </c>
      <c r="H542" s="207" t="s">
        <v>12</v>
      </c>
      <c r="I542" s="207">
        <v>0.33231083844580778</v>
      </c>
    </row>
    <row r="543" spans="1:9" x14ac:dyDescent="0.2">
      <c r="A543" s="207">
        <v>109</v>
      </c>
      <c r="B543" s="207" t="s">
        <v>232</v>
      </c>
      <c r="C543" s="207"/>
      <c r="E543" s="207" t="s">
        <v>119</v>
      </c>
      <c r="G543" s="207">
        <v>326</v>
      </c>
      <c r="H543" s="207" t="s">
        <v>13</v>
      </c>
      <c r="I543" s="207">
        <v>0.33333333333333331</v>
      </c>
    </row>
    <row r="544" spans="1:9" x14ac:dyDescent="0.2">
      <c r="A544" s="207">
        <v>109</v>
      </c>
      <c r="B544" s="207" t="s">
        <v>232</v>
      </c>
      <c r="C544" s="207"/>
      <c r="E544" s="207" t="s">
        <v>120</v>
      </c>
      <c r="G544" s="207">
        <v>327</v>
      </c>
      <c r="H544" s="207" t="s">
        <v>14</v>
      </c>
      <c r="I544" s="207">
        <v>0.33435582822085891</v>
      </c>
    </row>
    <row r="545" spans="1:9" x14ac:dyDescent="0.2">
      <c r="A545" s="207"/>
      <c r="C545" s="207"/>
      <c r="E545" s="207" t="s">
        <v>125</v>
      </c>
      <c r="G545" s="207">
        <v>978</v>
      </c>
      <c r="H545" s="207" t="s">
        <v>15</v>
      </c>
      <c r="I545" s="207">
        <v>1</v>
      </c>
    </row>
    <row r="546" spans="1:9" x14ac:dyDescent="0.2">
      <c r="A546" s="207"/>
      <c r="C546" s="207"/>
    </row>
    <row r="547" spans="1:9" x14ac:dyDescent="0.2">
      <c r="A547" s="207">
        <v>110</v>
      </c>
      <c r="B547" s="207" t="s">
        <v>233</v>
      </c>
      <c r="C547" s="207"/>
      <c r="E547" s="207" t="s">
        <v>118</v>
      </c>
      <c r="G547" s="207">
        <v>328</v>
      </c>
      <c r="H547" s="207" t="s">
        <v>12</v>
      </c>
      <c r="I547" s="207">
        <v>0.33232016210739618</v>
      </c>
    </row>
    <row r="548" spans="1:9" x14ac:dyDescent="0.2">
      <c r="A548" s="207">
        <v>110</v>
      </c>
      <c r="B548" s="207" t="s">
        <v>233</v>
      </c>
      <c r="C548" s="207"/>
      <c r="E548" s="207" t="s">
        <v>119</v>
      </c>
      <c r="G548" s="207">
        <v>329</v>
      </c>
      <c r="H548" s="207" t="s">
        <v>13</v>
      </c>
      <c r="I548" s="207">
        <v>0.33333333333333331</v>
      </c>
    </row>
    <row r="549" spans="1:9" x14ac:dyDescent="0.2">
      <c r="A549" s="207">
        <v>110</v>
      </c>
      <c r="B549" s="207" t="s">
        <v>233</v>
      </c>
      <c r="C549" s="207"/>
      <c r="E549" s="207" t="s">
        <v>120</v>
      </c>
      <c r="G549" s="207">
        <v>330</v>
      </c>
      <c r="H549" s="207" t="s">
        <v>14</v>
      </c>
      <c r="I549" s="207">
        <v>0.33434650455927051</v>
      </c>
    </row>
    <row r="550" spans="1:9" x14ac:dyDescent="0.2">
      <c r="A550" s="207"/>
      <c r="C550" s="207"/>
      <c r="E550" s="207" t="s">
        <v>125</v>
      </c>
      <c r="G550" s="207">
        <v>987</v>
      </c>
      <c r="H550" s="207" t="s">
        <v>15</v>
      </c>
      <c r="I550" s="207">
        <v>1</v>
      </c>
    </row>
    <row r="551" spans="1:9" x14ac:dyDescent="0.2">
      <c r="A551" s="207"/>
      <c r="C551" s="207"/>
    </row>
    <row r="552" spans="1:9" x14ac:dyDescent="0.2">
      <c r="A552" s="207">
        <v>111</v>
      </c>
      <c r="B552" s="207" t="s">
        <v>234</v>
      </c>
      <c r="C552" s="207"/>
      <c r="E552" s="207" t="s">
        <v>118</v>
      </c>
      <c r="G552" s="207">
        <v>331</v>
      </c>
      <c r="H552" s="207" t="s">
        <v>12</v>
      </c>
      <c r="I552" s="207">
        <v>0.33232931726907633</v>
      </c>
    </row>
    <row r="553" spans="1:9" x14ac:dyDescent="0.2">
      <c r="A553" s="207">
        <v>111</v>
      </c>
      <c r="B553" s="207" t="s">
        <v>234</v>
      </c>
      <c r="C553" s="207"/>
      <c r="E553" s="207" t="s">
        <v>119</v>
      </c>
      <c r="G553" s="207">
        <v>332</v>
      </c>
      <c r="H553" s="207" t="s">
        <v>13</v>
      </c>
      <c r="I553" s="207">
        <v>0.33333333333333331</v>
      </c>
    </row>
    <row r="554" spans="1:9" x14ac:dyDescent="0.2">
      <c r="A554" s="207">
        <v>111</v>
      </c>
      <c r="B554" s="207" t="s">
        <v>234</v>
      </c>
      <c r="C554" s="207"/>
      <c r="E554" s="207" t="s">
        <v>120</v>
      </c>
      <c r="G554" s="207">
        <v>333</v>
      </c>
      <c r="H554" s="207" t="s">
        <v>14</v>
      </c>
      <c r="I554" s="207">
        <v>0.33433734939759036</v>
      </c>
    </row>
    <row r="555" spans="1:9" x14ac:dyDescent="0.2">
      <c r="A555" s="207"/>
      <c r="C555" s="207"/>
      <c r="E555" s="207" t="s">
        <v>125</v>
      </c>
      <c r="G555" s="207">
        <v>996</v>
      </c>
      <c r="H555" s="207" t="s">
        <v>15</v>
      </c>
      <c r="I555" s="207">
        <v>1</v>
      </c>
    </row>
    <row r="556" spans="1:9" x14ac:dyDescent="0.2">
      <c r="A556" s="207"/>
      <c r="C556" s="207"/>
    </row>
    <row r="557" spans="1:9" x14ac:dyDescent="0.2">
      <c r="A557" s="207">
        <v>112</v>
      </c>
      <c r="B557" s="207" t="s">
        <v>235</v>
      </c>
      <c r="C557" s="207"/>
      <c r="E557" s="207" t="s">
        <v>118</v>
      </c>
      <c r="G557" s="207">
        <v>334</v>
      </c>
      <c r="H557" s="207" t="s">
        <v>12</v>
      </c>
      <c r="I557" s="207">
        <v>0.33233830845771145</v>
      </c>
    </row>
    <row r="558" spans="1:9" x14ac:dyDescent="0.2">
      <c r="A558" s="207">
        <v>112</v>
      </c>
      <c r="B558" s="207" t="s">
        <v>235</v>
      </c>
      <c r="C558" s="207"/>
      <c r="E558" s="207" t="s">
        <v>119</v>
      </c>
      <c r="G558" s="207">
        <v>335</v>
      </c>
      <c r="H558" s="207" t="s">
        <v>13</v>
      </c>
      <c r="I558" s="207">
        <v>0.33333333333333331</v>
      </c>
    </row>
    <row r="559" spans="1:9" x14ac:dyDescent="0.2">
      <c r="A559" s="207">
        <v>112</v>
      </c>
      <c r="B559" s="207" t="s">
        <v>235</v>
      </c>
      <c r="C559" s="207"/>
      <c r="E559" s="207" t="s">
        <v>120</v>
      </c>
      <c r="G559" s="207">
        <v>336</v>
      </c>
      <c r="H559" s="207" t="s">
        <v>14</v>
      </c>
      <c r="I559" s="207">
        <v>0.33432835820895523</v>
      </c>
    </row>
    <row r="560" spans="1:9" x14ac:dyDescent="0.2">
      <c r="A560" s="207"/>
      <c r="C560" s="207"/>
      <c r="E560" s="207" t="s">
        <v>125</v>
      </c>
      <c r="G560" s="207">
        <v>1005</v>
      </c>
      <c r="H560" s="207" t="s">
        <v>15</v>
      </c>
      <c r="I560" s="207">
        <v>1</v>
      </c>
    </row>
    <row r="561" spans="1:9" x14ac:dyDescent="0.2">
      <c r="A561" s="207"/>
      <c r="C561" s="207"/>
    </row>
    <row r="562" spans="1:9" x14ac:dyDescent="0.2">
      <c r="A562" s="207">
        <v>113</v>
      </c>
      <c r="B562" s="207" t="s">
        <v>236</v>
      </c>
      <c r="C562" s="207"/>
      <c r="E562" s="207" t="s">
        <v>118</v>
      </c>
      <c r="G562" s="207">
        <v>337</v>
      </c>
      <c r="H562" s="207" t="s">
        <v>12</v>
      </c>
      <c r="I562" s="207">
        <v>0.33234714003944771</v>
      </c>
    </row>
    <row r="563" spans="1:9" x14ac:dyDescent="0.2">
      <c r="A563" s="207">
        <v>113</v>
      </c>
      <c r="B563" s="207" t="s">
        <v>236</v>
      </c>
      <c r="C563" s="207"/>
      <c r="E563" s="207" t="s">
        <v>119</v>
      </c>
      <c r="G563" s="207">
        <v>338</v>
      </c>
      <c r="H563" s="207" t="s">
        <v>13</v>
      </c>
      <c r="I563" s="207">
        <v>0.33333333333333331</v>
      </c>
    </row>
    <row r="564" spans="1:9" x14ac:dyDescent="0.2">
      <c r="A564" s="207">
        <v>113</v>
      </c>
      <c r="B564" s="207" t="s">
        <v>236</v>
      </c>
      <c r="C564" s="207"/>
      <c r="E564" s="207" t="s">
        <v>120</v>
      </c>
      <c r="G564" s="207">
        <v>339</v>
      </c>
      <c r="H564" s="207" t="s">
        <v>14</v>
      </c>
      <c r="I564" s="207">
        <v>0.33431952662721892</v>
      </c>
    </row>
    <row r="565" spans="1:9" x14ac:dyDescent="0.2">
      <c r="A565" s="207"/>
      <c r="C565" s="207"/>
      <c r="E565" s="207" t="s">
        <v>125</v>
      </c>
      <c r="G565" s="207">
        <v>1014</v>
      </c>
      <c r="H565" s="207" t="s">
        <v>15</v>
      </c>
      <c r="I565" s="207">
        <v>1</v>
      </c>
    </row>
    <row r="566" spans="1:9" x14ac:dyDescent="0.2">
      <c r="A566" s="207"/>
      <c r="C566" s="207"/>
    </row>
    <row r="567" spans="1:9" x14ac:dyDescent="0.2">
      <c r="A567" s="207">
        <v>114</v>
      </c>
      <c r="B567" s="207" t="s">
        <v>237</v>
      </c>
      <c r="C567" s="207"/>
      <c r="E567" s="207" t="s">
        <v>118</v>
      </c>
      <c r="G567" s="207">
        <v>340</v>
      </c>
      <c r="H567" s="207" t="s">
        <v>12</v>
      </c>
      <c r="I567" s="207">
        <v>0.33235581622678395</v>
      </c>
    </row>
    <row r="568" spans="1:9" x14ac:dyDescent="0.2">
      <c r="A568" s="207">
        <v>114</v>
      </c>
      <c r="B568" s="207" t="s">
        <v>237</v>
      </c>
      <c r="C568" s="207"/>
      <c r="E568" s="207" t="s">
        <v>119</v>
      </c>
      <c r="G568" s="207">
        <v>341</v>
      </c>
      <c r="H568" s="207" t="s">
        <v>13</v>
      </c>
      <c r="I568" s="207">
        <v>0.33333333333333331</v>
      </c>
    </row>
    <row r="569" spans="1:9" x14ac:dyDescent="0.2">
      <c r="A569" s="207">
        <v>114</v>
      </c>
      <c r="B569" s="207" t="s">
        <v>237</v>
      </c>
      <c r="C569" s="207"/>
      <c r="E569" s="207" t="s">
        <v>120</v>
      </c>
      <c r="G569" s="207">
        <v>342</v>
      </c>
      <c r="H569" s="207" t="s">
        <v>14</v>
      </c>
      <c r="I569" s="207">
        <v>0.33431085043988268</v>
      </c>
    </row>
    <row r="570" spans="1:9" x14ac:dyDescent="0.2">
      <c r="A570" s="207"/>
      <c r="C570" s="207"/>
      <c r="E570" s="207" t="s">
        <v>125</v>
      </c>
      <c r="G570" s="207">
        <v>1023</v>
      </c>
      <c r="H570" s="207" t="s">
        <v>15</v>
      </c>
      <c r="I570" s="207">
        <v>1</v>
      </c>
    </row>
    <row r="571" spans="1:9" x14ac:dyDescent="0.2">
      <c r="A571" s="207"/>
      <c r="C571" s="207"/>
    </row>
    <row r="572" spans="1:9" x14ac:dyDescent="0.2">
      <c r="A572" s="207">
        <v>115</v>
      </c>
      <c r="B572" s="207" t="s">
        <v>238</v>
      </c>
      <c r="C572" s="207"/>
      <c r="E572" s="207" t="s">
        <v>118</v>
      </c>
      <c r="G572" s="207">
        <v>343</v>
      </c>
      <c r="H572" s="207" t="s">
        <v>12</v>
      </c>
      <c r="I572" s="207">
        <v>0.3323643410852713</v>
      </c>
    </row>
    <row r="573" spans="1:9" x14ac:dyDescent="0.2">
      <c r="A573" s="207">
        <v>115</v>
      </c>
      <c r="B573" s="207" t="s">
        <v>238</v>
      </c>
      <c r="C573" s="207"/>
      <c r="E573" s="207" t="s">
        <v>119</v>
      </c>
      <c r="G573" s="207">
        <v>344</v>
      </c>
      <c r="H573" s="207" t="s">
        <v>13</v>
      </c>
      <c r="I573" s="207">
        <v>0.33333333333333331</v>
      </c>
    </row>
    <row r="574" spans="1:9" x14ac:dyDescent="0.2">
      <c r="A574" s="207">
        <v>115</v>
      </c>
      <c r="B574" s="207" t="s">
        <v>238</v>
      </c>
      <c r="C574" s="207"/>
      <c r="E574" s="207" t="s">
        <v>120</v>
      </c>
      <c r="G574" s="207">
        <v>345</v>
      </c>
      <c r="H574" s="207" t="s">
        <v>14</v>
      </c>
      <c r="I574" s="207">
        <v>0.33430232558139533</v>
      </c>
    </row>
    <row r="575" spans="1:9" x14ac:dyDescent="0.2">
      <c r="A575" s="207"/>
      <c r="C575" s="207"/>
      <c r="E575" s="207" t="s">
        <v>125</v>
      </c>
      <c r="G575" s="207">
        <v>1032</v>
      </c>
      <c r="H575" s="207" t="s">
        <v>15</v>
      </c>
      <c r="I575" s="207">
        <v>1</v>
      </c>
    </row>
    <row r="576" spans="1:9" x14ac:dyDescent="0.2">
      <c r="A576" s="207"/>
      <c r="C576" s="207"/>
    </row>
    <row r="577" spans="1:9" x14ac:dyDescent="0.2">
      <c r="A577" s="207">
        <v>116</v>
      </c>
      <c r="B577" s="207" t="s">
        <v>239</v>
      </c>
      <c r="C577" s="207"/>
      <c r="E577" s="207" t="s">
        <v>118</v>
      </c>
      <c r="G577" s="207">
        <v>346</v>
      </c>
      <c r="H577" s="207" t="s">
        <v>12</v>
      </c>
      <c r="I577" s="207">
        <v>0.3323727185398655</v>
      </c>
    </row>
    <row r="578" spans="1:9" x14ac:dyDescent="0.2">
      <c r="A578" s="207">
        <v>116</v>
      </c>
      <c r="B578" s="207" t="s">
        <v>239</v>
      </c>
      <c r="C578" s="207"/>
      <c r="E578" s="207" t="s">
        <v>119</v>
      </c>
      <c r="G578" s="207">
        <v>347</v>
      </c>
      <c r="H578" s="207" t="s">
        <v>13</v>
      </c>
      <c r="I578" s="207">
        <v>0.33333333333333331</v>
      </c>
    </row>
    <row r="579" spans="1:9" x14ac:dyDescent="0.2">
      <c r="A579" s="207">
        <v>116</v>
      </c>
      <c r="B579" s="207" t="s">
        <v>239</v>
      </c>
      <c r="C579" s="207"/>
      <c r="E579" s="207" t="s">
        <v>120</v>
      </c>
      <c r="G579" s="207">
        <v>348</v>
      </c>
      <c r="H579" s="207" t="s">
        <v>14</v>
      </c>
      <c r="I579" s="207">
        <v>0.33429394812680113</v>
      </c>
    </row>
    <row r="580" spans="1:9" x14ac:dyDescent="0.2">
      <c r="A580" s="207"/>
      <c r="C580" s="207"/>
      <c r="E580" s="207" t="s">
        <v>125</v>
      </c>
      <c r="G580" s="207">
        <v>1041</v>
      </c>
      <c r="H580" s="207" t="s">
        <v>15</v>
      </c>
      <c r="I580" s="207">
        <v>0.99999999999999989</v>
      </c>
    </row>
    <row r="581" spans="1:9" x14ac:dyDescent="0.2">
      <c r="A581" s="207"/>
      <c r="C581" s="207"/>
    </row>
    <row r="582" spans="1:9" x14ac:dyDescent="0.2">
      <c r="A582" s="207">
        <v>117</v>
      </c>
      <c r="B582" s="207" t="s">
        <v>240</v>
      </c>
      <c r="C582" s="207"/>
      <c r="E582" s="207" t="s">
        <v>118</v>
      </c>
      <c r="G582" s="207">
        <v>349</v>
      </c>
      <c r="H582" s="207" t="s">
        <v>12</v>
      </c>
      <c r="I582" s="207">
        <v>0.33238095238095239</v>
      </c>
    </row>
    <row r="583" spans="1:9" x14ac:dyDescent="0.2">
      <c r="A583" s="207">
        <v>117</v>
      </c>
      <c r="B583" s="207" t="s">
        <v>240</v>
      </c>
      <c r="C583" s="207"/>
      <c r="E583" s="207" t="s">
        <v>119</v>
      </c>
      <c r="G583" s="207">
        <v>350</v>
      </c>
      <c r="H583" s="207" t="s">
        <v>13</v>
      </c>
      <c r="I583" s="207">
        <v>0.33333333333333331</v>
      </c>
    </row>
    <row r="584" spans="1:9" x14ac:dyDescent="0.2">
      <c r="A584" s="207">
        <v>117</v>
      </c>
      <c r="B584" s="207" t="s">
        <v>240</v>
      </c>
      <c r="C584" s="207"/>
      <c r="E584" s="207" t="s">
        <v>120</v>
      </c>
      <c r="G584" s="207">
        <v>351</v>
      </c>
      <c r="H584" s="207" t="s">
        <v>14</v>
      </c>
      <c r="I584" s="207">
        <v>0.3342857142857143</v>
      </c>
    </row>
    <row r="585" spans="1:9" x14ac:dyDescent="0.2">
      <c r="A585" s="207"/>
      <c r="C585" s="207"/>
      <c r="E585" s="207" t="s">
        <v>125</v>
      </c>
      <c r="G585" s="207">
        <v>1050</v>
      </c>
      <c r="H585" s="207" t="s">
        <v>15</v>
      </c>
      <c r="I585" s="207">
        <v>1</v>
      </c>
    </row>
    <row r="586" spans="1:9" x14ac:dyDescent="0.2">
      <c r="A586" s="207"/>
      <c r="C586" s="207"/>
    </row>
    <row r="587" spans="1:9" x14ac:dyDescent="0.2">
      <c r="A587" s="207">
        <v>118</v>
      </c>
      <c r="B587" s="207" t="s">
        <v>241</v>
      </c>
      <c r="C587" s="207"/>
      <c r="E587" s="207" t="s">
        <v>118</v>
      </c>
      <c r="G587" s="207">
        <v>352</v>
      </c>
      <c r="H587" s="207" t="s">
        <v>12</v>
      </c>
      <c r="I587" s="207">
        <v>0.3323890462700661</v>
      </c>
    </row>
    <row r="588" spans="1:9" x14ac:dyDescent="0.2">
      <c r="A588" s="207">
        <v>118</v>
      </c>
      <c r="B588" s="207" t="s">
        <v>241</v>
      </c>
      <c r="C588" s="207"/>
      <c r="E588" s="207" t="s">
        <v>119</v>
      </c>
      <c r="G588" s="207">
        <v>353</v>
      </c>
      <c r="H588" s="207" t="s">
        <v>13</v>
      </c>
      <c r="I588" s="207">
        <v>0.33333333333333331</v>
      </c>
    </row>
    <row r="589" spans="1:9" x14ac:dyDescent="0.2">
      <c r="A589" s="207">
        <v>118</v>
      </c>
      <c r="B589" s="207" t="s">
        <v>241</v>
      </c>
      <c r="C589" s="207"/>
      <c r="E589" s="207" t="s">
        <v>120</v>
      </c>
      <c r="G589" s="207">
        <v>354</v>
      </c>
      <c r="H589" s="207" t="s">
        <v>14</v>
      </c>
      <c r="I589" s="207">
        <v>0.33427762039660058</v>
      </c>
    </row>
    <row r="590" spans="1:9" x14ac:dyDescent="0.2">
      <c r="A590" s="207"/>
      <c r="C590" s="207"/>
      <c r="E590" s="207" t="s">
        <v>125</v>
      </c>
      <c r="G590" s="207">
        <v>1059</v>
      </c>
      <c r="H590" s="207" t="s">
        <v>15</v>
      </c>
      <c r="I590" s="207">
        <v>1</v>
      </c>
    </row>
    <row r="591" spans="1:9" x14ac:dyDescent="0.2">
      <c r="A591" s="207"/>
      <c r="C591" s="207"/>
    </row>
    <row r="592" spans="1:9" x14ac:dyDescent="0.2">
      <c r="A592" s="207">
        <v>119</v>
      </c>
      <c r="B592" s="207" t="s">
        <v>242</v>
      </c>
      <c r="C592" s="207"/>
      <c r="E592" s="207" t="s">
        <v>118</v>
      </c>
      <c r="G592" s="207">
        <v>355</v>
      </c>
      <c r="H592" s="207" t="s">
        <v>12</v>
      </c>
      <c r="I592" s="207">
        <v>0.33239700374531833</v>
      </c>
    </row>
    <row r="593" spans="1:9" x14ac:dyDescent="0.2">
      <c r="A593" s="207">
        <v>119</v>
      </c>
      <c r="B593" s="207" t="s">
        <v>242</v>
      </c>
      <c r="C593" s="207"/>
      <c r="E593" s="207" t="s">
        <v>119</v>
      </c>
      <c r="G593" s="207">
        <v>356</v>
      </c>
      <c r="H593" s="207" t="s">
        <v>13</v>
      </c>
      <c r="I593" s="207">
        <v>0.33333333333333331</v>
      </c>
    </row>
    <row r="594" spans="1:9" x14ac:dyDescent="0.2">
      <c r="A594" s="207">
        <v>119</v>
      </c>
      <c r="B594" s="207" t="s">
        <v>242</v>
      </c>
      <c r="C594" s="207"/>
      <c r="E594" s="207" t="s">
        <v>120</v>
      </c>
      <c r="G594" s="207">
        <v>357</v>
      </c>
      <c r="H594" s="207" t="s">
        <v>14</v>
      </c>
      <c r="I594" s="207">
        <v>0.3342696629213483</v>
      </c>
    </row>
    <row r="595" spans="1:9" x14ac:dyDescent="0.2">
      <c r="A595" s="207"/>
      <c r="C595" s="207"/>
      <c r="E595" s="207" t="s">
        <v>125</v>
      </c>
      <c r="G595" s="207">
        <v>1068</v>
      </c>
      <c r="H595" s="207" t="s">
        <v>15</v>
      </c>
      <c r="I595" s="207">
        <v>0.99999999999999989</v>
      </c>
    </row>
    <row r="596" spans="1:9" x14ac:dyDescent="0.2">
      <c r="A596" s="207"/>
      <c r="C596" s="207"/>
    </row>
    <row r="597" spans="1:9" x14ac:dyDescent="0.2">
      <c r="A597" s="207">
        <v>120</v>
      </c>
      <c r="B597" s="207" t="s">
        <v>243</v>
      </c>
      <c r="C597" s="207"/>
      <c r="E597" s="207" t="s">
        <v>118</v>
      </c>
      <c r="G597" s="207">
        <v>358</v>
      </c>
      <c r="H597" s="207" t="s">
        <v>12</v>
      </c>
      <c r="I597" s="207">
        <v>0.33240482822655526</v>
      </c>
    </row>
    <row r="598" spans="1:9" x14ac:dyDescent="0.2">
      <c r="A598" s="207">
        <v>120</v>
      </c>
      <c r="B598" s="207" t="s">
        <v>243</v>
      </c>
      <c r="C598" s="207"/>
      <c r="E598" s="207" t="s">
        <v>119</v>
      </c>
      <c r="G598" s="207">
        <v>359</v>
      </c>
      <c r="H598" s="207" t="s">
        <v>13</v>
      </c>
      <c r="I598" s="207">
        <v>0.33333333333333331</v>
      </c>
    </row>
    <row r="599" spans="1:9" x14ac:dyDescent="0.2">
      <c r="A599" s="207">
        <v>120</v>
      </c>
      <c r="B599" s="207" t="s">
        <v>243</v>
      </c>
      <c r="C599" s="207"/>
      <c r="E599" s="207" t="s">
        <v>120</v>
      </c>
      <c r="G599" s="207">
        <v>360</v>
      </c>
      <c r="H599" s="207" t="s">
        <v>14</v>
      </c>
      <c r="I599" s="207">
        <v>0.33426183844011143</v>
      </c>
    </row>
    <row r="600" spans="1:9" x14ac:dyDescent="0.2">
      <c r="A600" s="207"/>
      <c r="C600" s="207"/>
      <c r="E600" s="207" t="s">
        <v>125</v>
      </c>
      <c r="G600" s="207">
        <v>1077</v>
      </c>
      <c r="H600" s="207" t="s">
        <v>15</v>
      </c>
      <c r="I600" s="207">
        <v>1</v>
      </c>
    </row>
    <row r="601" spans="1:9" x14ac:dyDescent="0.2">
      <c r="A601" s="207"/>
      <c r="C601" s="207"/>
    </row>
    <row r="602" spans="1:9" x14ac:dyDescent="0.2">
      <c r="A602" s="207">
        <v>121</v>
      </c>
      <c r="B602" s="207" t="s">
        <v>244</v>
      </c>
      <c r="C602" s="207"/>
      <c r="E602" s="207" t="s">
        <v>118</v>
      </c>
      <c r="G602" s="207">
        <v>361</v>
      </c>
      <c r="H602" s="207" t="s">
        <v>12</v>
      </c>
      <c r="I602" s="207">
        <v>0.33241252302025781</v>
      </c>
    </row>
    <row r="603" spans="1:9" x14ac:dyDescent="0.2">
      <c r="A603" s="207">
        <v>121</v>
      </c>
      <c r="B603" s="207" t="s">
        <v>244</v>
      </c>
      <c r="C603" s="207"/>
      <c r="E603" s="207" t="s">
        <v>119</v>
      </c>
      <c r="G603" s="207">
        <v>362</v>
      </c>
      <c r="H603" s="207" t="s">
        <v>13</v>
      </c>
      <c r="I603" s="207">
        <v>0.33333333333333331</v>
      </c>
    </row>
    <row r="604" spans="1:9" x14ac:dyDescent="0.2">
      <c r="A604" s="207">
        <v>121</v>
      </c>
      <c r="B604" s="207" t="s">
        <v>244</v>
      </c>
      <c r="C604" s="207"/>
      <c r="E604" s="207" t="s">
        <v>120</v>
      </c>
      <c r="G604" s="207">
        <v>363</v>
      </c>
      <c r="H604" s="207" t="s">
        <v>14</v>
      </c>
      <c r="I604" s="207">
        <v>0.33425414364640882</v>
      </c>
    </row>
    <row r="605" spans="1:9" x14ac:dyDescent="0.2">
      <c r="A605" s="207"/>
      <c r="C605" s="207"/>
      <c r="E605" s="207" t="s">
        <v>125</v>
      </c>
      <c r="G605" s="207">
        <v>1086</v>
      </c>
      <c r="H605" s="207" t="s">
        <v>15</v>
      </c>
      <c r="I605" s="207">
        <v>1</v>
      </c>
    </row>
    <row r="606" spans="1:9" x14ac:dyDescent="0.2">
      <c r="A606" s="207"/>
      <c r="C606" s="207"/>
    </row>
    <row r="607" spans="1:9" x14ac:dyDescent="0.2">
      <c r="A607" s="207">
        <v>122</v>
      </c>
      <c r="B607" s="207" t="s">
        <v>245</v>
      </c>
      <c r="C607" s="207"/>
      <c r="E607" s="207" t="s">
        <v>118</v>
      </c>
      <c r="G607" s="207">
        <v>364</v>
      </c>
      <c r="H607" s="207" t="s">
        <v>12</v>
      </c>
      <c r="I607" s="207">
        <v>0.33242009132420092</v>
      </c>
    </row>
    <row r="608" spans="1:9" x14ac:dyDescent="0.2">
      <c r="A608" s="207">
        <v>122</v>
      </c>
      <c r="B608" s="207" t="s">
        <v>245</v>
      </c>
      <c r="C608" s="207"/>
      <c r="E608" s="207" t="s">
        <v>119</v>
      </c>
      <c r="G608" s="207">
        <v>365</v>
      </c>
      <c r="H608" s="207" t="s">
        <v>13</v>
      </c>
      <c r="I608" s="207">
        <v>0.33333333333333331</v>
      </c>
    </row>
    <row r="609" spans="1:9" x14ac:dyDescent="0.2">
      <c r="A609" s="207">
        <v>122</v>
      </c>
      <c r="B609" s="207" t="s">
        <v>245</v>
      </c>
      <c r="C609" s="207"/>
      <c r="E609" s="207" t="s">
        <v>120</v>
      </c>
      <c r="G609" s="207">
        <v>366</v>
      </c>
      <c r="H609" s="207" t="s">
        <v>14</v>
      </c>
      <c r="I609" s="207">
        <v>0.33424657534246577</v>
      </c>
    </row>
    <row r="610" spans="1:9" x14ac:dyDescent="0.2">
      <c r="A610" s="207"/>
      <c r="C610" s="207"/>
      <c r="E610" s="207" t="s">
        <v>125</v>
      </c>
      <c r="G610" s="207">
        <v>1095</v>
      </c>
      <c r="H610" s="207" t="s">
        <v>15</v>
      </c>
      <c r="I610" s="207">
        <v>1</v>
      </c>
    </row>
    <row r="611" spans="1:9" x14ac:dyDescent="0.2">
      <c r="A611" s="207"/>
      <c r="C611" s="207"/>
    </row>
    <row r="612" spans="1:9" x14ac:dyDescent="0.2">
      <c r="A612" s="207">
        <v>123</v>
      </c>
      <c r="B612" s="207" t="s">
        <v>246</v>
      </c>
      <c r="C612" s="207"/>
      <c r="E612" s="207" t="s">
        <v>118</v>
      </c>
      <c r="G612" s="207">
        <v>367</v>
      </c>
      <c r="H612" s="207" t="s">
        <v>12</v>
      </c>
      <c r="I612" s="207">
        <v>0.33242753623188404</v>
      </c>
    </row>
    <row r="613" spans="1:9" x14ac:dyDescent="0.2">
      <c r="A613" s="207">
        <v>123</v>
      </c>
      <c r="B613" s="207" t="s">
        <v>246</v>
      </c>
      <c r="C613" s="207"/>
      <c r="E613" s="207" t="s">
        <v>119</v>
      </c>
      <c r="G613" s="207">
        <v>368</v>
      </c>
      <c r="H613" s="207" t="s">
        <v>13</v>
      </c>
      <c r="I613" s="207">
        <v>0.33333333333333331</v>
      </c>
    </row>
    <row r="614" spans="1:9" x14ac:dyDescent="0.2">
      <c r="A614" s="207">
        <v>123</v>
      </c>
      <c r="B614" s="207" t="s">
        <v>246</v>
      </c>
      <c r="C614" s="207"/>
      <c r="E614" s="207" t="s">
        <v>120</v>
      </c>
      <c r="G614" s="207">
        <v>369</v>
      </c>
      <c r="H614" s="207" t="s">
        <v>14</v>
      </c>
      <c r="I614" s="207">
        <v>0.33423913043478259</v>
      </c>
    </row>
    <row r="615" spans="1:9" x14ac:dyDescent="0.2">
      <c r="A615" s="207"/>
      <c r="C615" s="207"/>
      <c r="E615" s="207" t="s">
        <v>125</v>
      </c>
      <c r="G615" s="207">
        <v>1104</v>
      </c>
      <c r="H615" s="207" t="s">
        <v>15</v>
      </c>
      <c r="I615" s="207">
        <v>0.99999999999999989</v>
      </c>
    </row>
    <row r="616" spans="1:9" x14ac:dyDescent="0.2">
      <c r="A616" s="207"/>
      <c r="C616" s="207"/>
    </row>
    <row r="617" spans="1:9" x14ac:dyDescent="0.2">
      <c r="A617" s="207">
        <v>124</v>
      </c>
      <c r="B617" s="207" t="s">
        <v>247</v>
      </c>
      <c r="C617" s="207"/>
      <c r="E617" s="207" t="s">
        <v>118</v>
      </c>
      <c r="G617" s="207">
        <v>370</v>
      </c>
      <c r="H617" s="207" t="s">
        <v>12</v>
      </c>
      <c r="I617" s="207">
        <v>0.33243486073674755</v>
      </c>
    </row>
    <row r="618" spans="1:9" x14ac:dyDescent="0.2">
      <c r="A618" s="207">
        <v>124</v>
      </c>
      <c r="B618" s="207" t="s">
        <v>247</v>
      </c>
      <c r="C618" s="207"/>
      <c r="E618" s="207" t="s">
        <v>119</v>
      </c>
      <c r="G618" s="207">
        <v>371</v>
      </c>
      <c r="H618" s="207" t="s">
        <v>13</v>
      </c>
      <c r="I618" s="207">
        <v>0.33333333333333331</v>
      </c>
    </row>
    <row r="619" spans="1:9" x14ac:dyDescent="0.2">
      <c r="A619" s="207">
        <v>124</v>
      </c>
      <c r="B619" s="207" t="s">
        <v>247</v>
      </c>
      <c r="C619" s="207"/>
      <c r="E619" s="207" t="s">
        <v>120</v>
      </c>
      <c r="G619" s="207">
        <v>372</v>
      </c>
      <c r="H619" s="207" t="s">
        <v>14</v>
      </c>
      <c r="I619" s="207">
        <v>0.33423180592991913</v>
      </c>
    </row>
    <row r="620" spans="1:9" x14ac:dyDescent="0.2">
      <c r="A620" s="207"/>
      <c r="C620" s="207"/>
      <c r="E620" s="207" t="s">
        <v>125</v>
      </c>
      <c r="G620" s="207">
        <v>1113</v>
      </c>
      <c r="H620" s="207" t="s">
        <v>15</v>
      </c>
      <c r="I620" s="207">
        <v>1</v>
      </c>
    </row>
    <row r="621" spans="1:9" x14ac:dyDescent="0.2">
      <c r="A621" s="207"/>
      <c r="C621" s="207"/>
    </row>
    <row r="622" spans="1:9" x14ac:dyDescent="0.2">
      <c r="A622" s="207">
        <v>125</v>
      </c>
      <c r="B622" s="207" t="s">
        <v>248</v>
      </c>
      <c r="C622" s="207"/>
      <c r="E622" s="207" t="s">
        <v>118</v>
      </c>
      <c r="G622" s="207">
        <v>373</v>
      </c>
      <c r="H622" s="207" t="s">
        <v>12</v>
      </c>
      <c r="I622" s="207">
        <v>0.3324420677361854</v>
      </c>
    </row>
    <row r="623" spans="1:9" x14ac:dyDescent="0.2">
      <c r="A623" s="207">
        <v>125</v>
      </c>
      <c r="B623" s="207" t="s">
        <v>248</v>
      </c>
      <c r="C623" s="207"/>
      <c r="E623" s="207" t="s">
        <v>119</v>
      </c>
      <c r="G623" s="207">
        <v>374</v>
      </c>
      <c r="H623" s="207" t="s">
        <v>13</v>
      </c>
      <c r="I623" s="207">
        <v>0.33333333333333331</v>
      </c>
    </row>
    <row r="624" spans="1:9" x14ac:dyDescent="0.2">
      <c r="A624" s="207">
        <v>125</v>
      </c>
      <c r="B624" s="207" t="s">
        <v>248</v>
      </c>
      <c r="C624" s="207"/>
      <c r="E624" s="207" t="s">
        <v>120</v>
      </c>
      <c r="G624" s="207">
        <v>375</v>
      </c>
      <c r="H624" s="207" t="s">
        <v>14</v>
      </c>
      <c r="I624" s="207">
        <v>0.33422459893048129</v>
      </c>
    </row>
    <row r="625" spans="1:9" x14ac:dyDescent="0.2">
      <c r="A625" s="207"/>
      <c r="C625" s="207"/>
      <c r="E625" s="207" t="s">
        <v>125</v>
      </c>
      <c r="G625" s="207">
        <v>1122</v>
      </c>
      <c r="H625" s="207" t="s">
        <v>15</v>
      </c>
      <c r="I625" s="207">
        <v>1</v>
      </c>
    </row>
    <row r="626" spans="1:9" x14ac:dyDescent="0.2">
      <c r="A626" s="207"/>
      <c r="C626" s="207"/>
    </row>
    <row r="627" spans="1:9" x14ac:dyDescent="0.2">
      <c r="A627" s="207">
        <v>126</v>
      </c>
      <c r="B627" s="207" t="s">
        <v>249</v>
      </c>
      <c r="C627" s="207"/>
      <c r="E627" s="207" t="s">
        <v>118</v>
      </c>
      <c r="G627" s="207">
        <v>376</v>
      </c>
      <c r="H627" s="207" t="s">
        <v>12</v>
      </c>
      <c r="I627" s="207">
        <v>0.33244916003536695</v>
      </c>
    </row>
    <row r="628" spans="1:9" x14ac:dyDescent="0.2">
      <c r="A628" s="207">
        <v>126</v>
      </c>
      <c r="B628" s="207" t="s">
        <v>249</v>
      </c>
      <c r="C628" s="207"/>
      <c r="E628" s="207" t="s">
        <v>119</v>
      </c>
      <c r="G628" s="207">
        <v>377</v>
      </c>
      <c r="H628" s="207" t="s">
        <v>13</v>
      </c>
      <c r="I628" s="207">
        <v>0.33333333333333331</v>
      </c>
    </row>
    <row r="629" spans="1:9" x14ac:dyDescent="0.2">
      <c r="A629" s="207">
        <v>126</v>
      </c>
      <c r="B629" s="207" t="s">
        <v>249</v>
      </c>
      <c r="C629" s="207"/>
      <c r="E629" s="207" t="s">
        <v>120</v>
      </c>
      <c r="G629" s="207">
        <v>378</v>
      </c>
      <c r="H629" s="207" t="s">
        <v>14</v>
      </c>
      <c r="I629" s="207">
        <v>0.33421750663129973</v>
      </c>
    </row>
    <row r="630" spans="1:9" x14ac:dyDescent="0.2">
      <c r="A630" s="207"/>
      <c r="C630" s="207"/>
      <c r="E630" s="207" t="s">
        <v>125</v>
      </c>
      <c r="G630" s="207">
        <v>1131</v>
      </c>
      <c r="H630" s="207" t="s">
        <v>15</v>
      </c>
      <c r="I630" s="207">
        <v>1</v>
      </c>
    </row>
    <row r="631" spans="1:9" x14ac:dyDescent="0.2">
      <c r="A631" s="207"/>
      <c r="C631" s="207"/>
    </row>
    <row r="632" spans="1:9" x14ac:dyDescent="0.2">
      <c r="A632" s="207">
        <v>127</v>
      </c>
      <c r="B632" s="207" t="s">
        <v>250</v>
      </c>
      <c r="C632" s="207"/>
      <c r="E632" s="207" t="s">
        <v>118</v>
      </c>
      <c r="G632" s="207">
        <v>379</v>
      </c>
      <c r="H632" s="207" t="s">
        <v>12</v>
      </c>
      <c r="I632" s="207">
        <v>0.33245614035087717</v>
      </c>
    </row>
    <row r="633" spans="1:9" x14ac:dyDescent="0.2">
      <c r="A633" s="207">
        <v>127</v>
      </c>
      <c r="B633" s="207" t="s">
        <v>250</v>
      </c>
      <c r="C633" s="207"/>
      <c r="E633" s="207" t="s">
        <v>119</v>
      </c>
      <c r="G633" s="207">
        <v>380</v>
      </c>
      <c r="H633" s="207" t="s">
        <v>13</v>
      </c>
      <c r="I633" s="207">
        <v>0.33333333333333331</v>
      </c>
    </row>
    <row r="634" spans="1:9" x14ac:dyDescent="0.2">
      <c r="A634" s="207">
        <v>127</v>
      </c>
      <c r="B634" s="207" t="s">
        <v>250</v>
      </c>
      <c r="C634" s="207"/>
      <c r="E634" s="207" t="s">
        <v>120</v>
      </c>
      <c r="G634" s="207">
        <v>381</v>
      </c>
      <c r="H634" s="207" t="s">
        <v>14</v>
      </c>
      <c r="I634" s="207">
        <v>0.33421052631578946</v>
      </c>
    </row>
    <row r="635" spans="1:9" x14ac:dyDescent="0.2">
      <c r="A635" s="207"/>
      <c r="C635" s="207"/>
      <c r="E635" s="207" t="s">
        <v>125</v>
      </c>
      <c r="G635" s="207">
        <v>1140</v>
      </c>
      <c r="H635" s="207" t="s">
        <v>15</v>
      </c>
      <c r="I635" s="207">
        <v>1</v>
      </c>
    </row>
    <row r="636" spans="1:9" x14ac:dyDescent="0.2">
      <c r="A636" s="207"/>
      <c r="C636" s="207"/>
    </row>
    <row r="637" spans="1:9" x14ac:dyDescent="0.2">
      <c r="A637" s="207">
        <v>128</v>
      </c>
      <c r="B637" s="207" t="s">
        <v>251</v>
      </c>
      <c r="C637" s="207"/>
      <c r="E637" s="207" t="s">
        <v>118</v>
      </c>
      <c r="G637" s="207">
        <v>382</v>
      </c>
      <c r="H637" s="207" t="s">
        <v>12</v>
      </c>
      <c r="I637" s="207">
        <v>0.33246301131418626</v>
      </c>
    </row>
    <row r="638" spans="1:9" x14ac:dyDescent="0.2">
      <c r="A638" s="207">
        <v>128</v>
      </c>
      <c r="B638" s="207" t="s">
        <v>251</v>
      </c>
      <c r="C638" s="207"/>
      <c r="E638" s="207" t="s">
        <v>119</v>
      </c>
      <c r="G638" s="207">
        <v>383</v>
      </c>
      <c r="H638" s="207" t="s">
        <v>13</v>
      </c>
      <c r="I638" s="207">
        <v>0.33333333333333331</v>
      </c>
    </row>
    <row r="639" spans="1:9" x14ac:dyDescent="0.2">
      <c r="A639" s="207">
        <v>128</v>
      </c>
      <c r="B639" s="207" t="s">
        <v>251</v>
      </c>
      <c r="C639" s="207"/>
      <c r="E639" s="207" t="s">
        <v>120</v>
      </c>
      <c r="G639" s="207">
        <v>384</v>
      </c>
      <c r="H639" s="207" t="s">
        <v>14</v>
      </c>
      <c r="I639" s="207">
        <v>0.33420365535248042</v>
      </c>
    </row>
    <row r="640" spans="1:9" x14ac:dyDescent="0.2">
      <c r="A640" s="207"/>
      <c r="C640" s="207"/>
      <c r="E640" s="207" t="s">
        <v>125</v>
      </c>
      <c r="G640" s="207">
        <v>1149</v>
      </c>
      <c r="H640" s="207" t="s">
        <v>15</v>
      </c>
      <c r="I640" s="207">
        <v>1</v>
      </c>
    </row>
    <row r="641" spans="1:9" x14ac:dyDescent="0.2">
      <c r="A641" s="207"/>
      <c r="C641" s="207"/>
    </row>
    <row r="642" spans="1:9" x14ac:dyDescent="0.2">
      <c r="A642" s="207">
        <v>129</v>
      </c>
      <c r="B642" s="207" t="s">
        <v>252</v>
      </c>
      <c r="C642" s="207"/>
      <c r="E642" s="207" t="s">
        <v>118</v>
      </c>
      <c r="G642" s="207">
        <v>385</v>
      </c>
      <c r="H642" s="207" t="s">
        <v>12</v>
      </c>
      <c r="I642" s="207">
        <v>0.33246977547495682</v>
      </c>
    </row>
    <row r="643" spans="1:9" x14ac:dyDescent="0.2">
      <c r="A643" s="207">
        <v>129</v>
      </c>
      <c r="B643" s="207" t="s">
        <v>252</v>
      </c>
      <c r="C643" s="207"/>
      <c r="E643" s="207" t="s">
        <v>119</v>
      </c>
      <c r="G643" s="207">
        <v>386</v>
      </c>
      <c r="H643" s="207" t="s">
        <v>13</v>
      </c>
      <c r="I643" s="207">
        <v>0.33333333333333331</v>
      </c>
    </row>
    <row r="644" spans="1:9" x14ac:dyDescent="0.2">
      <c r="A644" s="207">
        <v>129</v>
      </c>
      <c r="B644" s="207" t="s">
        <v>252</v>
      </c>
      <c r="C644" s="207"/>
      <c r="E644" s="207" t="s">
        <v>120</v>
      </c>
      <c r="G644" s="207">
        <v>387</v>
      </c>
      <c r="H644" s="207" t="s">
        <v>14</v>
      </c>
      <c r="I644" s="207">
        <v>0.33419689119170987</v>
      </c>
    </row>
    <row r="645" spans="1:9" x14ac:dyDescent="0.2">
      <c r="A645" s="207"/>
      <c r="C645" s="207"/>
      <c r="E645" s="207" t="s">
        <v>125</v>
      </c>
      <c r="G645" s="207">
        <v>1158</v>
      </c>
      <c r="H645" s="207" t="s">
        <v>15</v>
      </c>
      <c r="I645" s="207">
        <v>1</v>
      </c>
    </row>
    <row r="646" spans="1:9" x14ac:dyDescent="0.2">
      <c r="A646" s="207"/>
      <c r="C646" s="207"/>
    </row>
    <row r="647" spans="1:9" x14ac:dyDescent="0.2">
      <c r="A647" s="207">
        <v>130</v>
      </c>
      <c r="B647" s="207" t="s">
        <v>253</v>
      </c>
      <c r="C647" s="207"/>
      <c r="E647" s="207" t="s">
        <v>118</v>
      </c>
      <c r="G647" s="207">
        <v>388</v>
      </c>
      <c r="H647" s="207" t="s">
        <v>12</v>
      </c>
      <c r="I647" s="207">
        <v>0.33247643530419879</v>
      </c>
    </row>
    <row r="648" spans="1:9" x14ac:dyDescent="0.2">
      <c r="A648" s="207">
        <v>130</v>
      </c>
      <c r="B648" s="207" t="s">
        <v>253</v>
      </c>
      <c r="C648" s="207"/>
      <c r="E648" s="207" t="s">
        <v>119</v>
      </c>
      <c r="G648" s="207">
        <v>389</v>
      </c>
      <c r="H648" s="207" t="s">
        <v>13</v>
      </c>
      <c r="I648" s="207">
        <v>0.33333333333333331</v>
      </c>
    </row>
    <row r="649" spans="1:9" x14ac:dyDescent="0.2">
      <c r="A649" s="207">
        <v>130</v>
      </c>
      <c r="B649" s="207" t="s">
        <v>253</v>
      </c>
      <c r="C649" s="207"/>
      <c r="E649" s="207" t="s">
        <v>120</v>
      </c>
      <c r="G649" s="207">
        <v>390</v>
      </c>
      <c r="H649" s="207" t="s">
        <v>14</v>
      </c>
      <c r="I649" s="207">
        <v>0.33419023136246789</v>
      </c>
    </row>
    <row r="650" spans="1:9" x14ac:dyDescent="0.2">
      <c r="A650" s="207"/>
      <c r="C650" s="207"/>
      <c r="E650" s="207" t="s">
        <v>125</v>
      </c>
      <c r="G650" s="207">
        <v>1167</v>
      </c>
      <c r="H650" s="207" t="s">
        <v>15</v>
      </c>
      <c r="I650" s="207">
        <v>1</v>
      </c>
    </row>
    <row r="652" spans="1:9" x14ac:dyDescent="0.2">
      <c r="A652" s="208">
        <v>131</v>
      </c>
      <c r="B652" s="207" t="s">
        <v>254</v>
      </c>
      <c r="E652" s="207" t="s">
        <v>118</v>
      </c>
      <c r="G652" s="207">
        <v>391</v>
      </c>
      <c r="H652" s="207" t="s">
        <v>12</v>
      </c>
      <c r="I652" s="207">
        <v>0.33248299319727892</v>
      </c>
    </row>
    <row r="653" spans="1:9" x14ac:dyDescent="0.2">
      <c r="A653" s="208">
        <v>131</v>
      </c>
      <c r="B653" s="207" t="s">
        <v>254</v>
      </c>
      <c r="E653" s="207" t="s">
        <v>119</v>
      </c>
      <c r="G653" s="207">
        <v>392</v>
      </c>
      <c r="H653" s="207" t="s">
        <v>13</v>
      </c>
      <c r="I653" s="207">
        <v>0.33333333333333331</v>
      </c>
    </row>
    <row r="654" spans="1:9" x14ac:dyDescent="0.2">
      <c r="A654" s="208">
        <v>131</v>
      </c>
      <c r="B654" s="207" t="s">
        <v>254</v>
      </c>
      <c r="E654" s="207" t="s">
        <v>120</v>
      </c>
      <c r="G654" s="207">
        <v>393</v>
      </c>
      <c r="H654" s="207" t="s">
        <v>14</v>
      </c>
      <c r="I654" s="207">
        <v>0.33418367346938777</v>
      </c>
    </row>
    <row r="655" spans="1:9" x14ac:dyDescent="0.2">
      <c r="E655" s="207" t="s">
        <v>125</v>
      </c>
      <c r="G655" s="207">
        <v>1176</v>
      </c>
      <c r="H655" s="207" t="s">
        <v>15</v>
      </c>
      <c r="I655" s="207">
        <v>1</v>
      </c>
    </row>
    <row r="657" spans="1:9" x14ac:dyDescent="0.2">
      <c r="A657" s="208">
        <v>132</v>
      </c>
      <c r="B657" s="207" t="s">
        <v>255</v>
      </c>
      <c r="E657" s="207" t="s">
        <v>118</v>
      </c>
      <c r="G657" s="207">
        <v>394</v>
      </c>
      <c r="H657" s="207" t="s">
        <v>12</v>
      </c>
      <c r="I657" s="207">
        <v>0.33248945147679326</v>
      </c>
    </row>
    <row r="658" spans="1:9" x14ac:dyDescent="0.2">
      <c r="A658" s="208">
        <v>132</v>
      </c>
      <c r="B658" s="207" t="s">
        <v>255</v>
      </c>
      <c r="E658" s="207" t="s">
        <v>119</v>
      </c>
      <c r="G658" s="207">
        <v>395</v>
      </c>
      <c r="H658" s="207" t="s">
        <v>13</v>
      </c>
      <c r="I658" s="207">
        <v>0.33333333333333331</v>
      </c>
    </row>
    <row r="659" spans="1:9" x14ac:dyDescent="0.2">
      <c r="A659" s="208">
        <v>132</v>
      </c>
      <c r="B659" s="207" t="s">
        <v>255</v>
      </c>
      <c r="E659" s="207" t="s">
        <v>120</v>
      </c>
      <c r="G659" s="207">
        <v>396</v>
      </c>
      <c r="H659" s="207" t="s">
        <v>14</v>
      </c>
      <c r="I659" s="207">
        <v>0.33417721518987342</v>
      </c>
    </row>
    <row r="660" spans="1:9" x14ac:dyDescent="0.2">
      <c r="E660" s="207" t="s">
        <v>125</v>
      </c>
      <c r="G660" s="207">
        <v>1185</v>
      </c>
      <c r="H660" s="207" t="s">
        <v>15</v>
      </c>
      <c r="I660" s="207">
        <v>1</v>
      </c>
    </row>
    <row r="662" spans="1:9" x14ac:dyDescent="0.2">
      <c r="A662" s="208">
        <v>133</v>
      </c>
      <c r="B662" s="207" t="s">
        <v>256</v>
      </c>
      <c r="E662" s="207" t="s">
        <v>118</v>
      </c>
      <c r="G662" s="207">
        <v>397</v>
      </c>
      <c r="H662" s="207" t="s">
        <v>12</v>
      </c>
      <c r="I662" s="207">
        <v>0.3324958123953099</v>
      </c>
    </row>
    <row r="663" spans="1:9" x14ac:dyDescent="0.2">
      <c r="A663" s="208">
        <v>133</v>
      </c>
      <c r="B663" s="207" t="s">
        <v>256</v>
      </c>
      <c r="E663" s="207" t="s">
        <v>119</v>
      </c>
      <c r="G663" s="207">
        <v>398</v>
      </c>
      <c r="H663" s="207" t="s">
        <v>13</v>
      </c>
      <c r="I663" s="207">
        <v>0.33333333333333331</v>
      </c>
    </row>
    <row r="664" spans="1:9" x14ac:dyDescent="0.2">
      <c r="A664" s="208">
        <v>133</v>
      </c>
      <c r="B664" s="207" t="s">
        <v>256</v>
      </c>
      <c r="E664" s="207" t="s">
        <v>120</v>
      </c>
      <c r="G664" s="207">
        <v>399</v>
      </c>
      <c r="H664" s="207" t="s">
        <v>14</v>
      </c>
      <c r="I664" s="207">
        <v>0.33417085427135679</v>
      </c>
    </row>
    <row r="665" spans="1:9" x14ac:dyDescent="0.2">
      <c r="E665" s="207" t="s">
        <v>125</v>
      </c>
      <c r="G665" s="207">
        <v>1194</v>
      </c>
      <c r="H665" s="207" t="s">
        <v>15</v>
      </c>
      <c r="I665" s="207">
        <v>1</v>
      </c>
    </row>
    <row r="667" spans="1:9" x14ac:dyDescent="0.2">
      <c r="A667" s="208">
        <v>134</v>
      </c>
      <c r="B667" s="207" t="s">
        <v>257</v>
      </c>
      <c r="E667" s="207" t="s">
        <v>118</v>
      </c>
      <c r="G667" s="207">
        <v>400</v>
      </c>
      <c r="H667" s="207" t="s">
        <v>12</v>
      </c>
      <c r="I667" s="207">
        <v>0.33250207813798838</v>
      </c>
    </row>
    <row r="668" spans="1:9" x14ac:dyDescent="0.2">
      <c r="A668" s="208">
        <v>134</v>
      </c>
      <c r="B668" s="207" t="s">
        <v>257</v>
      </c>
      <c r="E668" s="207" t="s">
        <v>119</v>
      </c>
      <c r="G668" s="207">
        <v>401</v>
      </c>
      <c r="H668" s="207" t="s">
        <v>13</v>
      </c>
      <c r="I668" s="207">
        <v>0.33333333333333331</v>
      </c>
    </row>
    <row r="669" spans="1:9" x14ac:dyDescent="0.2">
      <c r="A669" s="208">
        <v>134</v>
      </c>
      <c r="B669" s="207" t="s">
        <v>257</v>
      </c>
      <c r="E669" s="207" t="s">
        <v>120</v>
      </c>
      <c r="G669" s="207">
        <v>402</v>
      </c>
      <c r="H669" s="207" t="s">
        <v>14</v>
      </c>
      <c r="I669" s="207">
        <v>0.33416458852867831</v>
      </c>
    </row>
    <row r="670" spans="1:9" x14ac:dyDescent="0.2">
      <c r="E670" s="207" t="s">
        <v>125</v>
      </c>
      <c r="G670" s="207">
        <v>1203</v>
      </c>
      <c r="H670" s="207" t="s">
        <v>15</v>
      </c>
      <c r="I670" s="207">
        <v>1</v>
      </c>
    </row>
    <row r="672" spans="1:9" x14ac:dyDescent="0.2">
      <c r="A672" s="208">
        <v>135</v>
      </c>
      <c r="B672" s="207" t="s">
        <v>258</v>
      </c>
      <c r="E672" s="207" t="s">
        <v>118</v>
      </c>
      <c r="G672" s="207">
        <v>403</v>
      </c>
      <c r="H672" s="207" t="s">
        <v>12</v>
      </c>
      <c r="I672" s="207">
        <v>0.33250825082508251</v>
      </c>
    </row>
    <row r="673" spans="1:9" x14ac:dyDescent="0.2">
      <c r="A673" s="208">
        <v>135</v>
      </c>
      <c r="B673" s="207" t="s">
        <v>258</v>
      </c>
      <c r="E673" s="207" t="s">
        <v>119</v>
      </c>
      <c r="G673" s="207">
        <v>404</v>
      </c>
      <c r="H673" s="207" t="s">
        <v>13</v>
      </c>
      <c r="I673" s="207">
        <v>0.33333333333333331</v>
      </c>
    </row>
    <row r="674" spans="1:9" x14ac:dyDescent="0.2">
      <c r="A674" s="208">
        <v>135</v>
      </c>
      <c r="B674" s="207" t="s">
        <v>258</v>
      </c>
      <c r="E674" s="207" t="s">
        <v>120</v>
      </c>
      <c r="G674" s="207">
        <v>405</v>
      </c>
      <c r="H674" s="207" t="s">
        <v>14</v>
      </c>
      <c r="I674" s="207">
        <v>0.33415841584158418</v>
      </c>
    </row>
    <row r="675" spans="1:9" x14ac:dyDescent="0.2">
      <c r="E675" s="207" t="s">
        <v>125</v>
      </c>
      <c r="G675" s="207">
        <v>1212</v>
      </c>
      <c r="H675" s="207" t="s">
        <v>15</v>
      </c>
      <c r="I675" s="207">
        <v>1</v>
      </c>
    </row>
    <row r="677" spans="1:9" x14ac:dyDescent="0.2">
      <c r="A677" s="208">
        <v>136</v>
      </c>
      <c r="B677" s="207" t="s">
        <v>259</v>
      </c>
      <c r="E677" s="207" t="s">
        <v>118</v>
      </c>
      <c r="G677" s="207">
        <v>406</v>
      </c>
      <c r="H677" s="207" t="s">
        <v>12</v>
      </c>
      <c r="I677" s="207">
        <v>0.33251433251433249</v>
      </c>
    </row>
    <row r="678" spans="1:9" x14ac:dyDescent="0.2">
      <c r="A678" s="208">
        <v>136</v>
      </c>
      <c r="B678" s="207" t="s">
        <v>259</v>
      </c>
      <c r="E678" s="207" t="s">
        <v>119</v>
      </c>
      <c r="G678" s="207">
        <v>407</v>
      </c>
      <c r="H678" s="207" t="s">
        <v>13</v>
      </c>
      <c r="I678" s="207">
        <v>0.33333333333333331</v>
      </c>
    </row>
    <row r="679" spans="1:9" x14ac:dyDescent="0.2">
      <c r="A679" s="208">
        <v>136</v>
      </c>
      <c r="B679" s="207" t="s">
        <v>259</v>
      </c>
      <c r="E679" s="207" t="s">
        <v>120</v>
      </c>
      <c r="G679" s="207">
        <v>408</v>
      </c>
      <c r="H679" s="207" t="s">
        <v>14</v>
      </c>
      <c r="I679" s="207">
        <v>0.33415233415233414</v>
      </c>
    </row>
    <row r="680" spans="1:9" x14ac:dyDescent="0.2">
      <c r="E680" s="207" t="s">
        <v>125</v>
      </c>
      <c r="G680" s="207">
        <v>1221</v>
      </c>
      <c r="H680" s="207" t="s">
        <v>15</v>
      </c>
      <c r="I680" s="207">
        <v>0.99999999999999989</v>
      </c>
    </row>
    <row r="682" spans="1:9" x14ac:dyDescent="0.2">
      <c r="A682" s="208">
        <v>137</v>
      </c>
      <c r="B682" s="207" t="s">
        <v>260</v>
      </c>
      <c r="E682" s="207" t="s">
        <v>118</v>
      </c>
      <c r="G682" s="207">
        <v>409</v>
      </c>
      <c r="H682" s="207" t="s">
        <v>12</v>
      </c>
      <c r="I682" s="207">
        <v>0.33252032520325203</v>
      </c>
    </row>
    <row r="683" spans="1:9" x14ac:dyDescent="0.2">
      <c r="A683" s="208">
        <v>137</v>
      </c>
      <c r="B683" s="207" t="s">
        <v>260</v>
      </c>
      <c r="E683" s="207" t="s">
        <v>119</v>
      </c>
      <c r="G683" s="207">
        <v>410</v>
      </c>
      <c r="H683" s="207" t="s">
        <v>13</v>
      </c>
      <c r="I683" s="207">
        <v>0.33333333333333331</v>
      </c>
    </row>
    <row r="684" spans="1:9" x14ac:dyDescent="0.2">
      <c r="A684" s="208">
        <v>137</v>
      </c>
      <c r="B684" s="207" t="s">
        <v>260</v>
      </c>
      <c r="E684" s="207" t="s">
        <v>120</v>
      </c>
      <c r="G684" s="207">
        <v>411</v>
      </c>
      <c r="H684" s="207" t="s">
        <v>14</v>
      </c>
      <c r="I684" s="207">
        <v>0.33414634146341465</v>
      </c>
    </row>
    <row r="685" spans="1:9" x14ac:dyDescent="0.2">
      <c r="E685" s="207" t="s">
        <v>125</v>
      </c>
      <c r="G685" s="207">
        <v>1230</v>
      </c>
      <c r="H685" s="207" t="s">
        <v>15</v>
      </c>
      <c r="I685" s="207">
        <v>1</v>
      </c>
    </row>
    <row r="687" spans="1:9" x14ac:dyDescent="0.2">
      <c r="A687" s="208">
        <v>138</v>
      </c>
      <c r="B687" s="207" t="s">
        <v>261</v>
      </c>
      <c r="E687" s="207" t="s">
        <v>118</v>
      </c>
      <c r="G687" s="207">
        <v>412</v>
      </c>
      <c r="H687" s="207" t="s">
        <v>12</v>
      </c>
      <c r="I687" s="207">
        <v>0.33252623083131555</v>
      </c>
    </row>
    <row r="688" spans="1:9" x14ac:dyDescent="0.2">
      <c r="A688" s="208">
        <v>138</v>
      </c>
      <c r="B688" s="207" t="s">
        <v>261</v>
      </c>
      <c r="E688" s="207" t="s">
        <v>119</v>
      </c>
      <c r="G688" s="207">
        <v>413</v>
      </c>
      <c r="H688" s="207" t="s">
        <v>13</v>
      </c>
      <c r="I688" s="207">
        <v>0.33333333333333331</v>
      </c>
    </row>
    <row r="689" spans="1:9" x14ac:dyDescent="0.2">
      <c r="A689" s="208">
        <v>138</v>
      </c>
      <c r="B689" s="207" t="s">
        <v>261</v>
      </c>
      <c r="E689" s="207" t="s">
        <v>120</v>
      </c>
      <c r="G689" s="207">
        <v>414</v>
      </c>
      <c r="H689" s="207" t="s">
        <v>14</v>
      </c>
      <c r="I689" s="207">
        <v>0.33414043583535108</v>
      </c>
    </row>
    <row r="690" spans="1:9" x14ac:dyDescent="0.2">
      <c r="E690" s="207" t="s">
        <v>125</v>
      </c>
      <c r="G690" s="207">
        <v>1239</v>
      </c>
      <c r="H690" s="207" t="s">
        <v>15</v>
      </c>
      <c r="I690" s="207">
        <v>1</v>
      </c>
    </row>
    <row r="692" spans="1:9" x14ac:dyDescent="0.2">
      <c r="A692" s="208">
        <v>139</v>
      </c>
      <c r="B692" s="207" t="s">
        <v>262</v>
      </c>
      <c r="E692" s="207" t="s">
        <v>118</v>
      </c>
      <c r="G692" s="207">
        <v>415</v>
      </c>
      <c r="H692" s="207" t="s">
        <v>12</v>
      </c>
      <c r="I692" s="207">
        <v>0.33253205128205127</v>
      </c>
    </row>
    <row r="693" spans="1:9" x14ac:dyDescent="0.2">
      <c r="A693" s="208">
        <v>139</v>
      </c>
      <c r="B693" s="207" t="s">
        <v>262</v>
      </c>
      <c r="E693" s="207" t="s">
        <v>119</v>
      </c>
      <c r="G693" s="207">
        <v>416</v>
      </c>
      <c r="H693" s="207" t="s">
        <v>13</v>
      </c>
      <c r="I693" s="207">
        <v>0.33333333333333331</v>
      </c>
    </row>
    <row r="694" spans="1:9" x14ac:dyDescent="0.2">
      <c r="A694" s="208">
        <v>139</v>
      </c>
      <c r="B694" s="207" t="s">
        <v>262</v>
      </c>
      <c r="E694" s="207" t="s">
        <v>120</v>
      </c>
      <c r="G694" s="207">
        <v>417</v>
      </c>
      <c r="H694" s="207" t="s">
        <v>14</v>
      </c>
      <c r="I694" s="207">
        <v>0.33413461538461536</v>
      </c>
    </row>
    <row r="695" spans="1:9" x14ac:dyDescent="0.2">
      <c r="E695" s="207" t="s">
        <v>125</v>
      </c>
      <c r="G695" s="207">
        <v>1248</v>
      </c>
      <c r="H695" s="207" t="s">
        <v>15</v>
      </c>
      <c r="I695" s="207">
        <v>1</v>
      </c>
    </row>
    <row r="697" spans="1:9" x14ac:dyDescent="0.2">
      <c r="A697" s="208">
        <v>140</v>
      </c>
      <c r="B697" s="207" t="s">
        <v>263</v>
      </c>
      <c r="E697" s="207" t="s">
        <v>118</v>
      </c>
      <c r="G697" s="207">
        <v>418</v>
      </c>
      <c r="H697" s="207" t="s">
        <v>12</v>
      </c>
      <c r="I697" s="207">
        <v>0.33253778838504378</v>
      </c>
    </row>
    <row r="698" spans="1:9" x14ac:dyDescent="0.2">
      <c r="A698" s="208">
        <v>140</v>
      </c>
      <c r="B698" s="207" t="s">
        <v>263</v>
      </c>
      <c r="E698" s="207" t="s">
        <v>119</v>
      </c>
      <c r="G698" s="207">
        <v>419</v>
      </c>
      <c r="H698" s="207" t="s">
        <v>13</v>
      </c>
      <c r="I698" s="207">
        <v>0.33333333333333331</v>
      </c>
    </row>
    <row r="699" spans="1:9" x14ac:dyDescent="0.2">
      <c r="A699" s="208">
        <v>140</v>
      </c>
      <c r="B699" s="207" t="s">
        <v>263</v>
      </c>
      <c r="E699" s="207" t="s">
        <v>120</v>
      </c>
      <c r="G699" s="207">
        <v>420</v>
      </c>
      <c r="H699" s="207" t="s">
        <v>14</v>
      </c>
      <c r="I699" s="207">
        <v>0.33412887828162291</v>
      </c>
    </row>
    <row r="700" spans="1:9" x14ac:dyDescent="0.2">
      <c r="E700" s="207" t="s">
        <v>125</v>
      </c>
      <c r="G700" s="207">
        <v>1257</v>
      </c>
      <c r="H700" s="207" t="s">
        <v>15</v>
      </c>
      <c r="I700" s="207">
        <v>1</v>
      </c>
    </row>
    <row r="702" spans="1:9" x14ac:dyDescent="0.2">
      <c r="A702" s="208">
        <v>141</v>
      </c>
      <c r="B702" s="207" t="s">
        <v>264</v>
      </c>
      <c r="E702" s="207" t="s">
        <v>118</v>
      </c>
      <c r="G702" s="207">
        <v>421</v>
      </c>
      <c r="H702" s="207" t="s">
        <v>12</v>
      </c>
      <c r="I702" s="207">
        <v>0.33254344391785151</v>
      </c>
    </row>
    <row r="703" spans="1:9" x14ac:dyDescent="0.2">
      <c r="A703" s="208">
        <v>141</v>
      </c>
      <c r="B703" s="207" t="s">
        <v>264</v>
      </c>
      <c r="E703" s="207" t="s">
        <v>119</v>
      </c>
      <c r="G703" s="207">
        <v>422</v>
      </c>
      <c r="H703" s="207" t="s">
        <v>13</v>
      </c>
      <c r="I703" s="207">
        <v>0.33333333333333331</v>
      </c>
    </row>
    <row r="704" spans="1:9" x14ac:dyDescent="0.2">
      <c r="A704" s="208">
        <v>141</v>
      </c>
      <c r="B704" s="207" t="s">
        <v>264</v>
      </c>
      <c r="E704" s="207" t="s">
        <v>120</v>
      </c>
      <c r="G704" s="207">
        <v>423</v>
      </c>
      <c r="H704" s="207" t="s">
        <v>14</v>
      </c>
      <c r="I704" s="207">
        <v>0.33412322274881517</v>
      </c>
    </row>
    <row r="705" spans="1:9" x14ac:dyDescent="0.2">
      <c r="E705" s="207" t="s">
        <v>125</v>
      </c>
      <c r="G705" s="207">
        <v>1266</v>
      </c>
      <c r="H705" s="207" t="s">
        <v>15</v>
      </c>
      <c r="I705" s="207">
        <v>1</v>
      </c>
    </row>
    <row r="707" spans="1:9" x14ac:dyDescent="0.2">
      <c r="A707" s="208">
        <v>142</v>
      </c>
      <c r="B707" s="207" t="s">
        <v>265</v>
      </c>
      <c r="E707" s="207" t="s">
        <v>118</v>
      </c>
      <c r="G707" s="207">
        <v>424</v>
      </c>
      <c r="H707" s="207" t="s">
        <v>12</v>
      </c>
      <c r="I707" s="207">
        <v>0.33254901960784311</v>
      </c>
    </row>
    <row r="708" spans="1:9" x14ac:dyDescent="0.2">
      <c r="A708" s="208">
        <v>142</v>
      </c>
      <c r="B708" s="207" t="s">
        <v>265</v>
      </c>
      <c r="E708" s="207" t="s">
        <v>119</v>
      </c>
      <c r="G708" s="207">
        <v>425</v>
      </c>
      <c r="H708" s="207" t="s">
        <v>13</v>
      </c>
      <c r="I708" s="207">
        <v>0.33333333333333331</v>
      </c>
    </row>
    <row r="709" spans="1:9" x14ac:dyDescent="0.2">
      <c r="A709" s="208">
        <v>142</v>
      </c>
      <c r="B709" s="207" t="s">
        <v>265</v>
      </c>
      <c r="E709" s="207" t="s">
        <v>120</v>
      </c>
      <c r="G709" s="207">
        <v>426</v>
      </c>
      <c r="H709" s="207" t="s">
        <v>14</v>
      </c>
      <c r="I709" s="207">
        <v>0.33411764705882352</v>
      </c>
    </row>
    <row r="710" spans="1:9" x14ac:dyDescent="0.2">
      <c r="E710" s="207" t="s">
        <v>125</v>
      </c>
      <c r="G710" s="207">
        <v>1275</v>
      </c>
      <c r="H710" s="207" t="s">
        <v>15</v>
      </c>
      <c r="I710" s="207">
        <v>0.99999999999999989</v>
      </c>
    </row>
    <row r="712" spans="1:9" x14ac:dyDescent="0.2">
      <c r="A712" s="208">
        <v>143</v>
      </c>
      <c r="B712" s="207" t="s">
        <v>266</v>
      </c>
      <c r="E712" s="207" t="s">
        <v>118</v>
      </c>
      <c r="G712" s="207">
        <v>427</v>
      </c>
      <c r="H712" s="207" t="s">
        <v>12</v>
      </c>
      <c r="I712" s="207">
        <v>0.3325545171339564</v>
      </c>
    </row>
    <row r="713" spans="1:9" x14ac:dyDescent="0.2">
      <c r="A713" s="208">
        <v>143</v>
      </c>
      <c r="B713" s="207" t="s">
        <v>266</v>
      </c>
      <c r="E713" s="207" t="s">
        <v>119</v>
      </c>
      <c r="G713" s="207">
        <v>428</v>
      </c>
      <c r="H713" s="207" t="s">
        <v>13</v>
      </c>
      <c r="I713" s="207">
        <v>0.33333333333333331</v>
      </c>
    </row>
    <row r="714" spans="1:9" x14ac:dyDescent="0.2">
      <c r="A714" s="208">
        <v>143</v>
      </c>
      <c r="B714" s="207" t="s">
        <v>266</v>
      </c>
      <c r="E714" s="207" t="s">
        <v>120</v>
      </c>
      <c r="G714" s="207">
        <v>429</v>
      </c>
      <c r="H714" s="207" t="s">
        <v>14</v>
      </c>
      <c r="I714" s="207">
        <v>0.33411214953271029</v>
      </c>
    </row>
    <row r="715" spans="1:9" x14ac:dyDescent="0.2">
      <c r="E715" s="207" t="s">
        <v>125</v>
      </c>
      <c r="G715" s="207">
        <v>1284</v>
      </c>
      <c r="H715" s="207" t="s">
        <v>15</v>
      </c>
      <c r="I715" s="207">
        <v>1</v>
      </c>
    </row>
    <row r="717" spans="1:9" x14ac:dyDescent="0.2">
      <c r="A717" s="208">
        <v>144</v>
      </c>
      <c r="B717" s="207" t="s">
        <v>267</v>
      </c>
      <c r="E717" s="207" t="s">
        <v>118</v>
      </c>
      <c r="G717" s="207">
        <v>430</v>
      </c>
      <c r="H717" s="207" t="s">
        <v>12</v>
      </c>
      <c r="I717" s="207">
        <v>0.33255993812838358</v>
      </c>
    </row>
    <row r="718" spans="1:9" x14ac:dyDescent="0.2">
      <c r="A718" s="208">
        <v>144</v>
      </c>
      <c r="B718" s="207" t="s">
        <v>267</v>
      </c>
      <c r="E718" s="207" t="s">
        <v>119</v>
      </c>
      <c r="G718" s="207">
        <v>431</v>
      </c>
      <c r="H718" s="207" t="s">
        <v>13</v>
      </c>
      <c r="I718" s="207">
        <v>0.33333333333333331</v>
      </c>
    </row>
    <row r="719" spans="1:9" x14ac:dyDescent="0.2">
      <c r="A719" s="208">
        <v>144</v>
      </c>
      <c r="B719" s="207" t="s">
        <v>267</v>
      </c>
      <c r="E719" s="207" t="s">
        <v>120</v>
      </c>
      <c r="G719" s="207">
        <v>432</v>
      </c>
      <c r="H719" s="207" t="s">
        <v>14</v>
      </c>
      <c r="I719" s="207">
        <v>0.33410672853828305</v>
      </c>
    </row>
    <row r="720" spans="1:9" x14ac:dyDescent="0.2">
      <c r="E720" s="207" t="s">
        <v>125</v>
      </c>
      <c r="G720" s="207">
        <v>1293</v>
      </c>
      <c r="H720" s="207" t="s">
        <v>15</v>
      </c>
      <c r="I720" s="207">
        <v>1</v>
      </c>
    </row>
    <row r="722" spans="1:9" x14ac:dyDescent="0.2">
      <c r="A722" s="208">
        <v>145</v>
      </c>
      <c r="B722" s="207" t="s">
        <v>268</v>
      </c>
      <c r="E722" s="207" t="s">
        <v>118</v>
      </c>
      <c r="G722" s="207">
        <v>433</v>
      </c>
      <c r="H722" s="207" t="s">
        <v>12</v>
      </c>
      <c r="I722" s="207">
        <v>0.33256528417818743</v>
      </c>
    </row>
    <row r="723" spans="1:9" x14ac:dyDescent="0.2">
      <c r="A723" s="208">
        <v>145</v>
      </c>
      <c r="B723" s="207" t="s">
        <v>268</v>
      </c>
      <c r="E723" s="207" t="s">
        <v>119</v>
      </c>
      <c r="G723" s="207">
        <v>434</v>
      </c>
      <c r="H723" s="207" t="s">
        <v>13</v>
      </c>
      <c r="I723" s="207">
        <v>0.33333333333333331</v>
      </c>
    </row>
    <row r="724" spans="1:9" x14ac:dyDescent="0.2">
      <c r="A724" s="208">
        <v>145</v>
      </c>
      <c r="B724" s="207" t="s">
        <v>268</v>
      </c>
      <c r="E724" s="207" t="s">
        <v>120</v>
      </c>
      <c r="G724" s="207">
        <v>435</v>
      </c>
      <c r="H724" s="207" t="s">
        <v>14</v>
      </c>
      <c r="I724" s="207">
        <v>0.33410138248847926</v>
      </c>
    </row>
    <row r="725" spans="1:9" x14ac:dyDescent="0.2">
      <c r="E725" s="207" t="s">
        <v>125</v>
      </c>
      <c r="G725" s="207">
        <v>1302</v>
      </c>
      <c r="H725" s="207" t="s">
        <v>15</v>
      </c>
      <c r="I725" s="207">
        <v>1</v>
      </c>
    </row>
    <row r="727" spans="1:9" x14ac:dyDescent="0.2">
      <c r="A727" s="208">
        <v>146</v>
      </c>
      <c r="B727" s="207" t="s">
        <v>269</v>
      </c>
      <c r="E727" s="207" t="s">
        <v>118</v>
      </c>
      <c r="G727" s="207">
        <v>436</v>
      </c>
      <c r="H727" s="207" t="s">
        <v>12</v>
      </c>
      <c r="I727" s="207">
        <v>0.33257055682684972</v>
      </c>
    </row>
    <row r="728" spans="1:9" x14ac:dyDescent="0.2">
      <c r="A728" s="208">
        <v>146</v>
      </c>
      <c r="B728" s="207" t="s">
        <v>269</v>
      </c>
      <c r="E728" s="207" t="s">
        <v>119</v>
      </c>
      <c r="G728" s="207">
        <v>437</v>
      </c>
      <c r="H728" s="207" t="s">
        <v>13</v>
      </c>
      <c r="I728" s="207">
        <v>0.33333333333333331</v>
      </c>
    </row>
    <row r="729" spans="1:9" x14ac:dyDescent="0.2">
      <c r="A729" s="208">
        <v>146</v>
      </c>
      <c r="B729" s="207" t="s">
        <v>269</v>
      </c>
      <c r="E729" s="207" t="s">
        <v>120</v>
      </c>
      <c r="G729" s="207">
        <v>438</v>
      </c>
      <c r="H729" s="207" t="s">
        <v>14</v>
      </c>
      <c r="I729" s="207">
        <v>0.33409610983981691</v>
      </c>
    </row>
    <row r="730" spans="1:9" x14ac:dyDescent="0.2">
      <c r="E730" s="207" t="s">
        <v>125</v>
      </c>
      <c r="G730" s="207">
        <v>1311</v>
      </c>
      <c r="H730" s="207" t="s">
        <v>15</v>
      </c>
      <c r="I730" s="207">
        <v>1</v>
      </c>
    </row>
    <row r="732" spans="1:9" x14ac:dyDescent="0.2">
      <c r="A732" s="208">
        <v>147</v>
      </c>
      <c r="B732" s="207" t="s">
        <v>270</v>
      </c>
      <c r="E732" s="207" t="s">
        <v>118</v>
      </c>
      <c r="G732" s="207">
        <v>439</v>
      </c>
      <c r="H732" s="207" t="s">
        <v>12</v>
      </c>
      <c r="I732" s="207">
        <v>0.33257575757575758</v>
      </c>
    </row>
    <row r="733" spans="1:9" x14ac:dyDescent="0.2">
      <c r="A733" s="208">
        <v>147</v>
      </c>
      <c r="B733" s="207" t="s">
        <v>270</v>
      </c>
      <c r="E733" s="207" t="s">
        <v>119</v>
      </c>
      <c r="G733" s="207">
        <v>440</v>
      </c>
      <c r="H733" s="207" t="s">
        <v>13</v>
      </c>
      <c r="I733" s="207">
        <v>0.33333333333333331</v>
      </c>
    </row>
    <row r="734" spans="1:9" x14ac:dyDescent="0.2">
      <c r="A734" s="208">
        <v>147</v>
      </c>
      <c r="B734" s="207" t="s">
        <v>270</v>
      </c>
      <c r="E734" s="207" t="s">
        <v>120</v>
      </c>
      <c r="G734" s="207">
        <v>441</v>
      </c>
      <c r="H734" s="207" t="s">
        <v>14</v>
      </c>
      <c r="I734" s="207">
        <v>0.33409090909090911</v>
      </c>
    </row>
    <row r="735" spans="1:9" x14ac:dyDescent="0.2">
      <c r="E735" s="207" t="s">
        <v>125</v>
      </c>
      <c r="G735" s="207">
        <v>1320</v>
      </c>
      <c r="H735" s="207" t="s">
        <v>15</v>
      </c>
      <c r="I735" s="207">
        <v>1</v>
      </c>
    </row>
    <row r="737" spans="1:9" x14ac:dyDescent="0.2">
      <c r="A737" s="208">
        <v>148</v>
      </c>
      <c r="B737" s="207" t="s">
        <v>271</v>
      </c>
      <c r="E737" s="207" t="s">
        <v>118</v>
      </c>
      <c r="G737" s="207">
        <v>442</v>
      </c>
      <c r="H737" s="207" t="s">
        <v>12</v>
      </c>
      <c r="I737" s="207">
        <v>0.33258088788562828</v>
      </c>
    </row>
    <row r="738" spans="1:9" x14ac:dyDescent="0.2">
      <c r="A738" s="208">
        <v>148</v>
      </c>
      <c r="B738" s="207" t="s">
        <v>271</v>
      </c>
      <c r="E738" s="207" t="s">
        <v>119</v>
      </c>
      <c r="G738" s="207">
        <v>443</v>
      </c>
      <c r="H738" s="207" t="s">
        <v>13</v>
      </c>
      <c r="I738" s="207">
        <v>0.33333333333333331</v>
      </c>
    </row>
    <row r="739" spans="1:9" x14ac:dyDescent="0.2">
      <c r="A739" s="208">
        <v>148</v>
      </c>
      <c r="B739" s="207" t="s">
        <v>271</v>
      </c>
      <c r="E739" s="207" t="s">
        <v>120</v>
      </c>
      <c r="G739" s="207">
        <v>444</v>
      </c>
      <c r="H739" s="207" t="s">
        <v>14</v>
      </c>
      <c r="I739" s="207">
        <v>0.3340857787810384</v>
      </c>
    </row>
    <row r="740" spans="1:9" x14ac:dyDescent="0.2">
      <c r="E740" s="207" t="s">
        <v>125</v>
      </c>
      <c r="G740" s="207">
        <v>1329</v>
      </c>
      <c r="H740" s="207" t="s">
        <v>15</v>
      </c>
      <c r="I740" s="207">
        <v>1</v>
      </c>
    </row>
    <row r="742" spans="1:9" x14ac:dyDescent="0.2">
      <c r="A742" s="208">
        <v>149</v>
      </c>
      <c r="B742" s="207" t="s">
        <v>272</v>
      </c>
      <c r="E742" s="207" t="s">
        <v>118</v>
      </c>
      <c r="G742" s="207">
        <v>445</v>
      </c>
      <c r="H742" s="207" t="s">
        <v>12</v>
      </c>
      <c r="I742" s="207">
        <v>0.33258594917787743</v>
      </c>
    </row>
    <row r="743" spans="1:9" x14ac:dyDescent="0.2">
      <c r="A743" s="208">
        <v>149</v>
      </c>
      <c r="B743" s="207" t="s">
        <v>272</v>
      </c>
      <c r="E743" s="207" t="s">
        <v>119</v>
      </c>
      <c r="G743" s="207">
        <v>446</v>
      </c>
      <c r="H743" s="207" t="s">
        <v>13</v>
      </c>
      <c r="I743" s="207">
        <v>0.33333333333333331</v>
      </c>
    </row>
    <row r="744" spans="1:9" x14ac:dyDescent="0.2">
      <c r="A744" s="208">
        <v>149</v>
      </c>
      <c r="B744" s="207" t="s">
        <v>272</v>
      </c>
      <c r="E744" s="207" t="s">
        <v>120</v>
      </c>
      <c r="G744" s="207">
        <v>447</v>
      </c>
      <c r="H744" s="207" t="s">
        <v>14</v>
      </c>
      <c r="I744" s="207">
        <v>0.33408071748878926</v>
      </c>
    </row>
    <row r="745" spans="1:9" x14ac:dyDescent="0.2">
      <c r="E745" s="207" t="s">
        <v>125</v>
      </c>
      <c r="G745" s="207">
        <v>1338</v>
      </c>
      <c r="H745" s="207" t="s">
        <v>15</v>
      </c>
      <c r="I745" s="207">
        <v>1</v>
      </c>
    </row>
    <row r="747" spans="1:9" x14ac:dyDescent="0.2">
      <c r="A747" s="208">
        <v>150</v>
      </c>
      <c r="B747" s="207" t="s">
        <v>273</v>
      </c>
      <c r="E747" s="207" t="s">
        <v>118</v>
      </c>
      <c r="G747" s="207">
        <v>448</v>
      </c>
      <c r="H747" s="207" t="s">
        <v>12</v>
      </c>
      <c r="I747" s="207">
        <v>0.33259094283593171</v>
      </c>
    </row>
    <row r="748" spans="1:9" x14ac:dyDescent="0.2">
      <c r="A748" s="208">
        <v>150</v>
      </c>
      <c r="B748" s="207" t="s">
        <v>273</v>
      </c>
      <c r="E748" s="207" t="s">
        <v>119</v>
      </c>
      <c r="G748" s="207">
        <v>449</v>
      </c>
      <c r="H748" s="207" t="s">
        <v>13</v>
      </c>
      <c r="I748" s="207">
        <v>0.33333333333333331</v>
      </c>
    </row>
    <row r="749" spans="1:9" x14ac:dyDescent="0.2">
      <c r="A749" s="208">
        <v>150</v>
      </c>
      <c r="B749" s="207" t="s">
        <v>273</v>
      </c>
      <c r="E749" s="207" t="s">
        <v>120</v>
      </c>
      <c r="G749" s="207">
        <v>450</v>
      </c>
      <c r="H749" s="207" t="s">
        <v>14</v>
      </c>
      <c r="I749" s="207">
        <v>0.33407572383073497</v>
      </c>
    </row>
    <row r="750" spans="1:9" x14ac:dyDescent="0.2">
      <c r="E750" s="207" t="s">
        <v>125</v>
      </c>
      <c r="G750" s="207">
        <v>1347</v>
      </c>
      <c r="H750" s="207" t="s">
        <v>15</v>
      </c>
      <c r="I750" s="207">
        <v>1</v>
      </c>
    </row>
    <row r="752" spans="1:9" x14ac:dyDescent="0.2">
      <c r="A752" s="208">
        <v>151</v>
      </c>
      <c r="B752" s="207" t="s">
        <v>274</v>
      </c>
      <c r="E752" s="207" t="s">
        <v>118</v>
      </c>
      <c r="G752" s="207">
        <v>451</v>
      </c>
      <c r="H752" s="207" t="s">
        <v>12</v>
      </c>
      <c r="I752" s="207">
        <v>0.33259587020648967</v>
      </c>
    </row>
    <row r="753" spans="1:9" x14ac:dyDescent="0.2">
      <c r="A753" s="208">
        <v>151</v>
      </c>
      <c r="B753" s="207" t="s">
        <v>274</v>
      </c>
      <c r="E753" s="207" t="s">
        <v>119</v>
      </c>
      <c r="G753" s="207">
        <v>452</v>
      </c>
      <c r="H753" s="207" t="s">
        <v>13</v>
      </c>
      <c r="I753" s="207">
        <v>0.33333333333333331</v>
      </c>
    </row>
    <row r="754" spans="1:9" x14ac:dyDescent="0.2">
      <c r="A754" s="208">
        <v>151</v>
      </c>
      <c r="B754" s="207" t="s">
        <v>274</v>
      </c>
      <c r="E754" s="207" t="s">
        <v>120</v>
      </c>
      <c r="G754" s="207">
        <v>453</v>
      </c>
      <c r="H754" s="207" t="s">
        <v>14</v>
      </c>
      <c r="I754" s="207">
        <v>0.33407079646017701</v>
      </c>
    </row>
    <row r="755" spans="1:9" x14ac:dyDescent="0.2">
      <c r="E755" s="207" t="s">
        <v>125</v>
      </c>
      <c r="G755" s="207">
        <v>1356</v>
      </c>
      <c r="H755" s="207" t="s">
        <v>15</v>
      </c>
      <c r="I755" s="207">
        <v>1</v>
      </c>
    </row>
    <row r="757" spans="1:9" x14ac:dyDescent="0.2">
      <c r="A757" s="208">
        <v>152</v>
      </c>
      <c r="B757" s="207" t="s">
        <v>275</v>
      </c>
      <c r="E757" s="207" t="s">
        <v>118</v>
      </c>
      <c r="G757" s="207">
        <v>454</v>
      </c>
      <c r="H757" s="207" t="s">
        <v>12</v>
      </c>
      <c r="I757" s="207">
        <v>0.33260073260073258</v>
      </c>
    </row>
    <row r="758" spans="1:9" x14ac:dyDescent="0.2">
      <c r="A758" s="208">
        <v>152</v>
      </c>
      <c r="B758" s="207" t="s">
        <v>275</v>
      </c>
      <c r="E758" s="207" t="s">
        <v>119</v>
      </c>
      <c r="G758" s="207">
        <v>455</v>
      </c>
      <c r="H758" s="207" t="s">
        <v>13</v>
      </c>
      <c r="I758" s="207">
        <v>0.33333333333333331</v>
      </c>
    </row>
    <row r="759" spans="1:9" x14ac:dyDescent="0.2">
      <c r="A759" s="208">
        <v>152</v>
      </c>
      <c r="B759" s="207" t="s">
        <v>275</v>
      </c>
      <c r="E759" s="207" t="s">
        <v>120</v>
      </c>
      <c r="G759" s="207">
        <v>456</v>
      </c>
      <c r="H759" s="207" t="s">
        <v>14</v>
      </c>
      <c r="I759" s="207">
        <v>0.33406593406593404</v>
      </c>
    </row>
    <row r="760" spans="1:9" x14ac:dyDescent="0.2">
      <c r="E760" s="207" t="s">
        <v>125</v>
      </c>
      <c r="G760" s="207">
        <v>1365</v>
      </c>
      <c r="H760" s="207" t="s">
        <v>15</v>
      </c>
      <c r="I760" s="207">
        <v>1</v>
      </c>
    </row>
    <row r="762" spans="1:9" x14ac:dyDescent="0.2">
      <c r="A762" s="208">
        <v>153</v>
      </c>
      <c r="B762" s="207" t="s">
        <v>276</v>
      </c>
      <c r="E762" s="207" t="s">
        <v>118</v>
      </c>
      <c r="G762" s="207">
        <v>457</v>
      </c>
      <c r="H762" s="207" t="s">
        <v>12</v>
      </c>
      <c r="I762" s="207">
        <v>0.33260553129548764</v>
      </c>
    </row>
    <row r="763" spans="1:9" x14ac:dyDescent="0.2">
      <c r="A763" s="208">
        <v>153</v>
      </c>
      <c r="B763" s="207" t="s">
        <v>276</v>
      </c>
      <c r="E763" s="207" t="s">
        <v>119</v>
      </c>
      <c r="G763" s="207">
        <v>458</v>
      </c>
      <c r="H763" s="207" t="s">
        <v>13</v>
      </c>
      <c r="I763" s="207">
        <v>0.33333333333333331</v>
      </c>
    </row>
    <row r="764" spans="1:9" x14ac:dyDescent="0.2">
      <c r="A764" s="208">
        <v>153</v>
      </c>
      <c r="B764" s="207" t="s">
        <v>276</v>
      </c>
      <c r="E764" s="207" t="s">
        <v>120</v>
      </c>
      <c r="G764" s="207">
        <v>459</v>
      </c>
      <c r="H764" s="207" t="s">
        <v>14</v>
      </c>
      <c r="I764" s="207">
        <v>0.33406113537117904</v>
      </c>
    </row>
    <row r="765" spans="1:9" x14ac:dyDescent="0.2">
      <c r="E765" s="207" t="s">
        <v>125</v>
      </c>
      <c r="G765" s="207">
        <v>1374</v>
      </c>
      <c r="H765" s="207" t="s">
        <v>15</v>
      </c>
      <c r="I765" s="207">
        <v>1</v>
      </c>
    </row>
    <row r="767" spans="1:9" x14ac:dyDescent="0.2">
      <c r="A767" s="208">
        <v>154</v>
      </c>
      <c r="B767" s="207" t="s">
        <v>277</v>
      </c>
      <c r="E767" s="207" t="s">
        <v>118</v>
      </c>
      <c r="G767" s="207">
        <v>460</v>
      </c>
      <c r="H767" s="207" t="s">
        <v>12</v>
      </c>
      <c r="I767" s="207">
        <v>0.33261026753434564</v>
      </c>
    </row>
    <row r="768" spans="1:9" x14ac:dyDescent="0.2">
      <c r="A768" s="208">
        <v>154</v>
      </c>
      <c r="B768" s="207" t="s">
        <v>277</v>
      </c>
      <c r="E768" s="207" t="s">
        <v>119</v>
      </c>
      <c r="G768" s="207">
        <v>461</v>
      </c>
      <c r="H768" s="207" t="s">
        <v>13</v>
      </c>
      <c r="I768" s="207">
        <v>0.33333333333333331</v>
      </c>
    </row>
    <row r="769" spans="1:9" x14ac:dyDescent="0.2">
      <c r="A769" s="208">
        <v>154</v>
      </c>
      <c r="B769" s="207" t="s">
        <v>277</v>
      </c>
      <c r="E769" s="207" t="s">
        <v>120</v>
      </c>
      <c r="G769" s="207">
        <v>462</v>
      </c>
      <c r="H769" s="207" t="s">
        <v>14</v>
      </c>
      <c r="I769" s="207">
        <v>0.33405639913232105</v>
      </c>
    </row>
    <row r="770" spans="1:9" x14ac:dyDescent="0.2">
      <c r="E770" s="207" t="s">
        <v>125</v>
      </c>
      <c r="G770" s="207">
        <v>1383</v>
      </c>
      <c r="H770" s="207" t="s">
        <v>15</v>
      </c>
      <c r="I770" s="207">
        <v>1</v>
      </c>
    </row>
    <row r="772" spans="1:9" x14ac:dyDescent="0.2">
      <c r="A772" s="208">
        <v>155</v>
      </c>
      <c r="B772" s="207" t="s">
        <v>278</v>
      </c>
      <c r="E772" s="207" t="s">
        <v>118</v>
      </c>
      <c r="G772" s="207">
        <v>463</v>
      </c>
      <c r="H772" s="207" t="s">
        <v>12</v>
      </c>
      <c r="I772" s="207">
        <v>0.33261494252873564</v>
      </c>
    </row>
    <row r="773" spans="1:9" x14ac:dyDescent="0.2">
      <c r="A773" s="208">
        <v>155</v>
      </c>
      <c r="B773" s="207" t="s">
        <v>278</v>
      </c>
      <c r="E773" s="207" t="s">
        <v>119</v>
      </c>
      <c r="G773" s="207">
        <v>464</v>
      </c>
      <c r="H773" s="207" t="s">
        <v>13</v>
      </c>
      <c r="I773" s="207">
        <v>0.33333333333333331</v>
      </c>
    </row>
    <row r="774" spans="1:9" x14ac:dyDescent="0.2">
      <c r="A774" s="208">
        <v>155</v>
      </c>
      <c r="B774" s="207" t="s">
        <v>278</v>
      </c>
      <c r="E774" s="207" t="s">
        <v>120</v>
      </c>
      <c r="G774" s="207">
        <v>465</v>
      </c>
      <c r="H774" s="207" t="s">
        <v>14</v>
      </c>
      <c r="I774" s="207">
        <v>0.33405172413793105</v>
      </c>
    </row>
    <row r="775" spans="1:9" x14ac:dyDescent="0.2">
      <c r="E775" s="207" t="s">
        <v>125</v>
      </c>
      <c r="G775" s="207">
        <v>1392</v>
      </c>
      <c r="H775" s="207" t="s">
        <v>15</v>
      </c>
      <c r="I775" s="207">
        <v>1</v>
      </c>
    </row>
    <row r="777" spans="1:9" x14ac:dyDescent="0.2">
      <c r="A777" s="208">
        <v>156</v>
      </c>
      <c r="B777" s="207" t="s">
        <v>279</v>
      </c>
      <c r="E777" s="207" t="s">
        <v>118</v>
      </c>
      <c r="G777" s="207">
        <v>466</v>
      </c>
      <c r="H777" s="207" t="s">
        <v>12</v>
      </c>
      <c r="I777" s="207">
        <v>0.33261955745895788</v>
      </c>
    </row>
    <row r="778" spans="1:9" x14ac:dyDescent="0.2">
      <c r="A778" s="208">
        <v>156</v>
      </c>
      <c r="B778" s="207" t="s">
        <v>279</v>
      </c>
      <c r="E778" s="207" t="s">
        <v>119</v>
      </c>
      <c r="G778" s="207">
        <v>467</v>
      </c>
      <c r="H778" s="207" t="s">
        <v>13</v>
      </c>
      <c r="I778" s="207">
        <v>0.33333333333333331</v>
      </c>
    </row>
    <row r="779" spans="1:9" x14ac:dyDescent="0.2">
      <c r="A779" s="208">
        <v>156</v>
      </c>
      <c r="B779" s="207" t="s">
        <v>279</v>
      </c>
      <c r="E779" s="207" t="s">
        <v>120</v>
      </c>
      <c r="G779" s="207">
        <v>468</v>
      </c>
      <c r="H779" s="207" t="s">
        <v>14</v>
      </c>
      <c r="I779" s="207">
        <v>0.3340471092077088</v>
      </c>
    </row>
    <row r="780" spans="1:9" x14ac:dyDescent="0.2">
      <c r="E780" s="207" t="s">
        <v>125</v>
      </c>
      <c r="G780" s="207">
        <v>1401</v>
      </c>
      <c r="H780" s="207" t="s">
        <v>15</v>
      </c>
      <c r="I780" s="207">
        <v>1</v>
      </c>
    </row>
    <row r="782" spans="1:9" x14ac:dyDescent="0.2">
      <c r="A782" s="208">
        <v>157</v>
      </c>
      <c r="B782" s="207" t="s">
        <v>280</v>
      </c>
      <c r="E782" s="207" t="s">
        <v>118</v>
      </c>
      <c r="G782" s="207">
        <v>469</v>
      </c>
      <c r="H782" s="207" t="s">
        <v>12</v>
      </c>
      <c r="I782" s="207">
        <v>0.33262411347517729</v>
      </c>
    </row>
    <row r="783" spans="1:9" x14ac:dyDescent="0.2">
      <c r="A783" s="208">
        <v>157</v>
      </c>
      <c r="B783" s="207" t="s">
        <v>280</v>
      </c>
      <c r="E783" s="207" t="s">
        <v>119</v>
      </c>
      <c r="G783" s="207">
        <v>470</v>
      </c>
      <c r="H783" s="207" t="s">
        <v>13</v>
      </c>
      <c r="I783" s="207">
        <v>0.33333333333333331</v>
      </c>
    </row>
    <row r="784" spans="1:9" x14ac:dyDescent="0.2">
      <c r="A784" s="208">
        <v>157</v>
      </c>
      <c r="B784" s="207" t="s">
        <v>280</v>
      </c>
      <c r="E784" s="207" t="s">
        <v>120</v>
      </c>
      <c r="G784" s="207">
        <v>471</v>
      </c>
      <c r="H784" s="207" t="s">
        <v>14</v>
      </c>
      <c r="I784" s="207">
        <v>0.33404255319148934</v>
      </c>
    </row>
    <row r="785" spans="1:9" x14ac:dyDescent="0.2">
      <c r="E785" s="207" t="s">
        <v>125</v>
      </c>
      <c r="G785" s="207">
        <v>1410</v>
      </c>
      <c r="H785" s="207" t="s">
        <v>15</v>
      </c>
      <c r="I785" s="207">
        <v>0.99999999999999989</v>
      </c>
    </row>
    <row r="787" spans="1:9" x14ac:dyDescent="0.2">
      <c r="A787" s="208">
        <v>158</v>
      </c>
      <c r="B787" s="207" t="s">
        <v>281</v>
      </c>
      <c r="E787" s="207" t="s">
        <v>118</v>
      </c>
      <c r="G787" s="207">
        <v>472</v>
      </c>
      <c r="H787" s="207" t="s">
        <v>12</v>
      </c>
      <c r="I787" s="207">
        <v>0.33262861169837915</v>
      </c>
    </row>
    <row r="788" spans="1:9" x14ac:dyDescent="0.2">
      <c r="A788" s="208">
        <v>158</v>
      </c>
      <c r="B788" s="207" t="s">
        <v>281</v>
      </c>
      <c r="E788" s="207" t="s">
        <v>119</v>
      </c>
      <c r="G788" s="207">
        <v>473</v>
      </c>
      <c r="H788" s="207" t="s">
        <v>13</v>
      </c>
      <c r="I788" s="207">
        <v>0.33333333333333331</v>
      </c>
    </row>
    <row r="789" spans="1:9" x14ac:dyDescent="0.2">
      <c r="A789" s="208">
        <v>158</v>
      </c>
      <c r="B789" s="207" t="s">
        <v>281</v>
      </c>
      <c r="E789" s="207" t="s">
        <v>120</v>
      </c>
      <c r="G789" s="207">
        <v>474</v>
      </c>
      <c r="H789" s="207" t="s">
        <v>14</v>
      </c>
      <c r="I789" s="207">
        <v>0.33403805496828753</v>
      </c>
    </row>
    <row r="790" spans="1:9" x14ac:dyDescent="0.2">
      <c r="E790" s="207" t="s">
        <v>125</v>
      </c>
      <c r="G790" s="207">
        <v>1419</v>
      </c>
      <c r="H790" s="207" t="s">
        <v>15</v>
      </c>
      <c r="I790" s="207">
        <v>1</v>
      </c>
    </row>
    <row r="792" spans="1:9" x14ac:dyDescent="0.2">
      <c r="A792" s="208">
        <v>159</v>
      </c>
      <c r="B792" s="207" t="s">
        <v>282</v>
      </c>
      <c r="E792" s="207" t="s">
        <v>118</v>
      </c>
      <c r="G792" s="207">
        <v>475</v>
      </c>
      <c r="H792" s="207" t="s">
        <v>12</v>
      </c>
      <c r="I792" s="207">
        <v>0.3326330532212885</v>
      </c>
    </row>
    <row r="793" spans="1:9" x14ac:dyDescent="0.2">
      <c r="A793" s="208">
        <v>159</v>
      </c>
      <c r="B793" s="207" t="s">
        <v>282</v>
      </c>
      <c r="E793" s="207" t="s">
        <v>119</v>
      </c>
      <c r="G793" s="207">
        <v>476</v>
      </c>
      <c r="H793" s="207" t="s">
        <v>13</v>
      </c>
      <c r="I793" s="207">
        <v>0.33333333333333331</v>
      </c>
    </row>
    <row r="794" spans="1:9" x14ac:dyDescent="0.2">
      <c r="A794" s="208">
        <v>159</v>
      </c>
      <c r="B794" s="207" t="s">
        <v>282</v>
      </c>
      <c r="E794" s="207" t="s">
        <v>120</v>
      </c>
      <c r="G794" s="207">
        <v>477</v>
      </c>
      <c r="H794" s="207" t="s">
        <v>14</v>
      </c>
      <c r="I794" s="207">
        <v>0.33403361344537813</v>
      </c>
    </row>
    <row r="795" spans="1:9" x14ac:dyDescent="0.2">
      <c r="E795" s="207" t="s">
        <v>125</v>
      </c>
      <c r="G795" s="207">
        <v>1428</v>
      </c>
      <c r="H795" s="207" t="s">
        <v>15</v>
      </c>
      <c r="I795" s="207">
        <v>1</v>
      </c>
    </row>
    <row r="797" spans="1:9" x14ac:dyDescent="0.2">
      <c r="A797" s="208">
        <v>160</v>
      </c>
      <c r="B797" s="207" t="s">
        <v>283</v>
      </c>
      <c r="E797" s="207" t="s">
        <v>118</v>
      </c>
      <c r="G797" s="207">
        <v>478</v>
      </c>
      <c r="H797" s="207" t="s">
        <v>12</v>
      </c>
      <c r="I797" s="207">
        <v>0.33263743910925542</v>
      </c>
    </row>
    <row r="798" spans="1:9" x14ac:dyDescent="0.2">
      <c r="A798" s="208">
        <v>160</v>
      </c>
      <c r="B798" s="207" t="s">
        <v>283</v>
      </c>
      <c r="E798" s="207" t="s">
        <v>119</v>
      </c>
      <c r="G798" s="207">
        <v>479</v>
      </c>
      <c r="H798" s="207" t="s">
        <v>13</v>
      </c>
      <c r="I798" s="207">
        <v>0.33333333333333331</v>
      </c>
    </row>
    <row r="799" spans="1:9" x14ac:dyDescent="0.2">
      <c r="A799" s="208">
        <v>160</v>
      </c>
      <c r="B799" s="207" t="s">
        <v>283</v>
      </c>
      <c r="E799" s="207" t="s">
        <v>120</v>
      </c>
      <c r="G799" s="207">
        <v>480</v>
      </c>
      <c r="H799" s="207" t="s">
        <v>14</v>
      </c>
      <c r="I799" s="207">
        <v>0.33402922755741127</v>
      </c>
    </row>
    <row r="800" spans="1:9" x14ac:dyDescent="0.2">
      <c r="E800" s="207" t="s">
        <v>125</v>
      </c>
      <c r="G800" s="207">
        <v>1437</v>
      </c>
      <c r="H800" s="207" t="s">
        <v>15</v>
      </c>
      <c r="I800" s="207">
        <v>1</v>
      </c>
    </row>
    <row r="802" spans="1:9" x14ac:dyDescent="0.2">
      <c r="A802" s="208">
        <v>161</v>
      </c>
      <c r="B802" s="207" t="s">
        <v>284</v>
      </c>
      <c r="E802" s="207" t="s">
        <v>118</v>
      </c>
      <c r="G802" s="207">
        <v>481</v>
      </c>
      <c r="H802" s="207" t="s">
        <v>12</v>
      </c>
      <c r="I802" s="207">
        <v>0.33264177040110648</v>
      </c>
    </row>
    <row r="803" spans="1:9" x14ac:dyDescent="0.2">
      <c r="A803" s="208">
        <v>161</v>
      </c>
      <c r="B803" s="207" t="s">
        <v>284</v>
      </c>
      <c r="E803" s="207" t="s">
        <v>119</v>
      </c>
      <c r="G803" s="207">
        <v>482</v>
      </c>
      <c r="H803" s="207" t="s">
        <v>13</v>
      </c>
      <c r="I803" s="207">
        <v>0.33333333333333331</v>
      </c>
    </row>
    <row r="804" spans="1:9" x14ac:dyDescent="0.2">
      <c r="A804" s="208">
        <v>161</v>
      </c>
      <c r="B804" s="207" t="s">
        <v>284</v>
      </c>
      <c r="E804" s="207" t="s">
        <v>120</v>
      </c>
      <c r="G804" s="207">
        <v>483</v>
      </c>
      <c r="H804" s="207" t="s">
        <v>14</v>
      </c>
      <c r="I804" s="207">
        <v>0.33402489626556015</v>
      </c>
    </row>
    <row r="805" spans="1:9" x14ac:dyDescent="0.2">
      <c r="E805" s="207" t="s">
        <v>125</v>
      </c>
      <c r="G805" s="207">
        <v>1446</v>
      </c>
      <c r="H805" s="207" t="s">
        <v>15</v>
      </c>
      <c r="I805" s="207">
        <v>1</v>
      </c>
    </row>
    <row r="807" spans="1:9" x14ac:dyDescent="0.2">
      <c r="A807" s="208">
        <v>162</v>
      </c>
      <c r="B807" s="207" t="s">
        <v>285</v>
      </c>
      <c r="E807" s="207" t="s">
        <v>118</v>
      </c>
      <c r="G807" s="207">
        <v>484</v>
      </c>
      <c r="H807" s="207" t="s">
        <v>12</v>
      </c>
      <c r="I807" s="207">
        <v>0.33264604810996562</v>
      </c>
    </row>
    <row r="808" spans="1:9" x14ac:dyDescent="0.2">
      <c r="A808" s="208">
        <v>162</v>
      </c>
      <c r="B808" s="207" t="s">
        <v>285</v>
      </c>
      <c r="E808" s="207" t="s">
        <v>119</v>
      </c>
      <c r="G808" s="207">
        <v>485</v>
      </c>
      <c r="H808" s="207" t="s">
        <v>13</v>
      </c>
      <c r="I808" s="207">
        <v>0.33333333333333331</v>
      </c>
    </row>
    <row r="809" spans="1:9" x14ac:dyDescent="0.2">
      <c r="A809" s="208">
        <v>162</v>
      </c>
      <c r="B809" s="207" t="s">
        <v>285</v>
      </c>
      <c r="E809" s="207" t="s">
        <v>120</v>
      </c>
      <c r="G809" s="207">
        <v>486</v>
      </c>
      <c r="H809" s="207" t="s">
        <v>14</v>
      </c>
      <c r="I809" s="207">
        <v>0.33402061855670101</v>
      </c>
    </row>
    <row r="810" spans="1:9" x14ac:dyDescent="0.2">
      <c r="E810" s="207" t="s">
        <v>125</v>
      </c>
      <c r="G810" s="207">
        <v>1455</v>
      </c>
      <c r="H810" s="207" t="s">
        <v>15</v>
      </c>
      <c r="I810" s="207">
        <v>1</v>
      </c>
    </row>
    <row r="812" spans="1:9" x14ac:dyDescent="0.2">
      <c r="A812" s="208">
        <v>163</v>
      </c>
      <c r="B812" s="207" t="s">
        <v>286</v>
      </c>
      <c r="E812" s="207" t="s">
        <v>118</v>
      </c>
      <c r="G812" s="207">
        <v>487</v>
      </c>
      <c r="H812" s="207" t="s">
        <v>12</v>
      </c>
      <c r="I812" s="207">
        <v>0.33265027322404372</v>
      </c>
    </row>
    <row r="813" spans="1:9" x14ac:dyDescent="0.2">
      <c r="A813" s="208">
        <v>163</v>
      </c>
      <c r="B813" s="207" t="s">
        <v>286</v>
      </c>
      <c r="E813" s="207" t="s">
        <v>119</v>
      </c>
      <c r="G813" s="207">
        <v>488</v>
      </c>
      <c r="H813" s="207" t="s">
        <v>13</v>
      </c>
      <c r="I813" s="207">
        <v>0.33333333333333331</v>
      </c>
    </row>
    <row r="814" spans="1:9" x14ac:dyDescent="0.2">
      <c r="A814" s="208">
        <v>163</v>
      </c>
      <c r="B814" s="207" t="s">
        <v>286</v>
      </c>
      <c r="E814" s="207" t="s">
        <v>120</v>
      </c>
      <c r="G814" s="207">
        <v>489</v>
      </c>
      <c r="H814" s="207" t="s">
        <v>14</v>
      </c>
      <c r="I814" s="207">
        <v>0.33401639344262296</v>
      </c>
    </row>
    <row r="815" spans="1:9" x14ac:dyDescent="0.2">
      <c r="E815" s="207" t="s">
        <v>125</v>
      </c>
      <c r="G815" s="207">
        <v>1464</v>
      </c>
      <c r="H815" s="207" t="s">
        <v>15</v>
      </c>
      <c r="I815" s="207">
        <v>1</v>
      </c>
    </row>
    <row r="817" spans="1:9" x14ac:dyDescent="0.2">
      <c r="A817" s="208">
        <v>164</v>
      </c>
      <c r="B817" s="207" t="s">
        <v>287</v>
      </c>
      <c r="E817" s="207" t="s">
        <v>118</v>
      </c>
      <c r="G817" s="207">
        <v>490</v>
      </c>
      <c r="H817" s="207" t="s">
        <v>12</v>
      </c>
      <c r="I817" s="207">
        <v>0.33265444670739985</v>
      </c>
    </row>
    <row r="818" spans="1:9" x14ac:dyDescent="0.2">
      <c r="A818" s="208">
        <v>164</v>
      </c>
      <c r="B818" s="207" t="s">
        <v>287</v>
      </c>
      <c r="E818" s="207" t="s">
        <v>119</v>
      </c>
      <c r="G818" s="207">
        <v>491</v>
      </c>
      <c r="H818" s="207" t="s">
        <v>13</v>
      </c>
      <c r="I818" s="207">
        <v>0.33333333333333331</v>
      </c>
    </row>
    <row r="819" spans="1:9" x14ac:dyDescent="0.2">
      <c r="A819" s="208">
        <v>164</v>
      </c>
      <c r="B819" s="207" t="s">
        <v>287</v>
      </c>
      <c r="E819" s="207" t="s">
        <v>120</v>
      </c>
      <c r="G819" s="207">
        <v>492</v>
      </c>
      <c r="H819" s="207" t="s">
        <v>14</v>
      </c>
      <c r="I819" s="207">
        <v>0.33401221995926678</v>
      </c>
    </row>
    <row r="820" spans="1:9" x14ac:dyDescent="0.2">
      <c r="E820" s="207" t="s">
        <v>125</v>
      </c>
      <c r="G820" s="207">
        <v>1473</v>
      </c>
      <c r="H820" s="207" t="s">
        <v>15</v>
      </c>
      <c r="I820" s="207">
        <v>1</v>
      </c>
    </row>
    <row r="822" spans="1:9" x14ac:dyDescent="0.2">
      <c r="A822" s="208">
        <v>165</v>
      </c>
      <c r="B822" s="207" t="s">
        <v>288</v>
      </c>
      <c r="E822" s="207" t="s">
        <v>118</v>
      </c>
      <c r="G822" s="207">
        <v>493</v>
      </c>
      <c r="H822" s="207" t="s">
        <v>12</v>
      </c>
      <c r="I822" s="207">
        <v>0.33265856950067474</v>
      </c>
    </row>
    <row r="823" spans="1:9" x14ac:dyDescent="0.2">
      <c r="A823" s="208">
        <v>165</v>
      </c>
      <c r="B823" s="207" t="s">
        <v>288</v>
      </c>
      <c r="E823" s="207" t="s">
        <v>119</v>
      </c>
      <c r="G823" s="207">
        <v>494</v>
      </c>
      <c r="H823" s="207" t="s">
        <v>13</v>
      </c>
      <c r="I823" s="207">
        <v>0.33333333333333331</v>
      </c>
    </row>
    <row r="824" spans="1:9" x14ac:dyDescent="0.2">
      <c r="A824" s="208">
        <v>165</v>
      </c>
      <c r="B824" s="207" t="s">
        <v>288</v>
      </c>
      <c r="E824" s="207" t="s">
        <v>120</v>
      </c>
      <c r="G824" s="207">
        <v>495</v>
      </c>
      <c r="H824" s="207" t="s">
        <v>14</v>
      </c>
      <c r="I824" s="207">
        <v>0.33400809716599189</v>
      </c>
    </row>
    <row r="825" spans="1:9" x14ac:dyDescent="0.2">
      <c r="E825" s="207" t="s">
        <v>125</v>
      </c>
      <c r="G825" s="207">
        <v>1482</v>
      </c>
      <c r="H825" s="207" t="s">
        <v>15</v>
      </c>
      <c r="I825" s="207">
        <v>0.99999999999999989</v>
      </c>
    </row>
    <row r="827" spans="1:9" x14ac:dyDescent="0.2">
      <c r="A827" s="208">
        <v>166</v>
      </c>
      <c r="B827" s="207" t="s">
        <v>289</v>
      </c>
      <c r="E827" s="207" t="s">
        <v>118</v>
      </c>
      <c r="G827" s="207">
        <v>496</v>
      </c>
      <c r="H827" s="207" t="s">
        <v>12</v>
      </c>
      <c r="I827" s="207">
        <v>0.33266264252179745</v>
      </c>
    </row>
    <row r="828" spans="1:9" x14ac:dyDescent="0.2">
      <c r="A828" s="208">
        <v>166</v>
      </c>
      <c r="B828" s="207" t="s">
        <v>289</v>
      </c>
      <c r="E828" s="207" t="s">
        <v>119</v>
      </c>
      <c r="G828" s="207">
        <v>497</v>
      </c>
      <c r="H828" s="207" t="s">
        <v>13</v>
      </c>
      <c r="I828" s="207">
        <v>0.33333333333333331</v>
      </c>
    </row>
    <row r="829" spans="1:9" x14ac:dyDescent="0.2">
      <c r="A829" s="208">
        <v>166</v>
      </c>
      <c r="B829" s="207" t="s">
        <v>289</v>
      </c>
      <c r="E829" s="207" t="s">
        <v>120</v>
      </c>
      <c r="G829" s="207">
        <v>498</v>
      </c>
      <c r="H829" s="207" t="s">
        <v>14</v>
      </c>
      <c r="I829" s="207">
        <v>0.33400402414486924</v>
      </c>
    </row>
    <row r="830" spans="1:9" x14ac:dyDescent="0.2">
      <c r="E830" s="207" t="s">
        <v>125</v>
      </c>
      <c r="G830" s="207">
        <v>1491</v>
      </c>
      <c r="H830" s="207" t="s">
        <v>15</v>
      </c>
      <c r="I830" s="207">
        <v>1</v>
      </c>
    </row>
    <row r="832" spans="1:9" x14ac:dyDescent="0.2">
      <c r="A832" s="208">
        <v>167</v>
      </c>
      <c r="B832" s="207" t="s">
        <v>290</v>
      </c>
      <c r="E832" s="207" t="s">
        <v>118</v>
      </c>
      <c r="G832" s="207">
        <v>499</v>
      </c>
      <c r="H832" s="207" t="s">
        <v>12</v>
      </c>
      <c r="I832" s="207">
        <v>0.33266666666666667</v>
      </c>
    </row>
    <row r="833" spans="1:9" x14ac:dyDescent="0.2">
      <c r="A833" s="208">
        <v>167</v>
      </c>
      <c r="B833" s="207" t="s">
        <v>290</v>
      </c>
      <c r="E833" s="207" t="s">
        <v>119</v>
      </c>
      <c r="G833" s="207">
        <v>500</v>
      </c>
      <c r="H833" s="207" t="s">
        <v>13</v>
      </c>
      <c r="I833" s="207">
        <v>0.33333333333333331</v>
      </c>
    </row>
    <row r="834" spans="1:9" x14ac:dyDescent="0.2">
      <c r="A834" s="208">
        <v>167</v>
      </c>
      <c r="B834" s="207" t="s">
        <v>290</v>
      </c>
      <c r="E834" s="207" t="s">
        <v>120</v>
      </c>
      <c r="G834" s="207">
        <v>501</v>
      </c>
      <c r="H834" s="207" t="s">
        <v>14</v>
      </c>
      <c r="I834" s="207">
        <v>0.33400000000000002</v>
      </c>
    </row>
    <row r="835" spans="1:9" x14ac:dyDescent="0.2">
      <c r="E835" s="207" t="s">
        <v>125</v>
      </c>
      <c r="G835" s="207">
        <v>1500</v>
      </c>
      <c r="H835" s="207" t="s">
        <v>15</v>
      </c>
      <c r="I835" s="207">
        <v>1</v>
      </c>
    </row>
    <row r="837" spans="1:9" x14ac:dyDescent="0.2">
      <c r="A837" s="208">
        <v>168</v>
      </c>
      <c r="B837" s="207" t="s">
        <v>291</v>
      </c>
      <c r="E837" s="207" t="s">
        <v>118</v>
      </c>
      <c r="G837" s="207">
        <v>502</v>
      </c>
      <c r="H837" s="207" t="s">
        <v>12</v>
      </c>
      <c r="I837" s="207">
        <v>0.33267064280980779</v>
      </c>
    </row>
    <row r="838" spans="1:9" x14ac:dyDescent="0.2">
      <c r="A838" s="208">
        <v>168</v>
      </c>
      <c r="B838" s="207" t="s">
        <v>291</v>
      </c>
      <c r="E838" s="207" t="s">
        <v>119</v>
      </c>
      <c r="G838" s="207">
        <v>503</v>
      </c>
      <c r="H838" s="207" t="s">
        <v>13</v>
      </c>
      <c r="I838" s="207">
        <v>0.33333333333333331</v>
      </c>
    </row>
    <row r="839" spans="1:9" x14ac:dyDescent="0.2">
      <c r="A839" s="208">
        <v>168</v>
      </c>
      <c r="B839" s="207" t="s">
        <v>291</v>
      </c>
      <c r="E839" s="207" t="s">
        <v>120</v>
      </c>
      <c r="G839" s="207">
        <v>504</v>
      </c>
      <c r="H839" s="207" t="s">
        <v>14</v>
      </c>
      <c r="I839" s="207">
        <v>0.33399602385685884</v>
      </c>
    </row>
    <row r="840" spans="1:9" x14ac:dyDescent="0.2">
      <c r="E840" s="207" t="s">
        <v>125</v>
      </c>
      <c r="G840" s="207">
        <v>1509</v>
      </c>
      <c r="H840" s="207" t="s">
        <v>15</v>
      </c>
      <c r="I840" s="207">
        <v>1</v>
      </c>
    </row>
    <row r="842" spans="1:9" x14ac:dyDescent="0.2">
      <c r="A842" s="208">
        <v>169</v>
      </c>
      <c r="B842" s="207" t="s">
        <v>292</v>
      </c>
      <c r="E842" s="207" t="s">
        <v>118</v>
      </c>
      <c r="G842" s="207">
        <v>505</v>
      </c>
      <c r="H842" s="207" t="s">
        <v>12</v>
      </c>
      <c r="I842" s="207">
        <v>0.33267457180500659</v>
      </c>
    </row>
    <row r="843" spans="1:9" x14ac:dyDescent="0.2">
      <c r="A843" s="208">
        <v>169</v>
      </c>
      <c r="B843" s="207" t="s">
        <v>292</v>
      </c>
      <c r="E843" s="207" t="s">
        <v>119</v>
      </c>
      <c r="G843" s="207">
        <v>506</v>
      </c>
      <c r="H843" s="207" t="s">
        <v>13</v>
      </c>
      <c r="I843" s="207">
        <v>0.33333333333333331</v>
      </c>
    </row>
    <row r="844" spans="1:9" x14ac:dyDescent="0.2">
      <c r="A844" s="208">
        <v>169</v>
      </c>
      <c r="B844" s="207" t="s">
        <v>292</v>
      </c>
      <c r="E844" s="207" t="s">
        <v>120</v>
      </c>
      <c r="G844" s="207">
        <v>507</v>
      </c>
      <c r="H844" s="207" t="s">
        <v>14</v>
      </c>
      <c r="I844" s="207">
        <v>0.33399209486166009</v>
      </c>
    </row>
    <row r="845" spans="1:9" x14ac:dyDescent="0.2">
      <c r="E845" s="207" t="s">
        <v>125</v>
      </c>
      <c r="G845" s="207">
        <v>1518</v>
      </c>
      <c r="H845" s="207" t="s">
        <v>15</v>
      </c>
      <c r="I845" s="207">
        <v>1</v>
      </c>
    </row>
    <row r="847" spans="1:9" x14ac:dyDescent="0.2">
      <c r="A847" s="208">
        <v>170</v>
      </c>
      <c r="B847" s="207" t="s">
        <v>293</v>
      </c>
      <c r="E847" s="207" t="s">
        <v>118</v>
      </c>
      <c r="G847" s="207">
        <v>508</v>
      </c>
      <c r="H847" s="207" t="s">
        <v>12</v>
      </c>
      <c r="I847" s="207">
        <v>0.33267845448592009</v>
      </c>
    </row>
    <row r="848" spans="1:9" x14ac:dyDescent="0.2">
      <c r="A848" s="208">
        <v>170</v>
      </c>
      <c r="B848" s="207" t="s">
        <v>293</v>
      </c>
      <c r="E848" s="207" t="s">
        <v>119</v>
      </c>
      <c r="G848" s="207">
        <v>509</v>
      </c>
      <c r="H848" s="207" t="s">
        <v>13</v>
      </c>
      <c r="I848" s="207">
        <v>0.33333333333333331</v>
      </c>
    </row>
    <row r="849" spans="1:9" x14ac:dyDescent="0.2">
      <c r="A849" s="208">
        <v>170</v>
      </c>
      <c r="B849" s="207" t="s">
        <v>293</v>
      </c>
      <c r="E849" s="207" t="s">
        <v>120</v>
      </c>
      <c r="G849" s="207">
        <v>510</v>
      </c>
      <c r="H849" s="207" t="s">
        <v>14</v>
      </c>
      <c r="I849" s="207">
        <v>0.33398821218074654</v>
      </c>
    </row>
    <row r="850" spans="1:9" x14ac:dyDescent="0.2">
      <c r="E850" s="207" t="s">
        <v>125</v>
      </c>
      <c r="G850" s="207">
        <v>1527</v>
      </c>
      <c r="H850" s="207" t="s">
        <v>15</v>
      </c>
      <c r="I850" s="207">
        <v>1</v>
      </c>
    </row>
    <row r="852" spans="1:9" x14ac:dyDescent="0.2">
      <c r="A852" s="208">
        <v>171</v>
      </c>
      <c r="B852" s="207" t="s">
        <v>294</v>
      </c>
      <c r="E852" s="207" t="s">
        <v>118</v>
      </c>
      <c r="G852" s="207">
        <v>511</v>
      </c>
      <c r="H852" s="207" t="s">
        <v>12</v>
      </c>
      <c r="I852" s="207">
        <v>0.33268229166666669</v>
      </c>
    </row>
    <row r="853" spans="1:9" x14ac:dyDescent="0.2">
      <c r="A853" s="208">
        <v>171</v>
      </c>
      <c r="B853" s="207" t="s">
        <v>294</v>
      </c>
      <c r="E853" s="207" t="s">
        <v>119</v>
      </c>
      <c r="G853" s="207">
        <v>512</v>
      </c>
      <c r="H853" s="207" t="s">
        <v>13</v>
      </c>
      <c r="I853" s="207">
        <v>0.33333333333333331</v>
      </c>
    </row>
    <row r="854" spans="1:9" x14ac:dyDescent="0.2">
      <c r="A854" s="208">
        <v>171</v>
      </c>
      <c r="B854" s="207" t="s">
        <v>294</v>
      </c>
      <c r="E854" s="207" t="s">
        <v>120</v>
      </c>
      <c r="G854" s="207">
        <v>513</v>
      </c>
      <c r="H854" s="207" t="s">
        <v>14</v>
      </c>
      <c r="I854" s="207">
        <v>0.333984375</v>
      </c>
    </row>
    <row r="855" spans="1:9" x14ac:dyDescent="0.2">
      <c r="E855" s="207" t="s">
        <v>125</v>
      </c>
      <c r="G855" s="207">
        <v>1536</v>
      </c>
      <c r="H855" s="207" t="s">
        <v>15</v>
      </c>
      <c r="I855" s="207">
        <v>1</v>
      </c>
    </row>
    <row r="857" spans="1:9" x14ac:dyDescent="0.2">
      <c r="A857" s="208">
        <v>172</v>
      </c>
      <c r="B857" s="207" t="s">
        <v>295</v>
      </c>
      <c r="E857" s="207" t="s">
        <v>118</v>
      </c>
      <c r="G857" s="207">
        <v>514</v>
      </c>
      <c r="H857" s="207" t="s">
        <v>12</v>
      </c>
      <c r="I857" s="207">
        <v>0.33268608414239481</v>
      </c>
    </row>
    <row r="858" spans="1:9" x14ac:dyDescent="0.2">
      <c r="A858" s="208">
        <v>172</v>
      </c>
      <c r="B858" s="207" t="s">
        <v>295</v>
      </c>
      <c r="E858" s="207" t="s">
        <v>119</v>
      </c>
      <c r="G858" s="207">
        <v>515</v>
      </c>
      <c r="H858" s="207" t="s">
        <v>13</v>
      </c>
      <c r="I858" s="207">
        <v>0.33333333333333331</v>
      </c>
    </row>
    <row r="859" spans="1:9" x14ac:dyDescent="0.2">
      <c r="A859" s="208">
        <v>172</v>
      </c>
      <c r="B859" s="207" t="s">
        <v>295</v>
      </c>
      <c r="E859" s="207" t="s">
        <v>120</v>
      </c>
      <c r="G859" s="207">
        <v>516</v>
      </c>
      <c r="H859" s="207" t="s">
        <v>14</v>
      </c>
      <c r="I859" s="207">
        <v>0.33398058252427182</v>
      </c>
    </row>
    <row r="860" spans="1:9" x14ac:dyDescent="0.2">
      <c r="E860" s="207" t="s">
        <v>125</v>
      </c>
      <c r="G860" s="207">
        <v>1545</v>
      </c>
      <c r="H860" s="207" t="s">
        <v>15</v>
      </c>
      <c r="I860" s="207">
        <v>1</v>
      </c>
    </row>
    <row r="862" spans="1:9" x14ac:dyDescent="0.2">
      <c r="A862" s="208">
        <v>173</v>
      </c>
      <c r="B862" s="207" t="s">
        <v>296</v>
      </c>
      <c r="E862" s="207" t="s">
        <v>118</v>
      </c>
      <c r="G862" s="207">
        <v>517</v>
      </c>
      <c r="H862" s="207" t="s">
        <v>12</v>
      </c>
      <c r="I862" s="207">
        <v>0.33268983268983271</v>
      </c>
    </row>
    <row r="863" spans="1:9" x14ac:dyDescent="0.2">
      <c r="A863" s="208">
        <v>173</v>
      </c>
      <c r="B863" s="207" t="s">
        <v>296</v>
      </c>
      <c r="E863" s="207" t="s">
        <v>119</v>
      </c>
      <c r="G863" s="207">
        <v>518</v>
      </c>
      <c r="H863" s="207" t="s">
        <v>13</v>
      </c>
      <c r="I863" s="207">
        <v>0.33333333333333331</v>
      </c>
    </row>
    <row r="864" spans="1:9" x14ac:dyDescent="0.2">
      <c r="A864" s="208">
        <v>173</v>
      </c>
      <c r="B864" s="207" t="s">
        <v>296</v>
      </c>
      <c r="E864" s="207" t="s">
        <v>120</v>
      </c>
      <c r="G864" s="207">
        <v>519</v>
      </c>
      <c r="H864" s="207" t="s">
        <v>14</v>
      </c>
      <c r="I864" s="207">
        <v>0.33397683397683398</v>
      </c>
    </row>
    <row r="865" spans="1:9" x14ac:dyDescent="0.2">
      <c r="E865" s="207" t="s">
        <v>125</v>
      </c>
      <c r="G865" s="207">
        <v>1554</v>
      </c>
      <c r="H865" s="207" t="s">
        <v>15</v>
      </c>
      <c r="I865" s="207">
        <v>1</v>
      </c>
    </row>
    <row r="867" spans="1:9" x14ac:dyDescent="0.2">
      <c r="A867" s="208">
        <v>174</v>
      </c>
      <c r="B867" s="207" t="s">
        <v>297</v>
      </c>
      <c r="E867" s="207" t="s">
        <v>118</v>
      </c>
      <c r="G867" s="207">
        <v>520</v>
      </c>
      <c r="H867" s="207" t="s">
        <v>12</v>
      </c>
      <c r="I867" s="207">
        <v>0.33269353806781832</v>
      </c>
    </row>
    <row r="868" spans="1:9" x14ac:dyDescent="0.2">
      <c r="A868" s="208">
        <v>174</v>
      </c>
      <c r="B868" s="207" t="s">
        <v>297</v>
      </c>
      <c r="E868" s="207" t="s">
        <v>119</v>
      </c>
      <c r="G868" s="207">
        <v>521</v>
      </c>
      <c r="H868" s="207" t="s">
        <v>13</v>
      </c>
      <c r="I868" s="207">
        <v>0.33333333333333331</v>
      </c>
    </row>
    <row r="869" spans="1:9" x14ac:dyDescent="0.2">
      <c r="A869" s="208">
        <v>174</v>
      </c>
      <c r="B869" s="207" t="s">
        <v>297</v>
      </c>
      <c r="E869" s="207" t="s">
        <v>120</v>
      </c>
      <c r="G869" s="207">
        <v>522</v>
      </c>
      <c r="H869" s="207" t="s">
        <v>14</v>
      </c>
      <c r="I869" s="207">
        <v>0.33397312859884837</v>
      </c>
    </row>
    <row r="870" spans="1:9" x14ac:dyDescent="0.2">
      <c r="E870" s="207" t="s">
        <v>125</v>
      </c>
      <c r="G870" s="207">
        <v>1563</v>
      </c>
      <c r="H870" s="207" t="s">
        <v>15</v>
      </c>
      <c r="I870" s="207">
        <v>1</v>
      </c>
    </row>
    <row r="872" spans="1:9" x14ac:dyDescent="0.2">
      <c r="A872" s="208">
        <v>175</v>
      </c>
      <c r="B872" s="207" t="s">
        <v>298</v>
      </c>
      <c r="E872" s="207" t="s">
        <v>118</v>
      </c>
      <c r="G872" s="207">
        <v>523</v>
      </c>
      <c r="H872" s="207" t="s">
        <v>12</v>
      </c>
      <c r="I872" s="207">
        <v>0.33269720101781169</v>
      </c>
    </row>
    <row r="873" spans="1:9" x14ac:dyDescent="0.2">
      <c r="A873" s="208">
        <v>175</v>
      </c>
      <c r="B873" s="207" t="s">
        <v>298</v>
      </c>
      <c r="E873" s="207" t="s">
        <v>119</v>
      </c>
      <c r="G873" s="207">
        <v>524</v>
      </c>
      <c r="H873" s="207" t="s">
        <v>13</v>
      </c>
      <c r="I873" s="207">
        <v>0.33333333333333331</v>
      </c>
    </row>
    <row r="874" spans="1:9" x14ac:dyDescent="0.2">
      <c r="A874" s="208">
        <v>175</v>
      </c>
      <c r="B874" s="207" t="s">
        <v>298</v>
      </c>
      <c r="E874" s="207" t="s">
        <v>120</v>
      </c>
      <c r="G874" s="207">
        <v>525</v>
      </c>
      <c r="H874" s="207" t="s">
        <v>14</v>
      </c>
      <c r="I874" s="207">
        <v>0.33396946564885494</v>
      </c>
    </row>
    <row r="875" spans="1:9" x14ac:dyDescent="0.2">
      <c r="E875" s="207" t="s">
        <v>125</v>
      </c>
      <c r="G875" s="207">
        <v>1572</v>
      </c>
      <c r="H875" s="207" t="s">
        <v>15</v>
      </c>
      <c r="I875" s="207">
        <v>1</v>
      </c>
    </row>
    <row r="877" spans="1:9" x14ac:dyDescent="0.2">
      <c r="A877" s="208">
        <v>176</v>
      </c>
      <c r="B877" s="207" t="s">
        <v>299</v>
      </c>
      <c r="E877" s="207" t="s">
        <v>118</v>
      </c>
      <c r="G877" s="207">
        <v>526</v>
      </c>
      <c r="H877" s="207" t="s">
        <v>12</v>
      </c>
      <c r="I877" s="207">
        <v>0.33270082226438963</v>
      </c>
    </row>
    <row r="878" spans="1:9" x14ac:dyDescent="0.2">
      <c r="A878" s="208">
        <v>176</v>
      </c>
      <c r="B878" s="207" t="s">
        <v>299</v>
      </c>
      <c r="E878" s="207" t="s">
        <v>119</v>
      </c>
      <c r="G878" s="207">
        <v>527</v>
      </c>
      <c r="H878" s="207" t="s">
        <v>13</v>
      </c>
      <c r="I878" s="207">
        <v>0.33333333333333331</v>
      </c>
    </row>
    <row r="879" spans="1:9" x14ac:dyDescent="0.2">
      <c r="A879" s="208">
        <v>176</v>
      </c>
      <c r="B879" s="207" t="s">
        <v>299</v>
      </c>
      <c r="E879" s="207" t="s">
        <v>120</v>
      </c>
      <c r="G879" s="207">
        <v>528</v>
      </c>
      <c r="H879" s="207" t="s">
        <v>14</v>
      </c>
      <c r="I879" s="207">
        <v>0.33396584440227706</v>
      </c>
    </row>
    <row r="880" spans="1:9" x14ac:dyDescent="0.2">
      <c r="E880" s="207" t="s">
        <v>125</v>
      </c>
      <c r="G880" s="207">
        <v>1581</v>
      </c>
      <c r="H880" s="207" t="s">
        <v>15</v>
      </c>
      <c r="I880" s="207">
        <v>1</v>
      </c>
    </row>
    <row r="882" spans="1:9" x14ac:dyDescent="0.2">
      <c r="A882" s="208">
        <v>177</v>
      </c>
      <c r="B882" s="207" t="s">
        <v>300</v>
      </c>
      <c r="E882" s="207" t="s">
        <v>118</v>
      </c>
      <c r="G882" s="207">
        <v>529</v>
      </c>
      <c r="H882" s="207" t="s">
        <v>12</v>
      </c>
      <c r="I882" s="207">
        <v>0.33270440251572325</v>
      </c>
    </row>
    <row r="883" spans="1:9" x14ac:dyDescent="0.2">
      <c r="A883" s="208">
        <v>177</v>
      </c>
      <c r="B883" s="207" t="s">
        <v>300</v>
      </c>
      <c r="E883" s="207" t="s">
        <v>119</v>
      </c>
      <c r="G883" s="207">
        <v>530</v>
      </c>
      <c r="H883" s="207" t="s">
        <v>13</v>
      </c>
      <c r="I883" s="207">
        <v>0.33333333333333331</v>
      </c>
    </row>
    <row r="884" spans="1:9" x14ac:dyDescent="0.2">
      <c r="A884" s="208">
        <v>177</v>
      </c>
      <c r="B884" s="207" t="s">
        <v>300</v>
      </c>
      <c r="E884" s="207" t="s">
        <v>120</v>
      </c>
      <c r="G884" s="207">
        <v>531</v>
      </c>
      <c r="H884" s="207" t="s">
        <v>14</v>
      </c>
      <c r="I884" s="207">
        <v>0.33396226415094338</v>
      </c>
    </row>
    <row r="885" spans="1:9" x14ac:dyDescent="0.2">
      <c r="E885" s="207" t="s">
        <v>125</v>
      </c>
      <c r="G885" s="207">
        <v>1590</v>
      </c>
      <c r="H885" s="207" t="s">
        <v>15</v>
      </c>
      <c r="I885" s="207">
        <v>1</v>
      </c>
    </row>
    <row r="887" spans="1:9" x14ac:dyDescent="0.2">
      <c r="A887" s="208">
        <v>178</v>
      </c>
      <c r="B887" s="207" t="s">
        <v>301</v>
      </c>
      <c r="E887" s="207" t="s">
        <v>118</v>
      </c>
      <c r="G887" s="207">
        <v>532</v>
      </c>
      <c r="H887" s="207" t="s">
        <v>12</v>
      </c>
      <c r="I887" s="207">
        <v>0.33270794246404001</v>
      </c>
    </row>
    <row r="888" spans="1:9" x14ac:dyDescent="0.2">
      <c r="A888" s="208">
        <v>178</v>
      </c>
      <c r="B888" s="207" t="s">
        <v>301</v>
      </c>
      <c r="E888" s="207" t="s">
        <v>119</v>
      </c>
      <c r="G888" s="207">
        <v>533</v>
      </c>
      <c r="H888" s="207" t="s">
        <v>13</v>
      </c>
      <c r="I888" s="207">
        <v>0.33333333333333331</v>
      </c>
    </row>
    <row r="889" spans="1:9" x14ac:dyDescent="0.2">
      <c r="A889" s="208">
        <v>178</v>
      </c>
      <c r="B889" s="207" t="s">
        <v>301</v>
      </c>
      <c r="E889" s="207" t="s">
        <v>120</v>
      </c>
      <c r="G889" s="207">
        <v>534</v>
      </c>
      <c r="H889" s="207" t="s">
        <v>14</v>
      </c>
      <c r="I889" s="207">
        <v>0.33395872420262662</v>
      </c>
    </row>
    <row r="890" spans="1:9" x14ac:dyDescent="0.2">
      <c r="E890" s="207" t="s">
        <v>125</v>
      </c>
      <c r="G890" s="207">
        <v>1599</v>
      </c>
      <c r="H890" s="207" t="s">
        <v>15</v>
      </c>
      <c r="I890" s="207">
        <v>0.99999999999999989</v>
      </c>
    </row>
    <row r="892" spans="1:9" x14ac:dyDescent="0.2">
      <c r="A892" s="208">
        <v>179</v>
      </c>
      <c r="B892" s="207" t="s">
        <v>302</v>
      </c>
      <c r="E892" s="207" t="s">
        <v>118</v>
      </c>
      <c r="G892" s="207">
        <v>535</v>
      </c>
      <c r="H892" s="207" t="s">
        <v>12</v>
      </c>
      <c r="I892" s="207">
        <v>0.33271144278606968</v>
      </c>
    </row>
    <row r="893" spans="1:9" x14ac:dyDescent="0.2">
      <c r="A893" s="208">
        <v>179</v>
      </c>
      <c r="B893" s="207" t="s">
        <v>302</v>
      </c>
      <c r="E893" s="207" t="s">
        <v>119</v>
      </c>
      <c r="G893" s="207">
        <v>536</v>
      </c>
      <c r="H893" s="207" t="s">
        <v>13</v>
      </c>
      <c r="I893" s="207">
        <v>0.33333333333333331</v>
      </c>
    </row>
    <row r="894" spans="1:9" x14ac:dyDescent="0.2">
      <c r="A894" s="208">
        <v>179</v>
      </c>
      <c r="B894" s="207" t="s">
        <v>302</v>
      </c>
      <c r="E894" s="207" t="s">
        <v>120</v>
      </c>
      <c r="G894" s="207">
        <v>537</v>
      </c>
      <c r="H894" s="207" t="s">
        <v>14</v>
      </c>
      <c r="I894" s="207">
        <v>0.33395522388059701</v>
      </c>
    </row>
    <row r="895" spans="1:9" x14ac:dyDescent="0.2">
      <c r="E895" s="207" t="s">
        <v>125</v>
      </c>
      <c r="G895" s="207">
        <v>1608</v>
      </c>
      <c r="H895" s="207" t="s">
        <v>15</v>
      </c>
      <c r="I895" s="207">
        <v>1</v>
      </c>
    </row>
    <row r="897" spans="1:9" x14ac:dyDescent="0.2">
      <c r="A897" s="208">
        <v>180</v>
      </c>
      <c r="B897" s="207" t="s">
        <v>303</v>
      </c>
      <c r="E897" s="207" t="s">
        <v>118</v>
      </c>
      <c r="G897" s="207">
        <v>538</v>
      </c>
      <c r="H897" s="207" t="s">
        <v>12</v>
      </c>
      <c r="I897" s="207">
        <v>0.3327149041434756</v>
      </c>
    </row>
    <row r="898" spans="1:9" x14ac:dyDescent="0.2">
      <c r="A898" s="208">
        <v>180</v>
      </c>
      <c r="B898" s="207" t="s">
        <v>303</v>
      </c>
      <c r="E898" s="207" t="s">
        <v>119</v>
      </c>
      <c r="G898" s="207">
        <v>539</v>
      </c>
      <c r="H898" s="207" t="s">
        <v>13</v>
      </c>
      <c r="I898" s="207">
        <v>0.33333333333333331</v>
      </c>
    </row>
    <row r="899" spans="1:9" x14ac:dyDescent="0.2">
      <c r="A899" s="208">
        <v>180</v>
      </c>
      <c r="B899" s="207" t="s">
        <v>303</v>
      </c>
      <c r="E899" s="207" t="s">
        <v>120</v>
      </c>
      <c r="G899" s="207">
        <v>540</v>
      </c>
      <c r="H899" s="207" t="s">
        <v>14</v>
      </c>
      <c r="I899" s="207">
        <v>0.33395176252319109</v>
      </c>
    </row>
    <row r="900" spans="1:9" x14ac:dyDescent="0.2">
      <c r="E900" s="207" t="s">
        <v>125</v>
      </c>
      <c r="G900" s="207">
        <v>1617</v>
      </c>
      <c r="H900" s="207" t="s">
        <v>15</v>
      </c>
      <c r="I900" s="207">
        <v>1</v>
      </c>
    </row>
    <row r="902" spans="1:9" x14ac:dyDescent="0.2">
      <c r="A902" s="208">
        <v>181</v>
      </c>
      <c r="B902" s="207" t="s">
        <v>304</v>
      </c>
      <c r="E902" s="207" t="s">
        <v>118</v>
      </c>
      <c r="G902" s="207">
        <v>541</v>
      </c>
      <c r="H902" s="207" t="s">
        <v>12</v>
      </c>
      <c r="I902" s="207">
        <v>0.33271832718327182</v>
      </c>
    </row>
    <row r="903" spans="1:9" x14ac:dyDescent="0.2">
      <c r="A903" s="208">
        <v>181</v>
      </c>
      <c r="B903" s="207" t="s">
        <v>304</v>
      </c>
      <c r="E903" s="207" t="s">
        <v>119</v>
      </c>
      <c r="G903" s="207">
        <v>542</v>
      </c>
      <c r="H903" s="207" t="s">
        <v>13</v>
      </c>
      <c r="I903" s="207">
        <v>0.33333333333333331</v>
      </c>
    </row>
    <row r="904" spans="1:9" x14ac:dyDescent="0.2">
      <c r="A904" s="208">
        <v>181</v>
      </c>
      <c r="B904" s="207" t="s">
        <v>304</v>
      </c>
      <c r="E904" s="207" t="s">
        <v>120</v>
      </c>
      <c r="G904" s="207">
        <v>543</v>
      </c>
      <c r="H904" s="207" t="s">
        <v>14</v>
      </c>
      <c r="I904" s="207">
        <v>0.33394833948339481</v>
      </c>
    </row>
    <row r="905" spans="1:9" x14ac:dyDescent="0.2">
      <c r="E905" s="207" t="s">
        <v>125</v>
      </c>
      <c r="G905" s="207">
        <v>1626</v>
      </c>
      <c r="H905" s="207" t="s">
        <v>15</v>
      </c>
      <c r="I905" s="207">
        <v>1</v>
      </c>
    </row>
    <row r="907" spans="1:9" x14ac:dyDescent="0.2">
      <c r="A907" s="208">
        <v>182</v>
      </c>
      <c r="B907" s="207" t="s">
        <v>305</v>
      </c>
      <c r="E907" s="207" t="s">
        <v>118</v>
      </c>
      <c r="G907" s="207">
        <v>544</v>
      </c>
      <c r="H907" s="207" t="s">
        <v>12</v>
      </c>
      <c r="I907" s="207">
        <v>0.3327217125382263</v>
      </c>
    </row>
    <row r="908" spans="1:9" x14ac:dyDescent="0.2">
      <c r="A908" s="208">
        <v>182</v>
      </c>
      <c r="B908" s="207" t="s">
        <v>305</v>
      </c>
      <c r="E908" s="207" t="s">
        <v>119</v>
      </c>
      <c r="G908" s="207">
        <v>545</v>
      </c>
      <c r="H908" s="207" t="s">
        <v>13</v>
      </c>
      <c r="I908" s="207">
        <v>0.33333333333333331</v>
      </c>
    </row>
    <row r="909" spans="1:9" x14ac:dyDescent="0.2">
      <c r="A909" s="208">
        <v>182</v>
      </c>
      <c r="B909" s="207" t="s">
        <v>305</v>
      </c>
      <c r="E909" s="207" t="s">
        <v>120</v>
      </c>
      <c r="G909" s="207">
        <v>546</v>
      </c>
      <c r="H909" s="207" t="s">
        <v>14</v>
      </c>
      <c r="I909" s="207">
        <v>0.33394495412844039</v>
      </c>
    </row>
    <row r="910" spans="1:9" x14ac:dyDescent="0.2">
      <c r="E910" s="207" t="s">
        <v>125</v>
      </c>
      <c r="G910" s="207">
        <v>1635</v>
      </c>
      <c r="H910" s="207" t="s">
        <v>15</v>
      </c>
      <c r="I910" s="207">
        <v>1</v>
      </c>
    </row>
    <row r="912" spans="1:9" x14ac:dyDescent="0.2">
      <c r="A912" s="208">
        <v>183</v>
      </c>
      <c r="B912" s="207" t="s">
        <v>306</v>
      </c>
      <c r="E912" s="207" t="s">
        <v>118</v>
      </c>
      <c r="G912" s="207">
        <v>547</v>
      </c>
      <c r="H912" s="207" t="s">
        <v>12</v>
      </c>
      <c r="I912" s="207">
        <v>0.33272506082725062</v>
      </c>
    </row>
    <row r="913" spans="1:9" x14ac:dyDescent="0.2">
      <c r="A913" s="208">
        <v>183</v>
      </c>
      <c r="B913" s="207" t="s">
        <v>306</v>
      </c>
      <c r="E913" s="207" t="s">
        <v>119</v>
      </c>
      <c r="G913" s="207">
        <v>548</v>
      </c>
      <c r="H913" s="207" t="s">
        <v>13</v>
      </c>
      <c r="I913" s="207">
        <v>0.33333333333333331</v>
      </c>
    </row>
    <row r="914" spans="1:9" x14ac:dyDescent="0.2">
      <c r="A914" s="208">
        <v>183</v>
      </c>
      <c r="B914" s="207" t="s">
        <v>306</v>
      </c>
      <c r="E914" s="207" t="s">
        <v>120</v>
      </c>
      <c r="G914" s="207">
        <v>549</v>
      </c>
      <c r="H914" s="207" t="s">
        <v>14</v>
      </c>
      <c r="I914" s="207">
        <v>0.33394160583941607</v>
      </c>
    </row>
    <row r="915" spans="1:9" x14ac:dyDescent="0.2">
      <c r="E915" s="207" t="s">
        <v>125</v>
      </c>
      <c r="G915" s="207">
        <v>1644</v>
      </c>
      <c r="H915" s="207" t="s">
        <v>15</v>
      </c>
      <c r="I915" s="207">
        <v>1</v>
      </c>
    </row>
    <row r="917" spans="1:9" x14ac:dyDescent="0.2">
      <c r="A917" s="208">
        <v>184</v>
      </c>
      <c r="B917" s="207" t="s">
        <v>307</v>
      </c>
      <c r="E917" s="207" t="s">
        <v>118</v>
      </c>
      <c r="G917" s="207">
        <v>550</v>
      </c>
      <c r="H917" s="207" t="s">
        <v>12</v>
      </c>
      <c r="I917" s="207">
        <v>0.33272837265577737</v>
      </c>
    </row>
    <row r="918" spans="1:9" x14ac:dyDescent="0.2">
      <c r="A918" s="208">
        <v>184</v>
      </c>
      <c r="B918" s="207" t="s">
        <v>307</v>
      </c>
      <c r="E918" s="207" t="s">
        <v>119</v>
      </c>
      <c r="G918" s="207">
        <v>551</v>
      </c>
      <c r="H918" s="207" t="s">
        <v>13</v>
      </c>
      <c r="I918" s="207">
        <v>0.33333333333333331</v>
      </c>
    </row>
    <row r="919" spans="1:9" x14ac:dyDescent="0.2">
      <c r="A919" s="208">
        <v>184</v>
      </c>
      <c r="B919" s="207" t="s">
        <v>307</v>
      </c>
      <c r="E919" s="207" t="s">
        <v>120</v>
      </c>
      <c r="G919" s="207">
        <v>552</v>
      </c>
      <c r="H919" s="207" t="s">
        <v>14</v>
      </c>
      <c r="I919" s="207">
        <v>0.33393829401088931</v>
      </c>
    </row>
    <row r="920" spans="1:9" x14ac:dyDescent="0.2">
      <c r="E920" s="207" t="s">
        <v>125</v>
      </c>
      <c r="G920" s="207">
        <v>1653</v>
      </c>
      <c r="H920" s="207" t="s">
        <v>15</v>
      </c>
      <c r="I920" s="207">
        <v>1</v>
      </c>
    </row>
    <row r="922" spans="1:9" x14ac:dyDescent="0.2">
      <c r="A922" s="208">
        <v>185</v>
      </c>
      <c r="B922" s="207" t="s">
        <v>308</v>
      </c>
      <c r="E922" s="207" t="s">
        <v>118</v>
      </c>
      <c r="G922" s="207">
        <v>553</v>
      </c>
      <c r="H922" s="207" t="s">
        <v>12</v>
      </c>
      <c r="I922" s="207">
        <v>0.33273164861612514</v>
      </c>
    </row>
    <row r="923" spans="1:9" x14ac:dyDescent="0.2">
      <c r="A923" s="208">
        <v>185</v>
      </c>
      <c r="B923" s="207" t="s">
        <v>308</v>
      </c>
      <c r="E923" s="207" t="s">
        <v>119</v>
      </c>
      <c r="G923" s="207">
        <v>554</v>
      </c>
      <c r="H923" s="207" t="s">
        <v>13</v>
      </c>
      <c r="I923" s="207">
        <v>0.33333333333333331</v>
      </c>
    </row>
    <row r="924" spans="1:9" x14ac:dyDescent="0.2">
      <c r="A924" s="208">
        <v>185</v>
      </c>
      <c r="B924" s="207" t="s">
        <v>308</v>
      </c>
      <c r="E924" s="207" t="s">
        <v>120</v>
      </c>
      <c r="G924" s="207">
        <v>555</v>
      </c>
      <c r="H924" s="207" t="s">
        <v>14</v>
      </c>
      <c r="I924" s="207">
        <v>0.33393501805054154</v>
      </c>
    </row>
    <row r="925" spans="1:9" x14ac:dyDescent="0.2">
      <c r="E925" s="207" t="s">
        <v>125</v>
      </c>
      <c r="G925" s="207">
        <v>1662</v>
      </c>
      <c r="H925" s="207" t="s">
        <v>15</v>
      </c>
      <c r="I925" s="207">
        <v>1</v>
      </c>
    </row>
    <row r="927" spans="1:9" x14ac:dyDescent="0.2">
      <c r="A927" s="208">
        <v>186</v>
      </c>
      <c r="B927" s="207" t="s">
        <v>309</v>
      </c>
      <c r="E927" s="207" t="s">
        <v>118</v>
      </c>
      <c r="G927" s="207">
        <v>556</v>
      </c>
      <c r="H927" s="207" t="s">
        <v>12</v>
      </c>
      <c r="I927" s="207">
        <v>0.33273488928785161</v>
      </c>
    </row>
    <row r="928" spans="1:9" x14ac:dyDescent="0.2">
      <c r="A928" s="208">
        <v>186</v>
      </c>
      <c r="B928" s="207" t="s">
        <v>309</v>
      </c>
      <c r="E928" s="207" t="s">
        <v>119</v>
      </c>
      <c r="G928" s="207">
        <v>557</v>
      </c>
      <c r="H928" s="207" t="s">
        <v>13</v>
      </c>
      <c r="I928" s="207">
        <v>0.33333333333333331</v>
      </c>
    </row>
    <row r="929" spans="1:9" x14ac:dyDescent="0.2">
      <c r="A929" s="208">
        <v>186</v>
      </c>
      <c r="B929" s="207" t="s">
        <v>309</v>
      </c>
      <c r="E929" s="207" t="s">
        <v>120</v>
      </c>
      <c r="G929" s="207">
        <v>558</v>
      </c>
      <c r="H929" s="207" t="s">
        <v>14</v>
      </c>
      <c r="I929" s="207">
        <v>0.33393177737881508</v>
      </c>
    </row>
    <row r="930" spans="1:9" x14ac:dyDescent="0.2">
      <c r="E930" s="207" t="s">
        <v>125</v>
      </c>
      <c r="G930" s="207">
        <v>1671</v>
      </c>
      <c r="H930" s="207" t="s">
        <v>15</v>
      </c>
      <c r="I930" s="207">
        <v>1</v>
      </c>
    </row>
    <row r="932" spans="1:9" x14ac:dyDescent="0.2">
      <c r="A932" s="208">
        <v>187</v>
      </c>
      <c r="B932" s="207" t="s">
        <v>310</v>
      </c>
      <c r="E932" s="207" t="s">
        <v>118</v>
      </c>
      <c r="G932" s="207">
        <v>559</v>
      </c>
      <c r="H932" s="207" t="s">
        <v>12</v>
      </c>
      <c r="I932" s="207">
        <v>0.33273809523809522</v>
      </c>
    </row>
    <row r="933" spans="1:9" x14ac:dyDescent="0.2">
      <c r="A933" s="208">
        <v>187</v>
      </c>
      <c r="B933" s="207" t="s">
        <v>310</v>
      </c>
      <c r="E933" s="207" t="s">
        <v>119</v>
      </c>
      <c r="G933" s="207">
        <v>560</v>
      </c>
      <c r="H933" s="207" t="s">
        <v>13</v>
      </c>
      <c r="I933" s="207">
        <v>0.33333333333333331</v>
      </c>
    </row>
    <row r="934" spans="1:9" x14ac:dyDescent="0.2">
      <c r="A934" s="208">
        <v>187</v>
      </c>
      <c r="B934" s="207" t="s">
        <v>310</v>
      </c>
      <c r="E934" s="207" t="s">
        <v>120</v>
      </c>
      <c r="G934" s="207">
        <v>561</v>
      </c>
      <c r="H934" s="207" t="s">
        <v>14</v>
      </c>
      <c r="I934" s="207">
        <v>0.33392857142857141</v>
      </c>
    </row>
    <row r="935" spans="1:9" x14ac:dyDescent="0.2">
      <c r="E935" s="207" t="s">
        <v>125</v>
      </c>
      <c r="G935" s="207">
        <v>1680</v>
      </c>
      <c r="H935" s="207" t="s">
        <v>15</v>
      </c>
      <c r="I935" s="207">
        <v>1</v>
      </c>
    </row>
    <row r="937" spans="1:9" x14ac:dyDescent="0.2">
      <c r="A937" s="208">
        <v>188</v>
      </c>
      <c r="B937" s="207" t="s">
        <v>311</v>
      </c>
      <c r="E937" s="207" t="s">
        <v>118</v>
      </c>
      <c r="G937" s="207">
        <v>562</v>
      </c>
      <c r="H937" s="207" t="s">
        <v>12</v>
      </c>
      <c r="I937" s="207">
        <v>0.33274126702190643</v>
      </c>
    </row>
    <row r="938" spans="1:9" x14ac:dyDescent="0.2">
      <c r="A938" s="208">
        <v>188</v>
      </c>
      <c r="B938" s="207" t="s">
        <v>311</v>
      </c>
      <c r="E938" s="207" t="s">
        <v>119</v>
      </c>
      <c r="G938" s="207">
        <v>563</v>
      </c>
      <c r="H938" s="207" t="s">
        <v>13</v>
      </c>
      <c r="I938" s="207">
        <v>0.33333333333333331</v>
      </c>
    </row>
    <row r="939" spans="1:9" x14ac:dyDescent="0.2">
      <c r="A939" s="208">
        <v>188</v>
      </c>
      <c r="B939" s="207" t="s">
        <v>311</v>
      </c>
      <c r="E939" s="207" t="s">
        <v>120</v>
      </c>
      <c r="G939" s="207">
        <v>564</v>
      </c>
      <c r="H939" s="207" t="s">
        <v>14</v>
      </c>
      <c r="I939" s="207">
        <v>0.3339253996447602</v>
      </c>
    </row>
    <row r="940" spans="1:9" x14ac:dyDescent="0.2">
      <c r="E940" s="207" t="s">
        <v>125</v>
      </c>
      <c r="G940" s="207">
        <v>1689</v>
      </c>
      <c r="H940" s="207" t="s">
        <v>15</v>
      </c>
      <c r="I940" s="207">
        <v>1</v>
      </c>
    </row>
    <row r="942" spans="1:9" x14ac:dyDescent="0.2">
      <c r="A942" s="208">
        <v>189</v>
      </c>
      <c r="B942" s="207" t="s">
        <v>312</v>
      </c>
      <c r="E942" s="207" t="s">
        <v>118</v>
      </c>
      <c r="G942" s="207">
        <v>565</v>
      </c>
      <c r="H942" s="207" t="s">
        <v>12</v>
      </c>
      <c r="I942" s="207">
        <v>0.3327444051825677</v>
      </c>
    </row>
    <row r="943" spans="1:9" x14ac:dyDescent="0.2">
      <c r="A943" s="208">
        <v>189</v>
      </c>
      <c r="B943" s="207" t="s">
        <v>312</v>
      </c>
      <c r="E943" s="207" t="s">
        <v>119</v>
      </c>
      <c r="G943" s="207">
        <v>566</v>
      </c>
      <c r="H943" s="207" t="s">
        <v>13</v>
      </c>
      <c r="I943" s="207">
        <v>0.33333333333333331</v>
      </c>
    </row>
    <row r="944" spans="1:9" x14ac:dyDescent="0.2">
      <c r="A944" s="208">
        <v>189</v>
      </c>
      <c r="B944" s="207" t="s">
        <v>312</v>
      </c>
      <c r="E944" s="207" t="s">
        <v>120</v>
      </c>
      <c r="G944" s="207">
        <v>567</v>
      </c>
      <c r="H944" s="207" t="s">
        <v>14</v>
      </c>
      <c r="I944" s="207">
        <v>0.33392226148409893</v>
      </c>
    </row>
    <row r="945" spans="1:9" x14ac:dyDescent="0.2">
      <c r="E945" s="207" t="s">
        <v>125</v>
      </c>
      <c r="G945" s="207">
        <v>1698</v>
      </c>
      <c r="H945" s="207" t="s">
        <v>15</v>
      </c>
      <c r="I945" s="207">
        <v>1</v>
      </c>
    </row>
    <row r="947" spans="1:9" x14ac:dyDescent="0.2">
      <c r="A947" s="208">
        <v>190</v>
      </c>
      <c r="B947" s="207" t="s">
        <v>313</v>
      </c>
      <c r="E947" s="207" t="s">
        <v>118</v>
      </c>
      <c r="G947" s="207">
        <v>568</v>
      </c>
      <c r="H947" s="207" t="s">
        <v>12</v>
      </c>
      <c r="I947" s="207">
        <v>0.33274751025190391</v>
      </c>
    </row>
    <row r="948" spans="1:9" x14ac:dyDescent="0.2">
      <c r="A948" s="208">
        <v>190</v>
      </c>
      <c r="B948" s="207" t="s">
        <v>313</v>
      </c>
      <c r="E948" s="207" t="s">
        <v>119</v>
      </c>
      <c r="G948" s="207">
        <v>569</v>
      </c>
      <c r="H948" s="207" t="s">
        <v>13</v>
      </c>
      <c r="I948" s="207">
        <v>0.33333333333333331</v>
      </c>
    </row>
    <row r="949" spans="1:9" x14ac:dyDescent="0.2">
      <c r="A949" s="208">
        <v>190</v>
      </c>
      <c r="B949" s="207" t="s">
        <v>313</v>
      </c>
      <c r="E949" s="207" t="s">
        <v>120</v>
      </c>
      <c r="G949" s="207">
        <v>570</v>
      </c>
      <c r="H949" s="207" t="s">
        <v>14</v>
      </c>
      <c r="I949" s="207">
        <v>0.33391915641476272</v>
      </c>
    </row>
    <row r="950" spans="1:9" x14ac:dyDescent="0.2">
      <c r="E950" s="207" t="s">
        <v>125</v>
      </c>
      <c r="G950" s="207">
        <v>1707</v>
      </c>
      <c r="H950" s="207" t="s">
        <v>15</v>
      </c>
      <c r="I950" s="207">
        <v>1</v>
      </c>
    </row>
    <row r="952" spans="1:9" x14ac:dyDescent="0.2">
      <c r="A952" s="208">
        <v>191</v>
      </c>
      <c r="B952" s="207" t="s">
        <v>314</v>
      </c>
      <c r="E952" s="207" t="s">
        <v>118</v>
      </c>
      <c r="G952" s="207">
        <v>571</v>
      </c>
      <c r="H952" s="207" t="s">
        <v>12</v>
      </c>
      <c r="I952" s="207">
        <v>0.33275058275058272</v>
      </c>
    </row>
    <row r="953" spans="1:9" x14ac:dyDescent="0.2">
      <c r="A953" s="208">
        <v>191</v>
      </c>
      <c r="B953" s="207" t="s">
        <v>314</v>
      </c>
      <c r="E953" s="207" t="s">
        <v>119</v>
      </c>
      <c r="G953" s="207">
        <v>572</v>
      </c>
      <c r="H953" s="207" t="s">
        <v>13</v>
      </c>
      <c r="I953" s="207">
        <v>0.33333333333333331</v>
      </c>
    </row>
    <row r="954" spans="1:9" x14ac:dyDescent="0.2">
      <c r="A954" s="208">
        <v>191</v>
      </c>
      <c r="B954" s="207" t="s">
        <v>314</v>
      </c>
      <c r="E954" s="207" t="s">
        <v>120</v>
      </c>
      <c r="G954" s="207">
        <v>573</v>
      </c>
      <c r="H954" s="207" t="s">
        <v>14</v>
      </c>
      <c r="I954" s="207">
        <v>0.33391608391608391</v>
      </c>
    </row>
    <row r="955" spans="1:9" x14ac:dyDescent="0.2">
      <c r="E955" s="207" t="s">
        <v>125</v>
      </c>
      <c r="G955" s="207">
        <v>1716</v>
      </c>
      <c r="H955" s="207" t="s">
        <v>15</v>
      </c>
      <c r="I955" s="207">
        <v>1</v>
      </c>
    </row>
    <row r="957" spans="1:9" x14ac:dyDescent="0.2">
      <c r="A957" s="208">
        <v>192</v>
      </c>
      <c r="B957" s="207" t="s">
        <v>315</v>
      </c>
      <c r="E957" s="207" t="s">
        <v>118</v>
      </c>
      <c r="G957" s="207">
        <v>574</v>
      </c>
      <c r="H957" s="207" t="s">
        <v>12</v>
      </c>
      <c r="I957" s="207">
        <v>0.33275362318840579</v>
      </c>
    </row>
    <row r="958" spans="1:9" x14ac:dyDescent="0.2">
      <c r="A958" s="208">
        <v>192</v>
      </c>
      <c r="B958" s="207" t="s">
        <v>315</v>
      </c>
      <c r="E958" s="207" t="s">
        <v>119</v>
      </c>
      <c r="G958" s="207">
        <v>575</v>
      </c>
      <c r="H958" s="207" t="s">
        <v>13</v>
      </c>
      <c r="I958" s="207">
        <v>0.33333333333333331</v>
      </c>
    </row>
    <row r="959" spans="1:9" x14ac:dyDescent="0.2">
      <c r="A959" s="208">
        <v>192</v>
      </c>
      <c r="B959" s="207" t="s">
        <v>315</v>
      </c>
      <c r="E959" s="207" t="s">
        <v>120</v>
      </c>
      <c r="G959" s="207">
        <v>576</v>
      </c>
      <c r="H959" s="207" t="s">
        <v>14</v>
      </c>
      <c r="I959" s="207">
        <v>0.3339130434782609</v>
      </c>
    </row>
    <row r="960" spans="1:9" x14ac:dyDescent="0.2">
      <c r="E960" s="207" t="s">
        <v>125</v>
      </c>
      <c r="G960" s="207">
        <v>1725</v>
      </c>
      <c r="H960" s="207" t="s">
        <v>15</v>
      </c>
      <c r="I960" s="207">
        <v>1</v>
      </c>
    </row>
    <row r="962" spans="1:9" x14ac:dyDescent="0.2">
      <c r="A962" s="208">
        <v>193</v>
      </c>
      <c r="B962" s="207" t="s">
        <v>316</v>
      </c>
      <c r="E962" s="207" t="s">
        <v>118</v>
      </c>
      <c r="G962" s="207">
        <v>577</v>
      </c>
      <c r="H962" s="207" t="s">
        <v>12</v>
      </c>
      <c r="I962" s="207">
        <v>0.33275663206459055</v>
      </c>
    </row>
    <row r="963" spans="1:9" x14ac:dyDescent="0.2">
      <c r="A963" s="208">
        <v>193</v>
      </c>
      <c r="B963" s="207" t="s">
        <v>316</v>
      </c>
      <c r="E963" s="207" t="s">
        <v>119</v>
      </c>
      <c r="G963" s="207">
        <v>578</v>
      </c>
      <c r="H963" s="207" t="s">
        <v>13</v>
      </c>
      <c r="I963" s="207">
        <v>0.33333333333333331</v>
      </c>
    </row>
    <row r="964" spans="1:9" x14ac:dyDescent="0.2">
      <c r="A964" s="208">
        <v>193</v>
      </c>
      <c r="B964" s="207" t="s">
        <v>316</v>
      </c>
      <c r="E964" s="207" t="s">
        <v>120</v>
      </c>
      <c r="G964" s="207">
        <v>579</v>
      </c>
      <c r="H964" s="207" t="s">
        <v>14</v>
      </c>
      <c r="I964" s="207">
        <v>0.33391003460207613</v>
      </c>
    </row>
    <row r="965" spans="1:9" x14ac:dyDescent="0.2">
      <c r="E965" s="207" t="s">
        <v>125</v>
      </c>
      <c r="G965" s="207">
        <v>1734</v>
      </c>
      <c r="H965" s="207" t="s">
        <v>15</v>
      </c>
      <c r="I965" s="207">
        <v>1</v>
      </c>
    </row>
    <row r="967" spans="1:9" x14ac:dyDescent="0.2">
      <c r="A967" s="208">
        <v>194</v>
      </c>
      <c r="B967" s="207" t="s">
        <v>317</v>
      </c>
      <c r="E967" s="207" t="s">
        <v>118</v>
      </c>
      <c r="G967" s="207">
        <v>580</v>
      </c>
      <c r="H967" s="207" t="s">
        <v>12</v>
      </c>
      <c r="I967" s="207">
        <v>0.33275960986804359</v>
      </c>
    </row>
    <row r="968" spans="1:9" x14ac:dyDescent="0.2">
      <c r="A968" s="208">
        <v>194</v>
      </c>
      <c r="B968" s="207" t="s">
        <v>317</v>
      </c>
      <c r="E968" s="207" t="s">
        <v>119</v>
      </c>
      <c r="G968" s="207">
        <v>581</v>
      </c>
      <c r="H968" s="207" t="s">
        <v>13</v>
      </c>
      <c r="I968" s="207">
        <v>0.33333333333333331</v>
      </c>
    </row>
    <row r="969" spans="1:9" x14ac:dyDescent="0.2">
      <c r="A969" s="208">
        <v>194</v>
      </c>
      <c r="B969" s="207" t="s">
        <v>317</v>
      </c>
      <c r="E969" s="207" t="s">
        <v>120</v>
      </c>
      <c r="G969" s="207">
        <v>582</v>
      </c>
      <c r="H969" s="207" t="s">
        <v>14</v>
      </c>
      <c r="I969" s="207">
        <v>0.33390705679862304</v>
      </c>
    </row>
    <row r="970" spans="1:9" x14ac:dyDescent="0.2">
      <c r="E970" s="207" t="s">
        <v>125</v>
      </c>
      <c r="G970" s="207">
        <v>1743</v>
      </c>
      <c r="H970" s="207" t="s">
        <v>15</v>
      </c>
      <c r="I970" s="207">
        <v>1</v>
      </c>
    </row>
    <row r="972" spans="1:9" x14ac:dyDescent="0.2">
      <c r="A972" s="208">
        <v>195</v>
      </c>
      <c r="B972" s="207" t="s">
        <v>318</v>
      </c>
      <c r="E972" s="207" t="s">
        <v>118</v>
      </c>
      <c r="G972" s="207">
        <v>583</v>
      </c>
      <c r="H972" s="207" t="s">
        <v>12</v>
      </c>
      <c r="I972" s="207">
        <v>0.33276255707762559</v>
      </c>
    </row>
    <row r="973" spans="1:9" x14ac:dyDescent="0.2">
      <c r="A973" s="208">
        <v>195</v>
      </c>
      <c r="B973" s="207" t="s">
        <v>318</v>
      </c>
      <c r="E973" s="207" t="s">
        <v>119</v>
      </c>
      <c r="G973" s="207">
        <v>584</v>
      </c>
      <c r="H973" s="207" t="s">
        <v>13</v>
      </c>
      <c r="I973" s="207">
        <v>0.33333333333333331</v>
      </c>
    </row>
    <row r="974" spans="1:9" x14ac:dyDescent="0.2">
      <c r="A974" s="208">
        <v>195</v>
      </c>
      <c r="B974" s="207" t="s">
        <v>318</v>
      </c>
      <c r="E974" s="207" t="s">
        <v>120</v>
      </c>
      <c r="G974" s="207">
        <v>585</v>
      </c>
      <c r="H974" s="207" t="s">
        <v>14</v>
      </c>
      <c r="I974" s="207">
        <v>0.3339041095890411</v>
      </c>
    </row>
    <row r="975" spans="1:9" x14ac:dyDescent="0.2">
      <c r="E975" s="207" t="s">
        <v>125</v>
      </c>
      <c r="G975" s="207">
        <v>1752</v>
      </c>
      <c r="H975" s="207" t="s">
        <v>15</v>
      </c>
      <c r="I975" s="207">
        <v>1</v>
      </c>
    </row>
    <row r="977" spans="1:9" x14ac:dyDescent="0.2">
      <c r="A977" s="208">
        <v>196</v>
      </c>
      <c r="B977" s="207" t="s">
        <v>319</v>
      </c>
      <c r="E977" s="207" t="s">
        <v>118</v>
      </c>
      <c r="G977" s="207">
        <v>586</v>
      </c>
      <c r="H977" s="207" t="s">
        <v>12</v>
      </c>
      <c r="I977" s="207">
        <v>0.3327654741624077</v>
      </c>
    </row>
    <row r="978" spans="1:9" x14ac:dyDescent="0.2">
      <c r="A978" s="208">
        <v>196</v>
      </c>
      <c r="B978" s="207" t="s">
        <v>319</v>
      </c>
      <c r="E978" s="207" t="s">
        <v>119</v>
      </c>
      <c r="G978" s="207">
        <v>587</v>
      </c>
      <c r="H978" s="207" t="s">
        <v>13</v>
      </c>
      <c r="I978" s="207">
        <v>0.33333333333333331</v>
      </c>
    </row>
    <row r="979" spans="1:9" x14ac:dyDescent="0.2">
      <c r="A979" s="208">
        <v>196</v>
      </c>
      <c r="B979" s="207" t="s">
        <v>319</v>
      </c>
      <c r="E979" s="207" t="s">
        <v>120</v>
      </c>
      <c r="G979" s="207">
        <v>588</v>
      </c>
      <c r="H979" s="207" t="s">
        <v>14</v>
      </c>
      <c r="I979" s="207">
        <v>0.33390119250425893</v>
      </c>
    </row>
    <row r="980" spans="1:9" x14ac:dyDescent="0.2">
      <c r="E980" s="207" t="s">
        <v>125</v>
      </c>
      <c r="G980" s="207">
        <v>1761</v>
      </c>
      <c r="H980" s="207" t="s">
        <v>15</v>
      </c>
      <c r="I980" s="207">
        <v>1</v>
      </c>
    </row>
    <row r="982" spans="1:9" x14ac:dyDescent="0.2">
      <c r="A982" s="208">
        <v>197</v>
      </c>
      <c r="B982" s="207" t="s">
        <v>320</v>
      </c>
      <c r="E982" s="207" t="s">
        <v>118</v>
      </c>
      <c r="G982" s="207">
        <v>589</v>
      </c>
      <c r="H982" s="207" t="s">
        <v>12</v>
      </c>
      <c r="I982" s="207">
        <v>0.33276836158192091</v>
      </c>
    </row>
    <row r="983" spans="1:9" x14ac:dyDescent="0.2">
      <c r="A983" s="208">
        <v>197</v>
      </c>
      <c r="B983" s="207" t="s">
        <v>320</v>
      </c>
      <c r="E983" s="207" t="s">
        <v>119</v>
      </c>
      <c r="G983" s="207">
        <v>590</v>
      </c>
      <c r="H983" s="207" t="s">
        <v>13</v>
      </c>
      <c r="I983" s="207">
        <v>0.33333333333333331</v>
      </c>
    </row>
    <row r="984" spans="1:9" x14ac:dyDescent="0.2">
      <c r="A984" s="208">
        <v>197</v>
      </c>
      <c r="B984" s="207" t="s">
        <v>320</v>
      </c>
      <c r="E984" s="207" t="s">
        <v>120</v>
      </c>
      <c r="G984" s="207">
        <v>591</v>
      </c>
      <c r="H984" s="207" t="s">
        <v>14</v>
      </c>
      <c r="I984" s="207">
        <v>0.33389830508474577</v>
      </c>
    </row>
    <row r="985" spans="1:9" x14ac:dyDescent="0.2">
      <c r="E985" s="207" t="s">
        <v>125</v>
      </c>
      <c r="G985" s="207">
        <v>1770</v>
      </c>
      <c r="H985" s="207" t="s">
        <v>15</v>
      </c>
      <c r="I985" s="207">
        <v>1</v>
      </c>
    </row>
    <row r="987" spans="1:9" x14ac:dyDescent="0.2">
      <c r="A987" s="208">
        <v>198</v>
      </c>
      <c r="B987" s="207" t="s">
        <v>321</v>
      </c>
      <c r="E987" s="207" t="s">
        <v>118</v>
      </c>
      <c r="G987" s="207">
        <v>592</v>
      </c>
      <c r="H987" s="207" t="s">
        <v>12</v>
      </c>
      <c r="I987" s="207">
        <v>0.33277121978639684</v>
      </c>
    </row>
    <row r="988" spans="1:9" x14ac:dyDescent="0.2">
      <c r="A988" s="208">
        <v>198</v>
      </c>
      <c r="B988" s="207" t="s">
        <v>321</v>
      </c>
      <c r="E988" s="207" t="s">
        <v>119</v>
      </c>
      <c r="G988" s="207">
        <v>593</v>
      </c>
      <c r="H988" s="207" t="s">
        <v>13</v>
      </c>
      <c r="I988" s="207">
        <v>0.33333333333333331</v>
      </c>
    </row>
    <row r="989" spans="1:9" x14ac:dyDescent="0.2">
      <c r="A989" s="208">
        <v>198</v>
      </c>
      <c r="B989" s="207" t="s">
        <v>321</v>
      </c>
      <c r="E989" s="207" t="s">
        <v>120</v>
      </c>
      <c r="G989" s="207">
        <v>594</v>
      </c>
      <c r="H989" s="207" t="s">
        <v>14</v>
      </c>
      <c r="I989" s="207">
        <v>0.33389544688026984</v>
      </c>
    </row>
    <row r="990" spans="1:9" x14ac:dyDescent="0.2">
      <c r="E990" s="207" t="s">
        <v>125</v>
      </c>
      <c r="G990" s="207">
        <v>1779</v>
      </c>
      <c r="H990" s="207" t="s">
        <v>15</v>
      </c>
      <c r="I990" s="207">
        <v>1</v>
      </c>
    </row>
    <row r="992" spans="1:9" x14ac:dyDescent="0.2">
      <c r="A992" s="208">
        <v>199</v>
      </c>
      <c r="B992" s="207" t="s">
        <v>322</v>
      </c>
      <c r="E992" s="207" t="s">
        <v>118</v>
      </c>
      <c r="G992" s="207">
        <v>595</v>
      </c>
      <c r="H992" s="207" t="s">
        <v>12</v>
      </c>
      <c r="I992" s="207">
        <v>0.33277404921700221</v>
      </c>
    </row>
    <row r="993" spans="1:9" x14ac:dyDescent="0.2">
      <c r="A993" s="208">
        <v>199</v>
      </c>
      <c r="B993" s="207" t="s">
        <v>322</v>
      </c>
      <c r="E993" s="207" t="s">
        <v>119</v>
      </c>
      <c r="G993" s="207">
        <v>596</v>
      </c>
      <c r="H993" s="207" t="s">
        <v>13</v>
      </c>
      <c r="I993" s="207">
        <v>0.33333333333333331</v>
      </c>
    </row>
    <row r="994" spans="1:9" x14ac:dyDescent="0.2">
      <c r="A994" s="208">
        <v>199</v>
      </c>
      <c r="B994" s="207" t="s">
        <v>322</v>
      </c>
      <c r="E994" s="207" t="s">
        <v>120</v>
      </c>
      <c r="G994" s="207">
        <v>597</v>
      </c>
      <c r="H994" s="207" t="s">
        <v>14</v>
      </c>
      <c r="I994" s="207">
        <v>0.33389261744966442</v>
      </c>
    </row>
    <row r="995" spans="1:9" x14ac:dyDescent="0.2">
      <c r="E995" s="207" t="s">
        <v>125</v>
      </c>
      <c r="G995" s="207">
        <v>1788</v>
      </c>
      <c r="H995" s="207" t="s">
        <v>15</v>
      </c>
      <c r="I995" s="207">
        <v>1</v>
      </c>
    </row>
    <row r="997" spans="1:9" x14ac:dyDescent="0.2">
      <c r="A997" s="208">
        <v>200</v>
      </c>
      <c r="B997" s="207" t="s">
        <v>323</v>
      </c>
      <c r="E997" s="207" t="s">
        <v>118</v>
      </c>
      <c r="G997" s="207">
        <v>598</v>
      </c>
      <c r="H997" s="207" t="s">
        <v>12</v>
      </c>
      <c r="I997" s="207">
        <v>0.33277685030606569</v>
      </c>
    </row>
    <row r="998" spans="1:9" x14ac:dyDescent="0.2">
      <c r="A998" s="208">
        <v>200</v>
      </c>
      <c r="B998" s="207" t="s">
        <v>323</v>
      </c>
      <c r="E998" s="207" t="s">
        <v>119</v>
      </c>
      <c r="G998" s="207">
        <v>599</v>
      </c>
      <c r="H998" s="207" t="s">
        <v>13</v>
      </c>
      <c r="I998" s="207">
        <v>0.33333333333333331</v>
      </c>
    </row>
    <row r="999" spans="1:9" x14ac:dyDescent="0.2">
      <c r="A999" s="208">
        <v>200</v>
      </c>
      <c r="B999" s="207" t="s">
        <v>323</v>
      </c>
      <c r="E999" s="207" t="s">
        <v>120</v>
      </c>
      <c r="G999" s="207">
        <v>600</v>
      </c>
      <c r="H999" s="207" t="s">
        <v>14</v>
      </c>
      <c r="I999" s="207">
        <v>0.333889816360601</v>
      </c>
    </row>
    <row r="1000" spans="1:9" x14ac:dyDescent="0.2">
      <c r="E1000" s="207" t="s">
        <v>125</v>
      </c>
      <c r="G1000" s="207">
        <v>1797</v>
      </c>
      <c r="H1000" s="207" t="s">
        <v>15</v>
      </c>
      <c r="I1000" s="207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G17" sqref="G17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5" t="s">
        <v>10</v>
      </c>
      <c r="B1" s="196" t="s">
        <v>115</v>
      </c>
      <c r="C1" s="197" t="s">
        <v>116</v>
      </c>
      <c r="D1" s="198" t="s">
        <v>117</v>
      </c>
    </row>
    <row r="2" spans="1:4" x14ac:dyDescent="0.25">
      <c r="A2" s="199">
        <v>1</v>
      </c>
      <c r="B2" s="193" t="s">
        <v>126</v>
      </c>
      <c r="C2" s="200" t="s">
        <v>118</v>
      </c>
      <c r="D2" s="201">
        <v>1235</v>
      </c>
    </row>
    <row r="3" spans="1:4" x14ac:dyDescent="0.25">
      <c r="A3" s="202">
        <f>$A$2+0</f>
        <v>1</v>
      </c>
      <c r="B3" s="194" t="str">
        <f t="shared" ref="B3:B4" si="0">$B$2</f>
        <v>Thayna</v>
      </c>
      <c r="C3" s="200" t="s">
        <v>119</v>
      </c>
      <c r="D3" s="201">
        <v>18</v>
      </c>
    </row>
    <row r="4" spans="1:4" x14ac:dyDescent="0.25">
      <c r="A4" s="202">
        <f>$A$2+0</f>
        <v>1</v>
      </c>
      <c r="B4" s="194" t="str">
        <f t="shared" si="0"/>
        <v>Thayna</v>
      </c>
      <c r="C4" s="200" t="s">
        <v>120</v>
      </c>
      <c r="D4" s="201">
        <v>15263</v>
      </c>
    </row>
    <row r="5" spans="1:4" x14ac:dyDescent="0.25">
      <c r="A5" s="199">
        <f>2</f>
        <v>2</v>
      </c>
      <c r="B5" s="193" t="s">
        <v>127</v>
      </c>
      <c r="C5" s="200" t="s">
        <v>118</v>
      </c>
      <c r="D5" s="201">
        <v>145</v>
      </c>
    </row>
    <row r="6" spans="1:4" x14ac:dyDescent="0.25">
      <c r="A6" s="202">
        <f>$A$5</f>
        <v>2</v>
      </c>
      <c r="B6" s="194" t="str">
        <f t="shared" ref="B6:B7" si="1">$B$5</f>
        <v>Henrique</v>
      </c>
      <c r="C6" s="200" t="s">
        <v>119</v>
      </c>
      <c r="D6" s="201">
        <v>179</v>
      </c>
    </row>
    <row r="7" spans="1:4" x14ac:dyDescent="0.25">
      <c r="A7" s="202">
        <f>$A$5</f>
        <v>2</v>
      </c>
      <c r="B7" s="194" t="str">
        <f t="shared" si="1"/>
        <v>Henrique</v>
      </c>
      <c r="C7" s="200" t="s">
        <v>120</v>
      </c>
      <c r="D7" s="201">
        <v>12543</v>
      </c>
    </row>
    <row r="8" spans="1:4" x14ac:dyDescent="0.25">
      <c r="A8" s="199">
        <f>3</f>
        <v>3</v>
      </c>
      <c r="B8" s="193" t="s">
        <v>128</v>
      </c>
      <c r="C8" s="200" t="s">
        <v>118</v>
      </c>
      <c r="D8" s="201">
        <v>129876</v>
      </c>
    </row>
    <row r="9" spans="1:4" x14ac:dyDescent="0.25">
      <c r="A9" s="202">
        <f>$A$8</f>
        <v>3</v>
      </c>
      <c r="B9" s="194" t="str">
        <f t="shared" ref="B9:B10" si="2">$B$8</f>
        <v>Andre</v>
      </c>
      <c r="C9" s="200" t="s">
        <v>119</v>
      </c>
      <c r="D9" s="201">
        <v>1297</v>
      </c>
    </row>
    <row r="10" spans="1:4" x14ac:dyDescent="0.25">
      <c r="A10" s="202">
        <f>$A$8</f>
        <v>3</v>
      </c>
      <c r="B10" s="194" t="str">
        <f t="shared" si="2"/>
        <v>Andre</v>
      </c>
      <c r="C10" s="200" t="s">
        <v>120</v>
      </c>
      <c r="D10" s="201">
        <v>2163</v>
      </c>
    </row>
    <row r="11" spans="1:4" x14ac:dyDescent="0.25">
      <c r="A11" s="199">
        <f>4</f>
        <v>4</v>
      </c>
      <c r="B11" s="193" t="s">
        <v>129</v>
      </c>
      <c r="C11" s="200" t="s">
        <v>118</v>
      </c>
      <c r="D11" s="201">
        <v>2987</v>
      </c>
    </row>
    <row r="12" spans="1:4" x14ac:dyDescent="0.25">
      <c r="A12" s="202">
        <f>$A$11</f>
        <v>4</v>
      </c>
      <c r="B12" s="194" t="str">
        <f t="shared" ref="B12:B13" si="3">$B$11</f>
        <v>Atala</v>
      </c>
      <c r="C12" s="200" t="s">
        <v>119</v>
      </c>
      <c r="D12" s="201">
        <v>2185</v>
      </c>
    </row>
    <row r="13" spans="1:4" x14ac:dyDescent="0.25">
      <c r="A13" s="202">
        <f>$A$11</f>
        <v>4</v>
      </c>
      <c r="B13" s="194" t="str">
        <f t="shared" si="3"/>
        <v>Atala</v>
      </c>
      <c r="C13" s="200" t="s">
        <v>120</v>
      </c>
      <c r="D13" s="201">
        <v>2196</v>
      </c>
    </row>
    <row r="14" spans="1:4" x14ac:dyDescent="0.25">
      <c r="A14" s="199">
        <f>5</f>
        <v>5</v>
      </c>
      <c r="B14" s="193" t="s">
        <v>130</v>
      </c>
      <c r="C14" s="200" t="s">
        <v>118</v>
      </c>
      <c r="D14" s="201">
        <v>5297</v>
      </c>
    </row>
    <row r="15" spans="1:4" x14ac:dyDescent="0.25">
      <c r="A15" s="202">
        <f>$A$14</f>
        <v>5</v>
      </c>
      <c r="B15" s="194" t="str">
        <f t="shared" ref="B15:B16" si="4">$B$14</f>
        <v>Bianca</v>
      </c>
      <c r="C15" s="200" t="s">
        <v>119</v>
      </c>
      <c r="D15" s="201">
        <v>217</v>
      </c>
    </row>
    <row r="16" spans="1:4" x14ac:dyDescent="0.25">
      <c r="A16" s="202">
        <f>$A$14</f>
        <v>5</v>
      </c>
      <c r="B16" s="194" t="str">
        <f t="shared" si="4"/>
        <v>Bianca</v>
      </c>
      <c r="C16" s="200" t="s">
        <v>120</v>
      </c>
      <c r="D16" s="201">
        <v>217496</v>
      </c>
    </row>
    <row r="17" spans="1:9" x14ac:dyDescent="0.25">
      <c r="A17" s="199">
        <f>6</f>
        <v>6</v>
      </c>
      <c r="B17" s="193" t="s">
        <v>131</v>
      </c>
      <c r="C17" s="200" t="s">
        <v>118</v>
      </c>
      <c r="D17" s="201">
        <v>127496</v>
      </c>
    </row>
    <row r="18" spans="1:9" x14ac:dyDescent="0.25">
      <c r="A18" s="202">
        <f>$A$17</f>
        <v>6</v>
      </c>
      <c r="B18" s="194" t="str">
        <f t="shared" ref="B18:B19" si="5">$B$17</f>
        <v>Guilherme</v>
      </c>
      <c r="C18" s="200" t="s">
        <v>119</v>
      </c>
      <c r="D18" s="201">
        <v>1742</v>
      </c>
    </row>
    <row r="19" spans="1:9" x14ac:dyDescent="0.25">
      <c r="A19" s="202">
        <f>$A$17</f>
        <v>6</v>
      </c>
      <c r="B19" s="194" t="str">
        <f t="shared" si="5"/>
        <v>Guilherme</v>
      </c>
      <c r="C19" s="200" t="s">
        <v>120</v>
      </c>
      <c r="D19" s="201">
        <v>41297</v>
      </c>
    </row>
    <row r="20" spans="1:9" x14ac:dyDescent="0.25">
      <c r="A20" s="199">
        <f>7</f>
        <v>7</v>
      </c>
      <c r="B20" s="193" t="s">
        <v>132</v>
      </c>
      <c r="C20" s="200" t="s">
        <v>118</v>
      </c>
      <c r="D20" s="201">
        <v>17429</v>
      </c>
    </row>
    <row r="21" spans="1:9" x14ac:dyDescent="0.25">
      <c r="A21" s="202">
        <f>$A$20</f>
        <v>7</v>
      </c>
      <c r="B21" s="194" t="str">
        <f t="shared" ref="B21:B22" si="6">$B$20</f>
        <v>Joao</v>
      </c>
      <c r="C21" s="200" t="s">
        <v>119</v>
      </c>
      <c r="D21" s="201">
        <v>76</v>
      </c>
    </row>
    <row r="22" spans="1:9" x14ac:dyDescent="0.25">
      <c r="A22" s="202">
        <f>$A$20</f>
        <v>7</v>
      </c>
      <c r="B22" s="194" t="str">
        <f t="shared" si="6"/>
        <v>Joao</v>
      </c>
      <c r="C22" s="200" t="s">
        <v>120</v>
      </c>
      <c r="D22" s="201">
        <v>24961</v>
      </c>
    </row>
    <row r="23" spans="1:9" x14ac:dyDescent="0.25">
      <c r="A23" s="199">
        <f>8</f>
        <v>8</v>
      </c>
      <c r="B23" s="193" t="s">
        <v>133</v>
      </c>
      <c r="C23" s="200" t="s">
        <v>118</v>
      </c>
      <c r="D23" s="201">
        <v>179</v>
      </c>
    </row>
    <row r="24" spans="1:9" x14ac:dyDescent="0.25">
      <c r="A24" s="202">
        <f>$A$23</f>
        <v>8</v>
      </c>
      <c r="B24" s="194" t="str">
        <f t="shared" ref="B24:B25" si="7">$B$23</f>
        <v>Biagio</v>
      </c>
      <c r="C24" s="200" t="s">
        <v>119</v>
      </c>
      <c r="D24" s="201">
        <v>17529</v>
      </c>
    </row>
    <row r="25" spans="1:9" x14ac:dyDescent="0.25">
      <c r="A25" s="202">
        <f>$A$23</f>
        <v>8</v>
      </c>
      <c r="B25" s="194" t="str">
        <f t="shared" si="7"/>
        <v>Biagio</v>
      </c>
      <c r="C25" s="200" t="s">
        <v>120</v>
      </c>
      <c r="D25" s="201">
        <v>17952</v>
      </c>
    </row>
    <row r="26" spans="1:9" x14ac:dyDescent="0.25">
      <c r="A26" s="199">
        <f>9</f>
        <v>9</v>
      </c>
      <c r="B26" s="193" t="s">
        <v>134</v>
      </c>
      <c r="C26" s="200" t="s">
        <v>118</v>
      </c>
      <c r="D26" s="201">
        <v>4176</v>
      </c>
    </row>
    <row r="27" spans="1:9" x14ac:dyDescent="0.25">
      <c r="A27" s="202">
        <f>$A$26</f>
        <v>9</v>
      </c>
      <c r="B27" s="194" t="str">
        <f t="shared" ref="B27:B28" si="8">$B$26</f>
        <v>Cecilia</v>
      </c>
      <c r="C27" s="200" t="s">
        <v>119</v>
      </c>
      <c r="D27" s="201">
        <v>47126</v>
      </c>
    </row>
    <row r="28" spans="1:9" x14ac:dyDescent="0.25">
      <c r="A28" s="202">
        <f>$A$26</f>
        <v>9</v>
      </c>
      <c r="B28" s="194" t="str">
        <f t="shared" si="8"/>
        <v>Cecilia</v>
      </c>
      <c r="C28" s="200" t="s">
        <v>120</v>
      </c>
      <c r="D28" s="201">
        <v>1728</v>
      </c>
    </row>
    <row r="29" spans="1:9" x14ac:dyDescent="0.25">
      <c r="A29" s="203">
        <v>10</v>
      </c>
      <c r="B29" s="193" t="s">
        <v>135</v>
      </c>
      <c r="C29" s="200" t="s">
        <v>118</v>
      </c>
      <c r="D29" s="201">
        <v>1728</v>
      </c>
    </row>
    <row r="30" spans="1:9" x14ac:dyDescent="0.25">
      <c r="A30" s="202">
        <f>$A$29</f>
        <v>10</v>
      </c>
      <c r="B30" s="194" t="str">
        <f t="shared" ref="B30:B31" si="9">$B$29</f>
        <v>Feni</v>
      </c>
      <c r="C30" s="200" t="s">
        <v>119</v>
      </c>
      <c r="D30" s="201">
        <v>1726</v>
      </c>
    </row>
    <row r="31" spans="1:9" x14ac:dyDescent="0.25">
      <c r="A31" s="202">
        <f>$A$29</f>
        <v>10</v>
      </c>
      <c r="B31" s="194" t="str">
        <f t="shared" si="9"/>
        <v>Feni</v>
      </c>
      <c r="C31" s="200" t="s">
        <v>120</v>
      </c>
      <c r="D31" s="201">
        <v>1296</v>
      </c>
    </row>
    <row r="32" spans="1:9" ht="13.5" x14ac:dyDescent="0.25">
      <c r="A32" s="204">
        <v>11</v>
      </c>
      <c r="B32" s="193" t="s">
        <v>325</v>
      </c>
      <c r="C32" s="200" t="s">
        <v>118</v>
      </c>
      <c r="D32" s="201">
        <v>156</v>
      </c>
      <c r="E32" s="1"/>
      <c r="F32" s="1"/>
      <c r="G32" s="4"/>
      <c r="I32" s="1"/>
    </row>
    <row r="33" spans="1:9" ht="13.5" x14ac:dyDescent="0.25">
      <c r="A33" s="204">
        <v>11</v>
      </c>
      <c r="B33" s="194" t="str">
        <f t="shared" ref="B33:B34" si="10">$B$32</f>
        <v>Mirela</v>
      </c>
      <c r="C33" s="200" t="s">
        <v>119</v>
      </c>
      <c r="D33" s="201">
        <v>158</v>
      </c>
      <c r="E33" s="1"/>
      <c r="F33" s="1"/>
      <c r="G33" s="4"/>
      <c r="I33" s="1"/>
    </row>
    <row r="34" spans="1:9" ht="13.5" x14ac:dyDescent="0.25">
      <c r="A34" s="204">
        <v>11</v>
      </c>
      <c r="B34" s="194" t="str">
        <f t="shared" si="10"/>
        <v>Mirela</v>
      </c>
      <c r="C34" s="200" t="s">
        <v>120</v>
      </c>
      <c r="D34" s="201">
        <v>152</v>
      </c>
      <c r="E34" s="1"/>
      <c r="F34" s="1"/>
      <c r="G34" s="4"/>
    </row>
    <row r="35" spans="1:9" ht="13.5" x14ac:dyDescent="0.25">
      <c r="A35" s="204">
        <v>12</v>
      </c>
      <c r="B35" s="193" t="s">
        <v>326</v>
      </c>
      <c r="C35" s="200" t="s">
        <v>118</v>
      </c>
      <c r="D35" s="201">
        <v>147</v>
      </c>
      <c r="E35" s="1"/>
      <c r="F35" s="1"/>
      <c r="G35" s="4"/>
    </row>
    <row r="36" spans="1:9" ht="13.5" x14ac:dyDescent="0.25">
      <c r="A36" s="204">
        <v>12</v>
      </c>
      <c r="B36" s="194" t="str">
        <f t="shared" ref="B36:B37" si="11">$B$35</f>
        <v>Antunes</v>
      </c>
      <c r="C36" s="200" t="s">
        <v>119</v>
      </c>
      <c r="D36" s="201">
        <v>169</v>
      </c>
      <c r="E36" s="1"/>
      <c r="F36" s="1"/>
      <c r="G36" s="4"/>
    </row>
    <row r="37" spans="1:9" ht="13.5" x14ac:dyDescent="0.25">
      <c r="A37" s="204">
        <v>12</v>
      </c>
      <c r="B37" s="194" t="str">
        <f t="shared" si="11"/>
        <v>Antunes</v>
      </c>
      <c r="C37" s="200" t="s">
        <v>120</v>
      </c>
      <c r="D37" s="201">
        <v>142</v>
      </c>
      <c r="E37" s="1"/>
      <c r="F37" s="1"/>
      <c r="G37" s="4"/>
    </row>
    <row r="38" spans="1:9" ht="13.5" x14ac:dyDescent="0.25">
      <c r="A38" s="204">
        <v>13</v>
      </c>
      <c r="B38" s="193"/>
      <c r="C38" s="200" t="s">
        <v>118</v>
      </c>
      <c r="D38" s="201"/>
      <c r="E38" s="1"/>
      <c r="F38" s="1"/>
      <c r="G38" s="4"/>
    </row>
    <row r="39" spans="1:9" ht="13.5" x14ac:dyDescent="0.25">
      <c r="A39" s="204">
        <v>13</v>
      </c>
      <c r="B39" s="194">
        <f t="shared" ref="B39:B40" si="12">$B$38</f>
        <v>0</v>
      </c>
      <c r="C39" s="200" t="s">
        <v>119</v>
      </c>
      <c r="D39" s="201"/>
      <c r="E39" s="1"/>
      <c r="F39" s="1"/>
      <c r="G39" s="4"/>
    </row>
    <row r="40" spans="1:9" ht="13.5" x14ac:dyDescent="0.25">
      <c r="A40" s="204">
        <v>13</v>
      </c>
      <c r="B40" s="194">
        <f t="shared" si="12"/>
        <v>0</v>
      </c>
      <c r="C40" s="200" t="s">
        <v>120</v>
      </c>
      <c r="D40" s="201"/>
    </row>
    <row r="41" spans="1:9" ht="13.5" x14ac:dyDescent="0.25">
      <c r="A41" s="204">
        <v>14</v>
      </c>
      <c r="B41" s="193"/>
      <c r="C41" s="200" t="s">
        <v>118</v>
      </c>
      <c r="D41" s="201"/>
    </row>
    <row r="42" spans="1:9" ht="13.5" x14ac:dyDescent="0.25">
      <c r="A42" s="204">
        <v>14</v>
      </c>
      <c r="B42" s="194">
        <f t="shared" ref="B42:B43" si="13">$B$41</f>
        <v>0</v>
      </c>
      <c r="C42" s="200" t="s">
        <v>119</v>
      </c>
      <c r="D42" s="201"/>
    </row>
    <row r="43" spans="1:9" ht="13.5" x14ac:dyDescent="0.25">
      <c r="A43" s="204">
        <v>14</v>
      </c>
      <c r="B43" s="194">
        <f t="shared" si="13"/>
        <v>0</v>
      </c>
      <c r="C43" s="200" t="s">
        <v>120</v>
      </c>
      <c r="D43" s="201"/>
    </row>
    <row r="44" spans="1:9" ht="13.5" x14ac:dyDescent="0.25">
      <c r="A44" s="204">
        <v>15</v>
      </c>
      <c r="B44" s="193"/>
      <c r="C44" s="200" t="s">
        <v>118</v>
      </c>
      <c r="D44" s="201"/>
    </row>
    <row r="45" spans="1:9" ht="13.5" x14ac:dyDescent="0.25">
      <c r="A45" s="204">
        <v>15</v>
      </c>
      <c r="B45" s="194">
        <f t="shared" ref="B45:B46" si="14">$B$44</f>
        <v>0</v>
      </c>
      <c r="C45" s="200" t="s">
        <v>119</v>
      </c>
      <c r="D45" s="201"/>
    </row>
    <row r="46" spans="1:9" ht="13.5" x14ac:dyDescent="0.25">
      <c r="A46" s="204">
        <v>15</v>
      </c>
      <c r="B46" s="194">
        <f t="shared" si="14"/>
        <v>0</v>
      </c>
      <c r="C46" s="200" t="s">
        <v>120</v>
      </c>
      <c r="D46" s="201"/>
    </row>
    <row r="47" spans="1:9" ht="13.5" x14ac:dyDescent="0.25">
      <c r="A47" s="204">
        <v>16</v>
      </c>
      <c r="B47" s="193"/>
      <c r="C47" s="200" t="s">
        <v>118</v>
      </c>
      <c r="D47" s="201"/>
    </row>
    <row r="48" spans="1:9" ht="13.5" x14ac:dyDescent="0.25">
      <c r="A48" s="204">
        <v>16</v>
      </c>
      <c r="B48" s="194">
        <f t="shared" ref="B48:B49" si="15">$B$47</f>
        <v>0</v>
      </c>
      <c r="C48" s="200" t="s">
        <v>119</v>
      </c>
      <c r="D48" s="201"/>
    </row>
    <row r="49" spans="1:4" ht="13.5" x14ac:dyDescent="0.25">
      <c r="A49" s="204">
        <v>16</v>
      </c>
      <c r="B49" s="194">
        <f t="shared" si="15"/>
        <v>0</v>
      </c>
      <c r="C49" s="200" t="s">
        <v>120</v>
      </c>
      <c r="D49" s="201"/>
    </row>
    <row r="50" spans="1:4" ht="13.5" x14ac:dyDescent="0.25">
      <c r="A50" s="204">
        <v>17</v>
      </c>
      <c r="B50" s="193"/>
      <c r="C50" s="200" t="s">
        <v>118</v>
      </c>
      <c r="D50" s="201"/>
    </row>
    <row r="51" spans="1:4" ht="13.5" x14ac:dyDescent="0.25">
      <c r="A51" s="204">
        <v>17</v>
      </c>
      <c r="B51" s="194">
        <f t="shared" ref="B51:B52" si="16">$B$50</f>
        <v>0</v>
      </c>
      <c r="C51" s="200" t="s">
        <v>119</v>
      </c>
      <c r="D51" s="201"/>
    </row>
    <row r="52" spans="1:4" ht="13.5" x14ac:dyDescent="0.25">
      <c r="A52" s="204">
        <v>17</v>
      </c>
      <c r="B52" s="194">
        <f t="shared" si="16"/>
        <v>0</v>
      </c>
      <c r="C52" s="200" t="s">
        <v>120</v>
      </c>
      <c r="D52" s="201"/>
    </row>
    <row r="53" spans="1:4" ht="13.5" x14ac:dyDescent="0.25">
      <c r="A53" s="204">
        <v>18</v>
      </c>
      <c r="B53" s="193"/>
      <c r="C53" s="200" t="s">
        <v>118</v>
      </c>
      <c r="D53" s="201"/>
    </row>
    <row r="54" spans="1:4" ht="13.5" x14ac:dyDescent="0.25">
      <c r="A54" s="204">
        <v>18</v>
      </c>
      <c r="B54" s="194">
        <f t="shared" ref="B54:B55" si="17">$B$53</f>
        <v>0</v>
      </c>
      <c r="C54" s="200" t="s">
        <v>119</v>
      </c>
      <c r="D54" s="201"/>
    </row>
    <row r="55" spans="1:4" ht="13.5" x14ac:dyDescent="0.25">
      <c r="A55" s="204">
        <v>18</v>
      </c>
      <c r="B55" s="194">
        <f t="shared" si="17"/>
        <v>0</v>
      </c>
      <c r="C55" s="200" t="s">
        <v>120</v>
      </c>
      <c r="D55" s="201"/>
    </row>
    <row r="56" spans="1:4" ht="13.5" x14ac:dyDescent="0.25">
      <c r="A56" s="204">
        <v>19</v>
      </c>
      <c r="B56" s="193"/>
      <c r="C56" s="200" t="s">
        <v>118</v>
      </c>
      <c r="D56" s="201"/>
    </row>
    <row r="57" spans="1:4" ht="13.5" x14ac:dyDescent="0.25">
      <c r="A57" s="204">
        <v>19</v>
      </c>
      <c r="B57" s="194">
        <f t="shared" ref="B57:B58" si="18">$B$56</f>
        <v>0</v>
      </c>
      <c r="C57" s="200" t="s">
        <v>119</v>
      </c>
      <c r="D57" s="201"/>
    </row>
    <row r="58" spans="1:4" ht="13.5" x14ac:dyDescent="0.25">
      <c r="A58" s="204">
        <v>19</v>
      </c>
      <c r="B58" s="194">
        <f t="shared" si="18"/>
        <v>0</v>
      </c>
      <c r="C58" s="200" t="s">
        <v>120</v>
      </c>
      <c r="D58" s="201"/>
    </row>
    <row r="59" spans="1:4" ht="13.5" x14ac:dyDescent="0.25">
      <c r="A59" s="204">
        <v>20</v>
      </c>
      <c r="B59" s="193"/>
      <c r="C59" s="200" t="s">
        <v>118</v>
      </c>
      <c r="D59" s="201"/>
    </row>
    <row r="60" spans="1:4" ht="13.5" x14ac:dyDescent="0.25">
      <c r="A60" s="204">
        <v>20</v>
      </c>
      <c r="B60" s="194">
        <f t="shared" ref="B60:B61" si="19">$B$59</f>
        <v>0</v>
      </c>
      <c r="C60" s="200" t="s">
        <v>119</v>
      </c>
      <c r="D60" s="201"/>
    </row>
    <row r="61" spans="1:4" ht="13.5" x14ac:dyDescent="0.25">
      <c r="A61" s="204">
        <v>20</v>
      </c>
      <c r="B61" s="194">
        <f t="shared" si="19"/>
        <v>0</v>
      </c>
      <c r="C61" s="200" t="s">
        <v>120</v>
      </c>
      <c r="D61" s="201"/>
    </row>
    <row r="62" spans="1:4" ht="13.5" x14ac:dyDescent="0.25">
      <c r="A62" s="204">
        <v>21</v>
      </c>
      <c r="B62" s="193"/>
      <c r="C62" s="200" t="s">
        <v>118</v>
      </c>
      <c r="D62" s="201"/>
    </row>
    <row r="63" spans="1:4" ht="13.5" x14ac:dyDescent="0.25">
      <c r="A63" s="204">
        <v>21</v>
      </c>
      <c r="B63" s="194">
        <f t="shared" ref="B63:B64" si="20">$B$62</f>
        <v>0</v>
      </c>
      <c r="C63" s="200" t="s">
        <v>119</v>
      </c>
      <c r="D63" s="201"/>
    </row>
    <row r="64" spans="1:4" ht="13.5" x14ac:dyDescent="0.25">
      <c r="A64" s="204">
        <v>21</v>
      </c>
      <c r="B64" s="194">
        <f t="shared" si="20"/>
        <v>0</v>
      </c>
      <c r="C64" s="200" t="s">
        <v>120</v>
      </c>
      <c r="D64" s="201"/>
    </row>
    <row r="65" spans="1:4" ht="13.5" x14ac:dyDescent="0.25">
      <c r="A65" s="204">
        <v>22</v>
      </c>
      <c r="B65" s="193"/>
      <c r="C65" s="200" t="s">
        <v>118</v>
      </c>
      <c r="D65" s="201"/>
    </row>
    <row r="66" spans="1:4" ht="13.5" x14ac:dyDescent="0.25">
      <c r="A66" s="204">
        <v>22</v>
      </c>
      <c r="B66" s="194">
        <f t="shared" ref="B66:B67" si="21">$B$65</f>
        <v>0</v>
      </c>
      <c r="C66" s="200" t="s">
        <v>119</v>
      </c>
      <c r="D66" s="201"/>
    </row>
    <row r="67" spans="1:4" ht="13.5" x14ac:dyDescent="0.25">
      <c r="A67" s="204">
        <v>22</v>
      </c>
      <c r="B67" s="194">
        <f t="shared" si="21"/>
        <v>0</v>
      </c>
      <c r="C67" s="200" t="s">
        <v>120</v>
      </c>
      <c r="D67" s="201"/>
    </row>
    <row r="68" spans="1:4" ht="13.5" x14ac:dyDescent="0.25">
      <c r="A68" s="204">
        <v>23</v>
      </c>
      <c r="B68" s="193"/>
      <c r="C68" s="200" t="s">
        <v>118</v>
      </c>
      <c r="D68" s="201"/>
    </row>
    <row r="69" spans="1:4" ht="13.5" x14ac:dyDescent="0.25">
      <c r="A69" s="204">
        <v>23</v>
      </c>
      <c r="B69" s="194">
        <f t="shared" ref="B69:B70" si="22">$B$68</f>
        <v>0</v>
      </c>
      <c r="C69" s="200" t="s">
        <v>119</v>
      </c>
      <c r="D69" s="201"/>
    </row>
    <row r="70" spans="1:4" ht="13.5" x14ac:dyDescent="0.25">
      <c r="A70" s="204">
        <v>23</v>
      </c>
      <c r="B70" s="194">
        <f t="shared" si="22"/>
        <v>0</v>
      </c>
      <c r="C70" s="200" t="s">
        <v>120</v>
      </c>
      <c r="D70" s="201"/>
    </row>
    <row r="71" spans="1:4" ht="13.5" x14ac:dyDescent="0.25">
      <c r="A71" s="204">
        <v>24</v>
      </c>
      <c r="B71" s="193"/>
      <c r="C71" s="200" t="s">
        <v>118</v>
      </c>
      <c r="D71" s="201"/>
    </row>
    <row r="72" spans="1:4" ht="13.5" x14ac:dyDescent="0.25">
      <c r="A72" s="204">
        <v>24</v>
      </c>
      <c r="B72" s="194">
        <f t="shared" ref="B72:B73" si="23">$B$71</f>
        <v>0</v>
      </c>
      <c r="C72" s="200" t="s">
        <v>119</v>
      </c>
      <c r="D72" s="201"/>
    </row>
    <row r="73" spans="1:4" ht="13.5" x14ac:dyDescent="0.25">
      <c r="A73" s="204">
        <v>24</v>
      </c>
      <c r="B73" s="194">
        <f t="shared" si="23"/>
        <v>0</v>
      </c>
      <c r="C73" s="200" t="s">
        <v>120</v>
      </c>
      <c r="D73" s="201"/>
    </row>
    <row r="74" spans="1:4" ht="13.5" x14ac:dyDescent="0.25">
      <c r="A74" s="204">
        <v>25</v>
      </c>
      <c r="B74" s="193"/>
      <c r="C74" s="200" t="s">
        <v>118</v>
      </c>
      <c r="D74" s="201"/>
    </row>
    <row r="75" spans="1:4" ht="13.5" x14ac:dyDescent="0.25">
      <c r="A75" s="204">
        <v>25</v>
      </c>
      <c r="B75" s="194">
        <f t="shared" ref="B75:B76" si="24">$B$74</f>
        <v>0</v>
      </c>
      <c r="C75" s="200" t="s">
        <v>119</v>
      </c>
      <c r="D75" s="201"/>
    </row>
    <row r="76" spans="1:4" ht="13.5" x14ac:dyDescent="0.25">
      <c r="A76" s="204">
        <v>25</v>
      </c>
      <c r="B76" s="194">
        <f t="shared" si="24"/>
        <v>0</v>
      </c>
      <c r="C76" s="200" t="s">
        <v>120</v>
      </c>
      <c r="D76" s="201"/>
    </row>
    <row r="77" spans="1:4" ht="13.5" x14ac:dyDescent="0.25">
      <c r="A77" s="204">
        <v>26</v>
      </c>
      <c r="B77" s="193"/>
      <c r="C77" s="200" t="s">
        <v>118</v>
      </c>
      <c r="D77" s="201"/>
    </row>
    <row r="78" spans="1:4" ht="13.5" x14ac:dyDescent="0.25">
      <c r="A78" s="204">
        <v>26</v>
      </c>
      <c r="B78" s="194">
        <f t="shared" ref="B78:B79" si="25">$B$77</f>
        <v>0</v>
      </c>
      <c r="C78" s="200" t="s">
        <v>119</v>
      </c>
      <c r="D78" s="201"/>
    </row>
    <row r="79" spans="1:4" ht="13.5" x14ac:dyDescent="0.25">
      <c r="A79" s="204">
        <v>26</v>
      </c>
      <c r="B79" s="194">
        <f t="shared" si="25"/>
        <v>0</v>
      </c>
      <c r="C79" s="200" t="s">
        <v>120</v>
      </c>
      <c r="D79" s="201"/>
    </row>
    <row r="80" spans="1:4" ht="13.5" x14ac:dyDescent="0.25">
      <c r="A80" s="204">
        <v>27</v>
      </c>
      <c r="B80" s="193"/>
      <c r="C80" s="200" t="s">
        <v>118</v>
      </c>
      <c r="D80" s="201"/>
    </row>
    <row r="81" spans="1:4" ht="13.5" x14ac:dyDescent="0.25">
      <c r="A81" s="204">
        <v>27</v>
      </c>
      <c r="B81" s="194">
        <f t="shared" ref="B81:B82" si="26">$B$80</f>
        <v>0</v>
      </c>
      <c r="C81" s="200" t="s">
        <v>119</v>
      </c>
      <c r="D81" s="201"/>
    </row>
    <row r="82" spans="1:4" ht="13.5" x14ac:dyDescent="0.25">
      <c r="A82" s="204">
        <v>27</v>
      </c>
      <c r="B82" s="194">
        <f t="shared" si="26"/>
        <v>0</v>
      </c>
      <c r="C82" s="200" t="s">
        <v>120</v>
      </c>
      <c r="D82" s="201"/>
    </row>
    <row r="83" spans="1:4" ht="13.5" x14ac:dyDescent="0.25">
      <c r="A83" s="204">
        <v>28</v>
      </c>
      <c r="B83" s="193"/>
      <c r="C83" s="200" t="s">
        <v>118</v>
      </c>
      <c r="D83" s="201"/>
    </row>
    <row r="84" spans="1:4" ht="13.5" x14ac:dyDescent="0.25">
      <c r="A84" s="204">
        <v>28</v>
      </c>
      <c r="B84" s="194">
        <f t="shared" ref="B84:B85" si="27">$B$83</f>
        <v>0</v>
      </c>
      <c r="C84" s="200" t="s">
        <v>119</v>
      </c>
      <c r="D84" s="201"/>
    </row>
    <row r="85" spans="1:4" ht="13.5" x14ac:dyDescent="0.25">
      <c r="A85" s="204">
        <v>28</v>
      </c>
      <c r="B85" s="194">
        <f t="shared" si="27"/>
        <v>0</v>
      </c>
      <c r="C85" s="200" t="s">
        <v>120</v>
      </c>
      <c r="D85" s="201"/>
    </row>
    <row r="86" spans="1:4" ht="13.5" x14ac:dyDescent="0.25">
      <c r="A86" s="204">
        <v>29</v>
      </c>
      <c r="B86" s="193"/>
      <c r="C86" s="200" t="s">
        <v>118</v>
      </c>
      <c r="D86" s="201"/>
    </row>
    <row r="87" spans="1:4" ht="13.5" x14ac:dyDescent="0.25">
      <c r="A87" s="204">
        <v>29</v>
      </c>
      <c r="B87" s="194">
        <f t="shared" ref="B87:B88" si="28">$B$86</f>
        <v>0</v>
      </c>
      <c r="C87" s="200" t="s">
        <v>119</v>
      </c>
      <c r="D87" s="201"/>
    </row>
    <row r="88" spans="1:4" ht="13.5" x14ac:dyDescent="0.25">
      <c r="A88" s="204">
        <v>29</v>
      </c>
      <c r="B88" s="194">
        <f t="shared" si="28"/>
        <v>0</v>
      </c>
      <c r="C88" s="200" t="s">
        <v>120</v>
      </c>
      <c r="D88" s="201"/>
    </row>
    <row r="89" spans="1:4" ht="13.5" x14ac:dyDescent="0.25">
      <c r="A89" s="204">
        <v>30</v>
      </c>
      <c r="B89" s="193"/>
      <c r="C89" s="200" t="s">
        <v>118</v>
      </c>
      <c r="D89" s="201"/>
    </row>
    <row r="90" spans="1:4" ht="13.5" x14ac:dyDescent="0.25">
      <c r="A90" s="204">
        <v>30</v>
      </c>
      <c r="B90" s="194">
        <f t="shared" ref="B90:B91" si="29">$B$89</f>
        <v>0</v>
      </c>
      <c r="C90" s="200" t="s">
        <v>119</v>
      </c>
      <c r="D90" s="201"/>
    </row>
    <row r="91" spans="1:4" ht="13.5" x14ac:dyDescent="0.25">
      <c r="A91" s="204">
        <v>30</v>
      </c>
      <c r="B91" s="194">
        <f t="shared" si="29"/>
        <v>0</v>
      </c>
      <c r="C91" s="200" t="s">
        <v>120</v>
      </c>
      <c r="D91" s="201"/>
    </row>
    <row r="92" spans="1:4" ht="13.5" x14ac:dyDescent="0.25">
      <c r="A92" s="204">
        <v>31</v>
      </c>
      <c r="B92" s="193"/>
      <c r="C92" s="200" t="s">
        <v>118</v>
      </c>
      <c r="D92" s="201"/>
    </row>
    <row r="93" spans="1:4" ht="13.5" x14ac:dyDescent="0.25">
      <c r="A93" s="204">
        <v>31</v>
      </c>
      <c r="B93" s="194">
        <f t="shared" ref="B93:B94" si="30">$B$92</f>
        <v>0</v>
      </c>
      <c r="C93" s="200" t="s">
        <v>119</v>
      </c>
      <c r="D93" s="201"/>
    </row>
    <row r="94" spans="1:4" ht="13.5" x14ac:dyDescent="0.25">
      <c r="A94" s="204">
        <v>31</v>
      </c>
      <c r="B94" s="194">
        <f t="shared" si="30"/>
        <v>0</v>
      </c>
      <c r="C94" s="200" t="s">
        <v>120</v>
      </c>
      <c r="D94" s="201"/>
    </row>
    <row r="95" spans="1:4" ht="13.5" x14ac:dyDescent="0.25">
      <c r="A95" s="204">
        <v>32</v>
      </c>
      <c r="B95" s="193"/>
      <c r="C95" s="200" t="s">
        <v>118</v>
      </c>
      <c r="D95" s="201"/>
    </row>
    <row r="96" spans="1:4" ht="13.5" x14ac:dyDescent="0.25">
      <c r="A96" s="204">
        <v>32</v>
      </c>
      <c r="B96" s="194">
        <f t="shared" ref="B96:B97" si="31">$B$95</f>
        <v>0</v>
      </c>
      <c r="C96" s="200" t="s">
        <v>119</v>
      </c>
      <c r="D96" s="201"/>
    </row>
    <row r="97" spans="1:4" ht="13.5" x14ac:dyDescent="0.25">
      <c r="A97" s="204">
        <v>32</v>
      </c>
      <c r="B97" s="194">
        <f t="shared" si="31"/>
        <v>0</v>
      </c>
      <c r="C97" s="200" t="s">
        <v>120</v>
      </c>
      <c r="D97" s="201"/>
    </row>
    <row r="98" spans="1:4" ht="13.5" x14ac:dyDescent="0.25">
      <c r="A98" s="204">
        <v>33</v>
      </c>
      <c r="B98" s="193"/>
      <c r="C98" s="200" t="s">
        <v>118</v>
      </c>
      <c r="D98" s="201"/>
    </row>
    <row r="99" spans="1:4" ht="13.5" x14ac:dyDescent="0.25">
      <c r="A99" s="204">
        <v>33</v>
      </c>
      <c r="B99" s="194">
        <f t="shared" ref="B99:B100" si="32">$B$98</f>
        <v>0</v>
      </c>
      <c r="C99" s="200" t="s">
        <v>119</v>
      </c>
      <c r="D99" s="201"/>
    </row>
    <row r="100" spans="1:4" ht="13.5" x14ac:dyDescent="0.25">
      <c r="A100" s="204">
        <v>33</v>
      </c>
      <c r="B100" s="194">
        <f t="shared" si="32"/>
        <v>0</v>
      </c>
      <c r="C100" s="200" t="s">
        <v>120</v>
      </c>
      <c r="D100" s="201"/>
    </row>
    <row r="101" spans="1:4" ht="13.5" x14ac:dyDescent="0.25">
      <c r="A101" s="204">
        <v>34</v>
      </c>
      <c r="B101" s="193"/>
      <c r="C101" s="200" t="s">
        <v>118</v>
      </c>
      <c r="D101" s="201"/>
    </row>
    <row r="102" spans="1:4" ht="13.5" x14ac:dyDescent="0.25">
      <c r="A102" s="204">
        <v>34</v>
      </c>
      <c r="B102" s="194">
        <f t="shared" ref="B102:B103" si="33">$B$101</f>
        <v>0</v>
      </c>
      <c r="C102" s="200" t="s">
        <v>119</v>
      </c>
      <c r="D102" s="201"/>
    </row>
    <row r="103" spans="1:4" ht="13.5" x14ac:dyDescent="0.25">
      <c r="A103" s="204">
        <v>34</v>
      </c>
      <c r="B103" s="194">
        <f t="shared" si="33"/>
        <v>0</v>
      </c>
      <c r="C103" s="200" t="s">
        <v>120</v>
      </c>
      <c r="D103" s="201"/>
    </row>
    <row r="104" spans="1:4" ht="13.5" x14ac:dyDescent="0.25">
      <c r="A104" s="204">
        <v>35</v>
      </c>
      <c r="B104" s="193"/>
      <c r="C104" s="200" t="s">
        <v>118</v>
      </c>
      <c r="D104" s="201"/>
    </row>
    <row r="105" spans="1:4" ht="13.5" x14ac:dyDescent="0.25">
      <c r="A105" s="204">
        <v>35</v>
      </c>
      <c r="B105" s="194">
        <f t="shared" ref="B105:B106" si="34">$B$104</f>
        <v>0</v>
      </c>
      <c r="C105" s="200" t="s">
        <v>119</v>
      </c>
      <c r="D105" s="201"/>
    </row>
    <row r="106" spans="1:4" ht="13.5" x14ac:dyDescent="0.25">
      <c r="A106" s="204">
        <v>35</v>
      </c>
      <c r="B106" s="194">
        <f t="shared" si="34"/>
        <v>0</v>
      </c>
      <c r="C106" s="200" t="s">
        <v>120</v>
      </c>
      <c r="D106" s="201"/>
    </row>
    <row r="107" spans="1:4" ht="13.5" x14ac:dyDescent="0.25">
      <c r="A107" s="204">
        <v>36</v>
      </c>
      <c r="B107" s="193"/>
      <c r="C107" s="200" t="s">
        <v>118</v>
      </c>
      <c r="D107" s="201"/>
    </row>
    <row r="108" spans="1:4" ht="13.5" x14ac:dyDescent="0.25">
      <c r="A108" s="204">
        <v>36</v>
      </c>
      <c r="B108" s="194">
        <f t="shared" ref="B108:B109" si="35">$B$107</f>
        <v>0</v>
      </c>
      <c r="C108" s="200" t="s">
        <v>119</v>
      </c>
      <c r="D108" s="201"/>
    </row>
    <row r="109" spans="1:4" ht="13.5" x14ac:dyDescent="0.25">
      <c r="A109" s="204">
        <v>36</v>
      </c>
      <c r="B109" s="194">
        <f t="shared" si="35"/>
        <v>0</v>
      </c>
      <c r="C109" s="200" t="s">
        <v>120</v>
      </c>
      <c r="D109" s="201"/>
    </row>
    <row r="110" spans="1:4" ht="13.5" x14ac:dyDescent="0.25">
      <c r="A110" s="204">
        <v>37</v>
      </c>
      <c r="B110" s="193"/>
      <c r="C110" s="200" t="s">
        <v>118</v>
      </c>
      <c r="D110" s="201"/>
    </row>
    <row r="111" spans="1:4" ht="13.5" x14ac:dyDescent="0.25">
      <c r="A111" s="204">
        <v>37</v>
      </c>
      <c r="B111" s="194">
        <f t="shared" ref="B111:B112" si="36">$B$110</f>
        <v>0</v>
      </c>
      <c r="C111" s="200" t="s">
        <v>119</v>
      </c>
      <c r="D111" s="201"/>
    </row>
    <row r="112" spans="1:4" ht="13.5" x14ac:dyDescent="0.25">
      <c r="A112" s="204">
        <v>37</v>
      </c>
      <c r="B112" s="194">
        <f t="shared" si="36"/>
        <v>0</v>
      </c>
      <c r="C112" s="200" t="s">
        <v>120</v>
      </c>
      <c r="D112" s="201"/>
    </row>
    <row r="113" spans="1:4" ht="13.5" x14ac:dyDescent="0.25">
      <c r="A113" s="204">
        <v>38</v>
      </c>
      <c r="B113" s="193"/>
      <c r="C113" s="200" t="s">
        <v>118</v>
      </c>
      <c r="D113" s="201"/>
    </row>
    <row r="114" spans="1:4" ht="13.5" x14ac:dyDescent="0.25">
      <c r="A114" s="204">
        <v>38</v>
      </c>
      <c r="B114" s="194">
        <f t="shared" ref="B114:B115" si="37">$B$113</f>
        <v>0</v>
      </c>
      <c r="C114" s="200" t="s">
        <v>119</v>
      </c>
      <c r="D114" s="201"/>
    </row>
    <row r="115" spans="1:4" ht="13.5" x14ac:dyDescent="0.25">
      <c r="A115" s="204">
        <v>38</v>
      </c>
      <c r="B115" s="194">
        <f t="shared" si="37"/>
        <v>0</v>
      </c>
      <c r="C115" s="200" t="s">
        <v>120</v>
      </c>
      <c r="D115" s="201"/>
    </row>
    <row r="116" spans="1:4" ht="13.5" x14ac:dyDescent="0.25">
      <c r="A116" s="204">
        <v>39</v>
      </c>
      <c r="B116" s="193"/>
      <c r="C116" s="200" t="s">
        <v>118</v>
      </c>
      <c r="D116" s="201"/>
    </row>
    <row r="117" spans="1:4" ht="13.5" x14ac:dyDescent="0.25">
      <c r="A117" s="204">
        <v>39</v>
      </c>
      <c r="B117" s="194">
        <f t="shared" ref="B117:B118" si="38">$B$116</f>
        <v>0</v>
      </c>
      <c r="C117" s="200" t="s">
        <v>119</v>
      </c>
      <c r="D117" s="201"/>
    </row>
    <row r="118" spans="1:4" ht="13.5" x14ac:dyDescent="0.25">
      <c r="A118" s="204">
        <v>39</v>
      </c>
      <c r="B118" s="194">
        <f t="shared" si="38"/>
        <v>0</v>
      </c>
      <c r="C118" s="200" t="s">
        <v>120</v>
      </c>
      <c r="D118" s="201"/>
    </row>
    <row r="119" spans="1:4" ht="13.5" x14ac:dyDescent="0.25">
      <c r="A119" s="204">
        <v>40</v>
      </c>
      <c r="B119" s="193"/>
      <c r="C119" s="200" t="s">
        <v>118</v>
      </c>
      <c r="D119" s="201"/>
    </row>
    <row r="120" spans="1:4" ht="13.5" x14ac:dyDescent="0.25">
      <c r="A120" s="204">
        <v>40</v>
      </c>
      <c r="B120" s="194">
        <f t="shared" ref="B120:B121" si="39">$B$119</f>
        <v>0</v>
      </c>
      <c r="C120" s="200" t="s">
        <v>119</v>
      </c>
      <c r="D120" s="201"/>
    </row>
    <row r="121" spans="1:4" ht="13.5" x14ac:dyDescent="0.25">
      <c r="A121" s="204">
        <v>40</v>
      </c>
      <c r="B121" s="194">
        <f t="shared" si="39"/>
        <v>0</v>
      </c>
      <c r="C121" s="200" t="s">
        <v>120</v>
      </c>
      <c r="D121" s="201"/>
    </row>
    <row r="122" spans="1:4" ht="13.5" x14ac:dyDescent="0.25">
      <c r="A122" s="204">
        <v>41</v>
      </c>
      <c r="B122" s="193"/>
      <c r="C122" s="200" t="s">
        <v>118</v>
      </c>
      <c r="D122" s="201"/>
    </row>
    <row r="123" spans="1:4" ht="13.5" x14ac:dyDescent="0.25">
      <c r="A123" s="204">
        <v>41</v>
      </c>
      <c r="B123" s="194">
        <f t="shared" ref="B123:B124" si="40">$B$122</f>
        <v>0</v>
      </c>
      <c r="C123" s="200" t="s">
        <v>119</v>
      </c>
      <c r="D123" s="201"/>
    </row>
    <row r="124" spans="1:4" ht="13.5" x14ac:dyDescent="0.25">
      <c r="A124" s="204">
        <v>41</v>
      </c>
      <c r="B124" s="194">
        <f t="shared" si="40"/>
        <v>0</v>
      </c>
      <c r="C124" s="200" t="s">
        <v>120</v>
      </c>
      <c r="D124" s="201"/>
    </row>
    <row r="125" spans="1:4" ht="13.5" x14ac:dyDescent="0.25">
      <c r="A125" s="204">
        <v>42</v>
      </c>
      <c r="B125" s="193"/>
      <c r="C125" s="200" t="s">
        <v>118</v>
      </c>
      <c r="D125" s="201"/>
    </row>
    <row r="126" spans="1:4" ht="13.5" x14ac:dyDescent="0.25">
      <c r="A126" s="204">
        <v>42</v>
      </c>
      <c r="B126" s="194">
        <f t="shared" ref="B126:B127" si="41">$B$125</f>
        <v>0</v>
      </c>
      <c r="C126" s="200" t="s">
        <v>119</v>
      </c>
      <c r="D126" s="201"/>
    </row>
    <row r="127" spans="1:4" ht="13.5" x14ac:dyDescent="0.25">
      <c r="A127" s="204">
        <v>42</v>
      </c>
      <c r="B127" s="194">
        <f t="shared" si="41"/>
        <v>0</v>
      </c>
      <c r="C127" s="200" t="s">
        <v>120</v>
      </c>
      <c r="D127" s="201"/>
    </row>
    <row r="128" spans="1:4" ht="13.5" x14ac:dyDescent="0.25">
      <c r="A128" s="204">
        <v>43</v>
      </c>
      <c r="B128" s="193"/>
      <c r="C128" s="200" t="s">
        <v>118</v>
      </c>
      <c r="D128" s="201"/>
    </row>
    <row r="129" spans="1:4" ht="13.5" x14ac:dyDescent="0.25">
      <c r="A129" s="204">
        <v>43</v>
      </c>
      <c r="B129" s="194">
        <f t="shared" ref="B129:B130" si="42">$B$128</f>
        <v>0</v>
      </c>
      <c r="C129" s="200" t="s">
        <v>119</v>
      </c>
      <c r="D129" s="201"/>
    </row>
    <row r="130" spans="1:4" ht="13.5" x14ac:dyDescent="0.25">
      <c r="A130" s="204">
        <v>43</v>
      </c>
      <c r="B130" s="194">
        <f t="shared" si="42"/>
        <v>0</v>
      </c>
      <c r="C130" s="200" t="s">
        <v>120</v>
      </c>
      <c r="D130" s="201"/>
    </row>
    <row r="131" spans="1:4" ht="13.5" x14ac:dyDescent="0.25">
      <c r="A131" s="204">
        <v>44</v>
      </c>
      <c r="B131" s="193"/>
      <c r="C131" s="200" t="s">
        <v>118</v>
      </c>
      <c r="D131" s="201"/>
    </row>
    <row r="132" spans="1:4" ht="13.5" x14ac:dyDescent="0.25">
      <c r="A132" s="204">
        <v>44</v>
      </c>
      <c r="B132" s="194">
        <f t="shared" ref="B132:B133" si="43">$B$131</f>
        <v>0</v>
      </c>
      <c r="C132" s="200" t="s">
        <v>119</v>
      </c>
      <c r="D132" s="201"/>
    </row>
    <row r="133" spans="1:4" ht="13.5" x14ac:dyDescent="0.25">
      <c r="A133" s="204">
        <v>44</v>
      </c>
      <c r="B133" s="194">
        <f t="shared" si="43"/>
        <v>0</v>
      </c>
      <c r="C133" s="200" t="s">
        <v>120</v>
      </c>
      <c r="D133" s="201"/>
    </row>
    <row r="134" spans="1:4" ht="13.5" x14ac:dyDescent="0.25">
      <c r="A134" s="204">
        <v>45</v>
      </c>
      <c r="B134" s="193"/>
      <c r="C134" s="200" t="s">
        <v>118</v>
      </c>
      <c r="D134" s="201"/>
    </row>
    <row r="135" spans="1:4" ht="13.5" x14ac:dyDescent="0.25">
      <c r="A135" s="204">
        <v>45</v>
      </c>
      <c r="B135" s="194">
        <f t="shared" ref="B135:B136" si="44">$B$134</f>
        <v>0</v>
      </c>
      <c r="C135" s="200" t="s">
        <v>119</v>
      </c>
      <c r="D135" s="201"/>
    </row>
    <row r="136" spans="1:4" ht="13.5" x14ac:dyDescent="0.25">
      <c r="A136" s="204">
        <v>45</v>
      </c>
      <c r="B136" s="194">
        <f t="shared" si="44"/>
        <v>0</v>
      </c>
      <c r="C136" s="200" t="s">
        <v>120</v>
      </c>
      <c r="D136" s="201"/>
    </row>
    <row r="137" spans="1:4" ht="13.5" x14ac:dyDescent="0.25">
      <c r="A137" s="204">
        <v>46</v>
      </c>
      <c r="B137" s="193"/>
      <c r="C137" s="200" t="s">
        <v>118</v>
      </c>
      <c r="D137" s="201"/>
    </row>
    <row r="138" spans="1:4" ht="13.5" x14ac:dyDescent="0.25">
      <c r="A138" s="204">
        <v>46</v>
      </c>
      <c r="B138" s="194">
        <f t="shared" ref="B138:B139" si="45">$B$137</f>
        <v>0</v>
      </c>
      <c r="C138" s="200" t="s">
        <v>119</v>
      </c>
      <c r="D138" s="201"/>
    </row>
    <row r="139" spans="1:4" ht="13.5" x14ac:dyDescent="0.25">
      <c r="A139" s="204">
        <v>46</v>
      </c>
      <c r="B139" s="194">
        <f t="shared" si="45"/>
        <v>0</v>
      </c>
      <c r="C139" s="200" t="s">
        <v>120</v>
      </c>
      <c r="D139" s="201"/>
    </row>
    <row r="140" spans="1:4" ht="13.5" x14ac:dyDescent="0.25">
      <c r="A140" s="204">
        <v>47</v>
      </c>
      <c r="B140" s="193"/>
      <c r="C140" s="200" t="s">
        <v>118</v>
      </c>
      <c r="D140" s="201"/>
    </row>
    <row r="141" spans="1:4" ht="13.5" x14ac:dyDescent="0.25">
      <c r="A141" s="204">
        <v>47</v>
      </c>
      <c r="B141" s="194">
        <f t="shared" ref="B141:B142" si="46">$B$140</f>
        <v>0</v>
      </c>
      <c r="C141" s="200" t="s">
        <v>119</v>
      </c>
      <c r="D141" s="201"/>
    </row>
    <row r="142" spans="1:4" ht="13.5" x14ac:dyDescent="0.25">
      <c r="A142" s="204">
        <v>47</v>
      </c>
      <c r="B142" s="194">
        <f t="shared" si="46"/>
        <v>0</v>
      </c>
      <c r="C142" s="200" t="s">
        <v>120</v>
      </c>
      <c r="D142" s="201"/>
    </row>
    <row r="143" spans="1:4" ht="13.5" x14ac:dyDescent="0.25">
      <c r="A143" s="204">
        <v>48</v>
      </c>
      <c r="B143" s="193"/>
      <c r="C143" s="200" t="s">
        <v>118</v>
      </c>
      <c r="D143" s="201"/>
    </row>
    <row r="144" spans="1:4" ht="13.5" x14ac:dyDescent="0.25">
      <c r="A144" s="204">
        <v>48</v>
      </c>
      <c r="B144" s="194">
        <f t="shared" ref="B144:B145" si="47">$B$143</f>
        <v>0</v>
      </c>
      <c r="C144" s="200" t="s">
        <v>119</v>
      </c>
      <c r="D144" s="201"/>
    </row>
    <row r="145" spans="1:4" ht="13.5" x14ac:dyDescent="0.25">
      <c r="A145" s="204">
        <v>48</v>
      </c>
      <c r="B145" s="194">
        <f t="shared" si="47"/>
        <v>0</v>
      </c>
      <c r="C145" s="200" t="s">
        <v>120</v>
      </c>
      <c r="D145" s="201"/>
    </row>
    <row r="146" spans="1:4" ht="13.5" x14ac:dyDescent="0.25">
      <c r="A146" s="204">
        <v>49</v>
      </c>
      <c r="B146" s="193"/>
      <c r="C146" s="200" t="s">
        <v>118</v>
      </c>
      <c r="D146" s="201"/>
    </row>
    <row r="147" spans="1:4" ht="13.5" x14ac:dyDescent="0.25">
      <c r="A147" s="204">
        <v>49</v>
      </c>
      <c r="B147" s="194">
        <f t="shared" ref="B147:B148" si="48">$B$146</f>
        <v>0</v>
      </c>
      <c r="C147" s="200" t="s">
        <v>119</v>
      </c>
      <c r="D147" s="201"/>
    </row>
    <row r="148" spans="1:4" ht="13.5" x14ac:dyDescent="0.25">
      <c r="A148" s="204">
        <v>49</v>
      </c>
      <c r="B148" s="194">
        <f t="shared" si="48"/>
        <v>0</v>
      </c>
      <c r="C148" s="200" t="s">
        <v>120</v>
      </c>
      <c r="D148" s="201"/>
    </row>
    <row r="149" spans="1:4" ht="13.5" x14ac:dyDescent="0.25">
      <c r="A149" s="204">
        <v>50</v>
      </c>
      <c r="B149" s="193"/>
      <c r="C149" s="200" t="s">
        <v>118</v>
      </c>
      <c r="D149" s="201"/>
    </row>
    <row r="150" spans="1:4" ht="13.5" x14ac:dyDescent="0.25">
      <c r="A150" s="204">
        <v>50</v>
      </c>
      <c r="B150" s="194">
        <f t="shared" ref="B150:B151" si="49">$B$149</f>
        <v>0</v>
      </c>
      <c r="C150" s="200" t="s">
        <v>119</v>
      </c>
      <c r="D150" s="201"/>
    </row>
    <row r="151" spans="1:4" ht="13.5" x14ac:dyDescent="0.25">
      <c r="A151" s="204">
        <v>50</v>
      </c>
      <c r="B151" s="194">
        <f t="shared" si="49"/>
        <v>0</v>
      </c>
      <c r="C151" s="200" t="s">
        <v>120</v>
      </c>
      <c r="D151" s="201"/>
    </row>
    <row r="152" spans="1:4" ht="13.5" x14ac:dyDescent="0.25">
      <c r="A152" s="204">
        <v>51</v>
      </c>
      <c r="B152" s="193"/>
      <c r="C152" s="200" t="s">
        <v>118</v>
      </c>
      <c r="D152" s="201"/>
    </row>
    <row r="153" spans="1:4" ht="13.5" x14ac:dyDescent="0.25">
      <c r="A153" s="204">
        <v>51</v>
      </c>
      <c r="B153" s="194">
        <f t="shared" ref="B153:B154" si="50">$B$152</f>
        <v>0</v>
      </c>
      <c r="C153" s="200" t="s">
        <v>119</v>
      </c>
      <c r="D153" s="201"/>
    </row>
    <row r="154" spans="1:4" ht="13.5" x14ac:dyDescent="0.25">
      <c r="A154" s="204">
        <v>51</v>
      </c>
      <c r="B154" s="194">
        <f t="shared" si="50"/>
        <v>0</v>
      </c>
      <c r="C154" s="200" t="s">
        <v>120</v>
      </c>
      <c r="D154" s="201"/>
    </row>
    <row r="155" spans="1:4" ht="13.5" x14ac:dyDescent="0.25">
      <c r="A155" s="204">
        <v>52</v>
      </c>
      <c r="B155" s="193"/>
      <c r="C155" s="200" t="s">
        <v>118</v>
      </c>
      <c r="D155" s="201"/>
    </row>
    <row r="156" spans="1:4" ht="13.5" x14ac:dyDescent="0.25">
      <c r="A156" s="204">
        <v>52</v>
      </c>
      <c r="B156" s="194">
        <f t="shared" ref="B156:B157" si="51">$B$155</f>
        <v>0</v>
      </c>
      <c r="C156" s="200" t="s">
        <v>119</v>
      </c>
      <c r="D156" s="201"/>
    </row>
    <row r="157" spans="1:4" ht="13.5" x14ac:dyDescent="0.25">
      <c r="A157" s="204">
        <v>52</v>
      </c>
      <c r="B157" s="194">
        <f t="shared" si="51"/>
        <v>0</v>
      </c>
      <c r="C157" s="200" t="s">
        <v>120</v>
      </c>
      <c r="D157" s="201"/>
    </row>
    <row r="158" spans="1:4" ht="13.5" x14ac:dyDescent="0.25">
      <c r="A158" s="204">
        <v>53</v>
      </c>
      <c r="B158" s="193"/>
      <c r="C158" s="200" t="s">
        <v>118</v>
      </c>
      <c r="D158" s="201"/>
    </row>
    <row r="159" spans="1:4" ht="13.5" x14ac:dyDescent="0.25">
      <c r="A159" s="204">
        <v>53</v>
      </c>
      <c r="B159" s="194">
        <f t="shared" ref="B159:B160" si="52">$B$158</f>
        <v>0</v>
      </c>
      <c r="C159" s="200" t="s">
        <v>119</v>
      </c>
      <c r="D159" s="201"/>
    </row>
    <row r="160" spans="1:4" ht="13.5" x14ac:dyDescent="0.25">
      <c r="A160" s="204">
        <v>53</v>
      </c>
      <c r="B160" s="194">
        <f t="shared" si="52"/>
        <v>0</v>
      </c>
      <c r="C160" s="200" t="s">
        <v>120</v>
      </c>
      <c r="D160" s="201"/>
    </row>
    <row r="161" spans="1:4" ht="13.5" x14ac:dyDescent="0.25">
      <c r="A161" s="204">
        <v>54</v>
      </c>
      <c r="B161" s="193"/>
      <c r="C161" s="200" t="s">
        <v>118</v>
      </c>
      <c r="D161" s="201"/>
    </row>
    <row r="162" spans="1:4" ht="13.5" x14ac:dyDescent="0.25">
      <c r="A162" s="204">
        <v>54</v>
      </c>
      <c r="B162" s="194">
        <f t="shared" ref="B162:B163" si="53">$B$161</f>
        <v>0</v>
      </c>
      <c r="C162" s="200" t="s">
        <v>119</v>
      </c>
      <c r="D162" s="201"/>
    </row>
    <row r="163" spans="1:4" ht="13.5" x14ac:dyDescent="0.25">
      <c r="A163" s="204">
        <v>54</v>
      </c>
      <c r="B163" s="194">
        <f t="shared" si="53"/>
        <v>0</v>
      </c>
      <c r="C163" s="200" t="s">
        <v>120</v>
      </c>
      <c r="D163" s="201"/>
    </row>
    <row r="164" spans="1:4" ht="13.5" x14ac:dyDescent="0.25">
      <c r="A164" s="204">
        <v>55</v>
      </c>
      <c r="B164" s="193"/>
      <c r="C164" s="200" t="s">
        <v>118</v>
      </c>
      <c r="D164" s="201"/>
    </row>
    <row r="165" spans="1:4" ht="13.5" x14ac:dyDescent="0.25">
      <c r="A165" s="204">
        <v>55</v>
      </c>
      <c r="B165" s="194">
        <f t="shared" ref="B165:B166" si="54">$B$164</f>
        <v>0</v>
      </c>
      <c r="C165" s="200" t="s">
        <v>119</v>
      </c>
      <c r="D165" s="201"/>
    </row>
    <row r="166" spans="1:4" ht="13.5" x14ac:dyDescent="0.25">
      <c r="A166" s="204">
        <v>55</v>
      </c>
      <c r="B166" s="194">
        <f t="shared" si="54"/>
        <v>0</v>
      </c>
      <c r="C166" s="200" t="s">
        <v>120</v>
      </c>
      <c r="D166" s="201"/>
    </row>
    <row r="167" spans="1:4" ht="13.5" x14ac:dyDescent="0.25">
      <c r="A167" s="204">
        <v>56</v>
      </c>
      <c r="B167" s="193"/>
      <c r="C167" s="200" t="s">
        <v>118</v>
      </c>
      <c r="D167" s="201"/>
    </row>
    <row r="168" spans="1:4" ht="13.5" x14ac:dyDescent="0.25">
      <c r="A168" s="204">
        <v>56</v>
      </c>
      <c r="B168" s="194">
        <f t="shared" ref="B168:B169" si="55">$B$167</f>
        <v>0</v>
      </c>
      <c r="C168" s="200" t="s">
        <v>119</v>
      </c>
      <c r="D168" s="201"/>
    </row>
    <row r="169" spans="1:4" ht="13.5" x14ac:dyDescent="0.25">
      <c r="A169" s="204">
        <v>56</v>
      </c>
      <c r="B169" s="194">
        <f t="shared" si="55"/>
        <v>0</v>
      </c>
      <c r="C169" s="200" t="s">
        <v>120</v>
      </c>
      <c r="D169" s="201"/>
    </row>
    <row r="170" spans="1:4" ht="13.5" x14ac:dyDescent="0.25">
      <c r="A170" s="204">
        <v>57</v>
      </c>
      <c r="B170" s="193"/>
      <c r="C170" s="200" t="s">
        <v>118</v>
      </c>
      <c r="D170" s="201"/>
    </row>
    <row r="171" spans="1:4" ht="13.5" x14ac:dyDescent="0.25">
      <c r="A171" s="204">
        <v>57</v>
      </c>
      <c r="B171" s="194">
        <f t="shared" ref="B171:B172" si="56">$B$170</f>
        <v>0</v>
      </c>
      <c r="C171" s="200" t="s">
        <v>119</v>
      </c>
      <c r="D171" s="201"/>
    </row>
    <row r="172" spans="1:4" ht="13.5" x14ac:dyDescent="0.25">
      <c r="A172" s="204">
        <v>57</v>
      </c>
      <c r="B172" s="194">
        <f t="shared" si="56"/>
        <v>0</v>
      </c>
      <c r="C172" s="200" t="s">
        <v>120</v>
      </c>
      <c r="D172" s="201"/>
    </row>
    <row r="173" spans="1:4" ht="13.5" x14ac:dyDescent="0.25">
      <c r="A173" s="204">
        <v>58</v>
      </c>
      <c r="B173" s="193"/>
      <c r="C173" s="200" t="s">
        <v>118</v>
      </c>
      <c r="D173" s="201"/>
    </row>
    <row r="174" spans="1:4" ht="13.5" x14ac:dyDescent="0.25">
      <c r="A174" s="204">
        <v>58</v>
      </c>
      <c r="B174" s="194">
        <f t="shared" ref="B174:B175" si="57">$B$173</f>
        <v>0</v>
      </c>
      <c r="C174" s="200" t="s">
        <v>119</v>
      </c>
      <c r="D174" s="201"/>
    </row>
    <row r="175" spans="1:4" ht="13.5" x14ac:dyDescent="0.25">
      <c r="A175" s="204">
        <v>58</v>
      </c>
      <c r="B175" s="194">
        <f t="shared" si="57"/>
        <v>0</v>
      </c>
      <c r="C175" s="200" t="s">
        <v>120</v>
      </c>
      <c r="D175" s="201"/>
    </row>
    <row r="176" spans="1:4" ht="13.5" x14ac:dyDescent="0.25">
      <c r="A176" s="204">
        <v>59</v>
      </c>
      <c r="B176" s="193"/>
      <c r="C176" s="200" t="s">
        <v>118</v>
      </c>
      <c r="D176" s="201"/>
    </row>
    <row r="177" spans="1:4" ht="13.5" x14ac:dyDescent="0.25">
      <c r="A177" s="204">
        <v>59</v>
      </c>
      <c r="B177" s="194">
        <f t="shared" ref="B177:B178" si="58">$B$176</f>
        <v>0</v>
      </c>
      <c r="C177" s="200" t="s">
        <v>119</v>
      </c>
      <c r="D177" s="201"/>
    </row>
    <row r="178" spans="1:4" ht="13.5" x14ac:dyDescent="0.25">
      <c r="A178" s="204">
        <v>59</v>
      </c>
      <c r="B178" s="194">
        <f t="shared" si="58"/>
        <v>0</v>
      </c>
      <c r="C178" s="200" t="s">
        <v>120</v>
      </c>
      <c r="D178" s="201"/>
    </row>
    <row r="179" spans="1:4" ht="13.5" x14ac:dyDescent="0.25">
      <c r="A179" s="204">
        <v>60</v>
      </c>
      <c r="B179" s="193"/>
      <c r="C179" s="200" t="s">
        <v>118</v>
      </c>
      <c r="D179" s="201"/>
    </row>
    <row r="180" spans="1:4" ht="13.5" x14ac:dyDescent="0.25">
      <c r="A180" s="204">
        <v>60</v>
      </c>
      <c r="B180" s="194">
        <f t="shared" ref="B180:B181" si="59">$B$179</f>
        <v>0</v>
      </c>
      <c r="C180" s="200" t="s">
        <v>119</v>
      </c>
      <c r="D180" s="201"/>
    </row>
    <row r="181" spans="1:4" ht="13.5" x14ac:dyDescent="0.25">
      <c r="A181" s="204">
        <v>60</v>
      </c>
      <c r="B181" s="194">
        <f t="shared" si="59"/>
        <v>0</v>
      </c>
      <c r="C181" s="200" t="s">
        <v>120</v>
      </c>
      <c r="D181" s="201"/>
    </row>
    <row r="182" spans="1:4" ht="13.5" x14ac:dyDescent="0.25">
      <c r="A182" s="204">
        <v>61</v>
      </c>
      <c r="B182" s="193"/>
      <c r="C182" s="200" t="s">
        <v>118</v>
      </c>
      <c r="D182" s="201"/>
    </row>
    <row r="183" spans="1:4" ht="13.5" x14ac:dyDescent="0.25">
      <c r="A183" s="204">
        <v>61</v>
      </c>
      <c r="B183" s="194">
        <f t="shared" ref="B183:B184" si="60">$B$182</f>
        <v>0</v>
      </c>
      <c r="C183" s="200" t="s">
        <v>119</v>
      </c>
      <c r="D183" s="201"/>
    </row>
    <row r="184" spans="1:4" ht="13.5" x14ac:dyDescent="0.25">
      <c r="A184" s="204">
        <v>61</v>
      </c>
      <c r="B184" s="194">
        <f t="shared" si="60"/>
        <v>0</v>
      </c>
      <c r="C184" s="200" t="s">
        <v>120</v>
      </c>
      <c r="D184" s="201"/>
    </row>
    <row r="185" spans="1:4" ht="13.5" x14ac:dyDescent="0.25">
      <c r="A185" s="204">
        <v>62</v>
      </c>
      <c r="B185" s="193"/>
      <c r="C185" s="200" t="s">
        <v>118</v>
      </c>
      <c r="D185" s="201"/>
    </row>
    <row r="186" spans="1:4" ht="13.5" x14ac:dyDescent="0.25">
      <c r="A186" s="204">
        <v>62</v>
      </c>
      <c r="B186" s="194">
        <f t="shared" ref="B186:B187" si="61">$B$185</f>
        <v>0</v>
      </c>
      <c r="C186" s="200" t="s">
        <v>119</v>
      </c>
      <c r="D186" s="201"/>
    </row>
    <row r="187" spans="1:4" ht="13.5" x14ac:dyDescent="0.25">
      <c r="A187" s="204">
        <v>62</v>
      </c>
      <c r="B187" s="194">
        <f t="shared" si="61"/>
        <v>0</v>
      </c>
      <c r="C187" s="200" t="s">
        <v>120</v>
      </c>
      <c r="D187" s="201"/>
    </row>
    <row r="188" spans="1:4" ht="13.5" x14ac:dyDescent="0.25">
      <c r="A188" s="204">
        <v>63</v>
      </c>
      <c r="B188" s="193"/>
      <c r="C188" s="200" t="s">
        <v>118</v>
      </c>
      <c r="D188" s="201"/>
    </row>
    <row r="189" spans="1:4" ht="13.5" x14ac:dyDescent="0.25">
      <c r="A189" s="204">
        <v>63</v>
      </c>
      <c r="B189" s="194">
        <f t="shared" ref="B189:B190" si="62">$B$188</f>
        <v>0</v>
      </c>
      <c r="C189" s="200" t="s">
        <v>119</v>
      </c>
      <c r="D189" s="201"/>
    </row>
    <row r="190" spans="1:4" ht="13.5" x14ac:dyDescent="0.25">
      <c r="A190" s="204">
        <v>63</v>
      </c>
      <c r="B190" s="194">
        <f t="shared" si="62"/>
        <v>0</v>
      </c>
      <c r="C190" s="200" t="s">
        <v>120</v>
      </c>
      <c r="D190" s="201"/>
    </row>
    <row r="191" spans="1:4" ht="13.5" x14ac:dyDescent="0.25">
      <c r="A191" s="204">
        <v>64</v>
      </c>
      <c r="B191" s="193"/>
      <c r="C191" s="200" t="s">
        <v>118</v>
      </c>
      <c r="D191" s="201"/>
    </row>
    <row r="192" spans="1:4" ht="13.5" x14ac:dyDescent="0.25">
      <c r="A192" s="204">
        <v>64</v>
      </c>
      <c r="B192" s="194">
        <f t="shared" ref="B192:B193" si="63">$B$191</f>
        <v>0</v>
      </c>
      <c r="C192" s="200" t="s">
        <v>119</v>
      </c>
      <c r="D192" s="201"/>
    </row>
    <row r="193" spans="1:4" ht="13.5" x14ac:dyDescent="0.25">
      <c r="A193" s="204">
        <v>64</v>
      </c>
      <c r="B193" s="194">
        <f t="shared" si="63"/>
        <v>0</v>
      </c>
      <c r="C193" s="200" t="s">
        <v>120</v>
      </c>
      <c r="D193" s="201"/>
    </row>
    <row r="194" spans="1:4" ht="13.5" x14ac:dyDescent="0.25">
      <c r="A194" s="204">
        <v>65</v>
      </c>
      <c r="B194" s="193"/>
      <c r="C194" s="200" t="s">
        <v>118</v>
      </c>
      <c r="D194" s="201"/>
    </row>
    <row r="195" spans="1:4" ht="13.5" x14ac:dyDescent="0.25">
      <c r="A195" s="204">
        <v>65</v>
      </c>
      <c r="B195" s="194">
        <f t="shared" ref="B195:B196" si="64">$B$194</f>
        <v>0</v>
      </c>
      <c r="C195" s="200" t="s">
        <v>119</v>
      </c>
      <c r="D195" s="201"/>
    </row>
    <row r="196" spans="1:4" ht="13.5" x14ac:dyDescent="0.25">
      <c r="A196" s="204">
        <v>65</v>
      </c>
      <c r="B196" s="194">
        <f t="shared" si="64"/>
        <v>0</v>
      </c>
      <c r="C196" s="200" t="s">
        <v>120</v>
      </c>
      <c r="D196" s="201"/>
    </row>
    <row r="197" spans="1:4" ht="13.5" x14ac:dyDescent="0.25">
      <c r="A197" s="204">
        <v>66</v>
      </c>
      <c r="B197" s="193"/>
      <c r="C197" s="200" t="s">
        <v>118</v>
      </c>
      <c r="D197" s="201"/>
    </row>
    <row r="198" spans="1:4" ht="13.5" x14ac:dyDescent="0.25">
      <c r="A198" s="204">
        <v>66</v>
      </c>
      <c r="B198" s="194">
        <f t="shared" ref="B198:B199" si="65">$B$197</f>
        <v>0</v>
      </c>
      <c r="C198" s="200" t="s">
        <v>119</v>
      </c>
      <c r="D198" s="201"/>
    </row>
    <row r="199" spans="1:4" ht="13.5" x14ac:dyDescent="0.25">
      <c r="A199" s="204">
        <v>66</v>
      </c>
      <c r="B199" s="194">
        <f t="shared" si="65"/>
        <v>0</v>
      </c>
      <c r="C199" s="200" t="s">
        <v>120</v>
      </c>
      <c r="D199" s="201"/>
    </row>
    <row r="200" spans="1:4" ht="13.5" x14ac:dyDescent="0.25">
      <c r="A200" s="204">
        <v>67</v>
      </c>
      <c r="B200" s="193"/>
      <c r="C200" s="200" t="s">
        <v>118</v>
      </c>
      <c r="D200" s="201"/>
    </row>
    <row r="201" spans="1:4" ht="13.5" x14ac:dyDescent="0.25">
      <c r="A201" s="204">
        <v>67</v>
      </c>
      <c r="B201" s="194">
        <f t="shared" ref="B201:B202" si="66">$B$200</f>
        <v>0</v>
      </c>
      <c r="C201" s="200" t="s">
        <v>119</v>
      </c>
      <c r="D201" s="201"/>
    </row>
    <row r="202" spans="1:4" ht="13.5" x14ac:dyDescent="0.25">
      <c r="A202" s="204">
        <v>67</v>
      </c>
      <c r="B202" s="194">
        <f t="shared" si="66"/>
        <v>0</v>
      </c>
      <c r="C202" s="200" t="s">
        <v>120</v>
      </c>
      <c r="D202" s="201"/>
    </row>
    <row r="203" spans="1:4" ht="13.5" x14ac:dyDescent="0.25">
      <c r="A203" s="204">
        <v>68</v>
      </c>
      <c r="B203" s="193"/>
      <c r="C203" s="200" t="s">
        <v>118</v>
      </c>
      <c r="D203" s="201"/>
    </row>
    <row r="204" spans="1:4" ht="13.5" x14ac:dyDescent="0.25">
      <c r="A204" s="204">
        <v>68</v>
      </c>
      <c r="B204" s="194">
        <f t="shared" ref="B204:B205" si="67">$B$203</f>
        <v>0</v>
      </c>
      <c r="C204" s="200" t="s">
        <v>119</v>
      </c>
      <c r="D204" s="201"/>
    </row>
    <row r="205" spans="1:4" ht="13.5" x14ac:dyDescent="0.25">
      <c r="A205" s="204">
        <v>68</v>
      </c>
      <c r="B205" s="194">
        <f t="shared" si="67"/>
        <v>0</v>
      </c>
      <c r="C205" s="200" t="s">
        <v>120</v>
      </c>
      <c r="D205" s="201"/>
    </row>
    <row r="206" spans="1:4" ht="13.5" x14ac:dyDescent="0.25">
      <c r="A206" s="204">
        <v>69</v>
      </c>
      <c r="B206" s="193"/>
      <c r="C206" s="200" t="s">
        <v>118</v>
      </c>
      <c r="D206" s="201"/>
    </row>
    <row r="207" spans="1:4" ht="13.5" x14ac:dyDescent="0.25">
      <c r="A207" s="204">
        <v>69</v>
      </c>
      <c r="B207" s="194">
        <f t="shared" ref="B207:B208" si="68">$B$206</f>
        <v>0</v>
      </c>
      <c r="C207" s="200" t="s">
        <v>119</v>
      </c>
      <c r="D207" s="201"/>
    </row>
    <row r="208" spans="1:4" ht="13.5" x14ac:dyDescent="0.25">
      <c r="A208" s="204">
        <v>69</v>
      </c>
      <c r="B208" s="194">
        <f t="shared" si="68"/>
        <v>0</v>
      </c>
      <c r="C208" s="200" t="s">
        <v>120</v>
      </c>
      <c r="D208" s="201"/>
    </row>
    <row r="209" spans="1:4" ht="13.5" x14ac:dyDescent="0.25">
      <c r="A209" s="204">
        <v>70</v>
      </c>
      <c r="B209" s="193"/>
      <c r="C209" s="200" t="s">
        <v>118</v>
      </c>
      <c r="D209" s="201"/>
    </row>
    <row r="210" spans="1:4" ht="13.5" x14ac:dyDescent="0.25">
      <c r="A210" s="204">
        <v>70</v>
      </c>
      <c r="B210" s="194">
        <f t="shared" ref="B210:B211" si="69">$B$209</f>
        <v>0</v>
      </c>
      <c r="C210" s="200" t="s">
        <v>119</v>
      </c>
      <c r="D210" s="201"/>
    </row>
    <row r="211" spans="1:4" ht="13.5" x14ac:dyDescent="0.25">
      <c r="A211" s="204">
        <v>70</v>
      </c>
      <c r="B211" s="194">
        <f t="shared" si="69"/>
        <v>0</v>
      </c>
      <c r="C211" s="200" t="s">
        <v>120</v>
      </c>
      <c r="D211" s="201"/>
    </row>
    <row r="212" spans="1:4" ht="13.5" x14ac:dyDescent="0.25">
      <c r="A212" s="204">
        <v>71</v>
      </c>
      <c r="B212" s="193"/>
      <c r="C212" s="200" t="s">
        <v>118</v>
      </c>
      <c r="D212" s="201"/>
    </row>
    <row r="213" spans="1:4" ht="13.5" x14ac:dyDescent="0.25">
      <c r="A213" s="204">
        <v>71</v>
      </c>
      <c r="B213" s="194">
        <f t="shared" ref="B213:B214" si="70">$B$212</f>
        <v>0</v>
      </c>
      <c r="C213" s="200" t="s">
        <v>119</v>
      </c>
      <c r="D213" s="201"/>
    </row>
    <row r="214" spans="1:4" ht="13.5" x14ac:dyDescent="0.25">
      <c r="A214" s="204">
        <v>71</v>
      </c>
      <c r="B214" s="194">
        <f t="shared" si="70"/>
        <v>0</v>
      </c>
      <c r="C214" s="200" t="s">
        <v>120</v>
      </c>
      <c r="D214" s="201"/>
    </row>
    <row r="215" spans="1:4" ht="13.5" x14ac:dyDescent="0.25">
      <c r="A215" s="204">
        <v>72</v>
      </c>
      <c r="B215" s="193"/>
      <c r="C215" s="200" t="s">
        <v>118</v>
      </c>
      <c r="D215" s="201"/>
    </row>
    <row r="216" spans="1:4" ht="13.5" x14ac:dyDescent="0.25">
      <c r="A216" s="204">
        <v>72</v>
      </c>
      <c r="B216" s="194">
        <f t="shared" ref="B216:B217" si="71">$B$215</f>
        <v>0</v>
      </c>
      <c r="C216" s="200" t="s">
        <v>119</v>
      </c>
      <c r="D216" s="201"/>
    </row>
    <row r="217" spans="1:4" ht="13.5" x14ac:dyDescent="0.25">
      <c r="A217" s="204">
        <v>72</v>
      </c>
      <c r="B217" s="194">
        <f t="shared" si="71"/>
        <v>0</v>
      </c>
      <c r="C217" s="200" t="s">
        <v>120</v>
      </c>
      <c r="D217" s="201"/>
    </row>
    <row r="218" spans="1:4" ht="13.5" x14ac:dyDescent="0.25">
      <c r="A218" s="204">
        <v>73</v>
      </c>
      <c r="B218" s="193"/>
      <c r="C218" s="200" t="s">
        <v>118</v>
      </c>
      <c r="D218" s="201"/>
    </row>
    <row r="219" spans="1:4" ht="13.5" x14ac:dyDescent="0.25">
      <c r="A219" s="204">
        <v>73</v>
      </c>
      <c r="B219" s="194">
        <f t="shared" ref="B219:B220" si="72">$B$218</f>
        <v>0</v>
      </c>
      <c r="C219" s="200" t="s">
        <v>119</v>
      </c>
      <c r="D219" s="201"/>
    </row>
    <row r="220" spans="1:4" ht="13.5" x14ac:dyDescent="0.25">
      <c r="A220" s="204">
        <v>73</v>
      </c>
      <c r="B220" s="194">
        <f t="shared" si="72"/>
        <v>0</v>
      </c>
      <c r="C220" s="200" t="s">
        <v>120</v>
      </c>
      <c r="D220" s="201"/>
    </row>
    <row r="221" spans="1:4" ht="13.5" x14ac:dyDescent="0.25">
      <c r="A221" s="204">
        <v>74</v>
      </c>
      <c r="B221" s="193"/>
      <c r="C221" s="200" t="s">
        <v>118</v>
      </c>
      <c r="D221" s="201"/>
    </row>
    <row r="222" spans="1:4" ht="13.5" x14ac:dyDescent="0.25">
      <c r="A222" s="204">
        <v>74</v>
      </c>
      <c r="B222" s="194">
        <f t="shared" ref="B222:B223" si="73">$B$221</f>
        <v>0</v>
      </c>
      <c r="C222" s="200" t="s">
        <v>119</v>
      </c>
      <c r="D222" s="201"/>
    </row>
    <row r="223" spans="1:4" ht="13.5" x14ac:dyDescent="0.25">
      <c r="A223" s="204">
        <v>74</v>
      </c>
      <c r="B223" s="194">
        <f t="shared" si="73"/>
        <v>0</v>
      </c>
      <c r="C223" s="200" t="s">
        <v>120</v>
      </c>
      <c r="D223" s="201"/>
    </row>
    <row r="224" spans="1:4" ht="13.5" x14ac:dyDescent="0.25">
      <c r="A224" s="204">
        <v>75</v>
      </c>
      <c r="B224" s="193"/>
      <c r="C224" s="200" t="s">
        <v>118</v>
      </c>
      <c r="D224" s="201"/>
    </row>
    <row r="225" spans="1:4" ht="13.5" x14ac:dyDescent="0.25">
      <c r="A225" s="204">
        <v>75</v>
      </c>
      <c r="B225" s="194">
        <f t="shared" ref="B225:B226" si="74">$B$224</f>
        <v>0</v>
      </c>
      <c r="C225" s="200" t="s">
        <v>119</v>
      </c>
      <c r="D225" s="201"/>
    </row>
    <row r="226" spans="1:4" ht="13.5" x14ac:dyDescent="0.25">
      <c r="A226" s="204">
        <v>75</v>
      </c>
      <c r="B226" s="194">
        <f t="shared" si="74"/>
        <v>0</v>
      </c>
      <c r="C226" s="200" t="s">
        <v>120</v>
      </c>
      <c r="D226" s="201"/>
    </row>
    <row r="227" spans="1:4" ht="13.5" x14ac:dyDescent="0.25">
      <c r="A227" s="204">
        <v>76</v>
      </c>
      <c r="B227" s="193"/>
      <c r="C227" s="200" t="s">
        <v>118</v>
      </c>
      <c r="D227" s="201"/>
    </row>
    <row r="228" spans="1:4" ht="13.5" x14ac:dyDescent="0.25">
      <c r="A228" s="204">
        <v>76</v>
      </c>
      <c r="B228" s="194">
        <f t="shared" ref="B228:B229" si="75">$B$227</f>
        <v>0</v>
      </c>
      <c r="C228" s="200" t="s">
        <v>119</v>
      </c>
      <c r="D228" s="201"/>
    </row>
    <row r="229" spans="1:4" ht="13.5" x14ac:dyDescent="0.25">
      <c r="A229" s="204">
        <v>76</v>
      </c>
      <c r="B229" s="194">
        <f t="shared" si="75"/>
        <v>0</v>
      </c>
      <c r="C229" s="200" t="s">
        <v>120</v>
      </c>
      <c r="D229" s="201"/>
    </row>
    <row r="230" spans="1:4" ht="13.5" x14ac:dyDescent="0.25">
      <c r="A230" s="204">
        <v>77</v>
      </c>
      <c r="B230" s="193"/>
      <c r="C230" s="200" t="s">
        <v>118</v>
      </c>
      <c r="D230" s="201"/>
    </row>
    <row r="231" spans="1:4" ht="13.5" x14ac:dyDescent="0.25">
      <c r="A231" s="204">
        <v>77</v>
      </c>
      <c r="B231" s="194">
        <f t="shared" ref="B231:B232" si="76">$B$230</f>
        <v>0</v>
      </c>
      <c r="C231" s="200" t="s">
        <v>119</v>
      </c>
      <c r="D231" s="201"/>
    </row>
    <row r="232" spans="1:4" ht="13.5" x14ac:dyDescent="0.25">
      <c r="A232" s="204">
        <v>77</v>
      </c>
      <c r="B232" s="194">
        <f t="shared" si="76"/>
        <v>0</v>
      </c>
      <c r="C232" s="200" t="s">
        <v>120</v>
      </c>
      <c r="D232" s="201"/>
    </row>
    <row r="233" spans="1:4" ht="13.5" x14ac:dyDescent="0.25">
      <c r="A233" s="204">
        <v>78</v>
      </c>
      <c r="B233" s="193"/>
      <c r="C233" s="200" t="s">
        <v>118</v>
      </c>
      <c r="D233" s="201"/>
    </row>
    <row r="234" spans="1:4" ht="13.5" x14ac:dyDescent="0.25">
      <c r="A234" s="204">
        <v>78</v>
      </c>
      <c r="B234" s="194">
        <f t="shared" ref="B234:B235" si="77">$B$233</f>
        <v>0</v>
      </c>
      <c r="C234" s="200" t="s">
        <v>119</v>
      </c>
      <c r="D234" s="201"/>
    </row>
    <row r="235" spans="1:4" ht="13.5" x14ac:dyDescent="0.25">
      <c r="A235" s="204">
        <v>78</v>
      </c>
      <c r="B235" s="194">
        <f t="shared" si="77"/>
        <v>0</v>
      </c>
      <c r="C235" s="200" t="s">
        <v>120</v>
      </c>
      <c r="D235" s="201"/>
    </row>
    <row r="236" spans="1:4" ht="13.5" x14ac:dyDescent="0.25">
      <c r="A236" s="204">
        <v>79</v>
      </c>
      <c r="B236" s="193"/>
      <c r="C236" s="200" t="s">
        <v>118</v>
      </c>
      <c r="D236" s="201"/>
    </row>
    <row r="237" spans="1:4" ht="13.5" x14ac:dyDescent="0.25">
      <c r="A237" s="204">
        <v>79</v>
      </c>
      <c r="B237" s="194">
        <f t="shared" ref="B237:B238" si="78">$B$236</f>
        <v>0</v>
      </c>
      <c r="C237" s="200" t="s">
        <v>119</v>
      </c>
      <c r="D237" s="201"/>
    </row>
    <row r="238" spans="1:4" ht="13.5" x14ac:dyDescent="0.25">
      <c r="A238" s="204">
        <v>79</v>
      </c>
      <c r="B238" s="194">
        <f t="shared" si="78"/>
        <v>0</v>
      </c>
      <c r="C238" s="200" t="s">
        <v>120</v>
      </c>
      <c r="D238" s="201"/>
    </row>
    <row r="239" spans="1:4" ht="13.5" x14ac:dyDescent="0.25">
      <c r="A239" s="204">
        <v>80</v>
      </c>
      <c r="B239" s="193"/>
      <c r="C239" s="200" t="s">
        <v>118</v>
      </c>
      <c r="D239" s="201"/>
    </row>
    <row r="240" spans="1:4" ht="13.5" x14ac:dyDescent="0.25">
      <c r="A240" s="204">
        <v>80</v>
      </c>
      <c r="B240" s="194">
        <f t="shared" ref="B240:B241" si="79">$B$239</f>
        <v>0</v>
      </c>
      <c r="C240" s="200" t="s">
        <v>119</v>
      </c>
      <c r="D240" s="201"/>
    </row>
    <row r="241" spans="1:4" ht="13.5" x14ac:dyDescent="0.25">
      <c r="A241" s="204">
        <v>80</v>
      </c>
      <c r="B241" s="194">
        <f t="shared" si="79"/>
        <v>0</v>
      </c>
      <c r="C241" s="200" t="s">
        <v>120</v>
      </c>
      <c r="D241" s="201"/>
    </row>
    <row r="242" spans="1:4" ht="13.5" x14ac:dyDescent="0.25">
      <c r="A242" s="204">
        <v>81</v>
      </c>
      <c r="B242" s="193"/>
      <c r="C242" s="200" t="s">
        <v>118</v>
      </c>
      <c r="D242" s="201"/>
    </row>
    <row r="243" spans="1:4" ht="13.5" x14ac:dyDescent="0.25">
      <c r="A243" s="204">
        <v>81</v>
      </c>
      <c r="B243" s="194">
        <f t="shared" ref="B243:B244" si="80">$B$242</f>
        <v>0</v>
      </c>
      <c r="C243" s="200" t="s">
        <v>119</v>
      </c>
      <c r="D243" s="201"/>
    </row>
    <row r="244" spans="1:4" ht="13.5" x14ac:dyDescent="0.25">
      <c r="A244" s="204">
        <v>81</v>
      </c>
      <c r="B244" s="194">
        <f t="shared" si="80"/>
        <v>0</v>
      </c>
      <c r="C244" s="200" t="s">
        <v>120</v>
      </c>
      <c r="D244" s="201"/>
    </row>
    <row r="245" spans="1:4" ht="13.5" x14ac:dyDescent="0.25">
      <c r="A245" s="204">
        <v>82</v>
      </c>
      <c r="B245" s="193"/>
      <c r="C245" s="200" t="s">
        <v>118</v>
      </c>
      <c r="D245" s="201"/>
    </row>
    <row r="246" spans="1:4" ht="13.5" x14ac:dyDescent="0.25">
      <c r="A246" s="204">
        <v>82</v>
      </c>
      <c r="B246" s="194">
        <f t="shared" ref="B246:B247" si="81">$B$245</f>
        <v>0</v>
      </c>
      <c r="C246" s="200" t="s">
        <v>119</v>
      </c>
      <c r="D246" s="201"/>
    </row>
    <row r="247" spans="1:4" ht="13.5" x14ac:dyDescent="0.25">
      <c r="A247" s="204">
        <v>82</v>
      </c>
      <c r="B247" s="194">
        <f t="shared" si="81"/>
        <v>0</v>
      </c>
      <c r="C247" s="200" t="s">
        <v>120</v>
      </c>
      <c r="D247" s="201"/>
    </row>
    <row r="248" spans="1:4" ht="13.5" x14ac:dyDescent="0.25">
      <c r="A248" s="204">
        <v>83</v>
      </c>
      <c r="B248" s="193"/>
      <c r="C248" s="200" t="s">
        <v>118</v>
      </c>
      <c r="D248" s="201"/>
    </row>
    <row r="249" spans="1:4" ht="13.5" x14ac:dyDescent="0.25">
      <c r="A249" s="204">
        <v>83</v>
      </c>
      <c r="B249" s="194">
        <f t="shared" ref="B249:B250" si="82">$B$248</f>
        <v>0</v>
      </c>
      <c r="C249" s="200" t="s">
        <v>119</v>
      </c>
      <c r="D249" s="201"/>
    </row>
    <row r="250" spans="1:4" ht="13.5" x14ac:dyDescent="0.25">
      <c r="A250" s="204">
        <v>83</v>
      </c>
      <c r="B250" s="194">
        <f t="shared" si="82"/>
        <v>0</v>
      </c>
      <c r="C250" s="200" t="s">
        <v>120</v>
      </c>
      <c r="D250" s="201"/>
    </row>
    <row r="251" spans="1:4" ht="13.5" x14ac:dyDescent="0.25">
      <c r="A251" s="204">
        <v>84</v>
      </c>
      <c r="B251" s="193"/>
      <c r="C251" s="200" t="s">
        <v>118</v>
      </c>
      <c r="D251" s="201"/>
    </row>
    <row r="252" spans="1:4" ht="13.5" x14ac:dyDescent="0.25">
      <c r="A252" s="204">
        <v>84</v>
      </c>
      <c r="B252" s="194">
        <f t="shared" ref="B252:B253" si="83">$B$251</f>
        <v>0</v>
      </c>
      <c r="C252" s="200" t="s">
        <v>119</v>
      </c>
      <c r="D252" s="201"/>
    </row>
    <row r="253" spans="1:4" ht="13.5" x14ac:dyDescent="0.25">
      <c r="A253" s="204">
        <v>84</v>
      </c>
      <c r="B253" s="194">
        <f t="shared" si="83"/>
        <v>0</v>
      </c>
      <c r="C253" s="200" t="s">
        <v>120</v>
      </c>
      <c r="D253" s="201"/>
    </row>
    <row r="254" spans="1:4" ht="13.5" x14ac:dyDescent="0.25">
      <c r="A254" s="204">
        <v>85</v>
      </c>
      <c r="B254" s="193"/>
      <c r="C254" s="200" t="s">
        <v>118</v>
      </c>
      <c r="D254" s="201"/>
    </row>
    <row r="255" spans="1:4" ht="13.5" x14ac:dyDescent="0.25">
      <c r="A255" s="204">
        <v>85</v>
      </c>
      <c r="B255" s="194">
        <f t="shared" ref="B255:B256" si="84">$B$254</f>
        <v>0</v>
      </c>
      <c r="C255" s="200" t="s">
        <v>119</v>
      </c>
      <c r="D255" s="201"/>
    </row>
    <row r="256" spans="1:4" ht="13.5" x14ac:dyDescent="0.25">
      <c r="A256" s="204">
        <v>85</v>
      </c>
      <c r="B256" s="194">
        <f t="shared" si="84"/>
        <v>0</v>
      </c>
      <c r="C256" s="200" t="s">
        <v>120</v>
      </c>
      <c r="D256" s="201"/>
    </row>
    <row r="257" spans="1:4" ht="13.5" x14ac:dyDescent="0.25">
      <c r="A257" s="204">
        <v>86</v>
      </c>
      <c r="B257" s="193"/>
      <c r="C257" s="200" t="s">
        <v>118</v>
      </c>
      <c r="D257" s="201"/>
    </row>
    <row r="258" spans="1:4" ht="13.5" x14ac:dyDescent="0.25">
      <c r="A258" s="204">
        <v>86</v>
      </c>
      <c r="B258" s="194">
        <f t="shared" ref="B258:B259" si="85">$B$257</f>
        <v>0</v>
      </c>
      <c r="C258" s="200" t="s">
        <v>119</v>
      </c>
      <c r="D258" s="201"/>
    </row>
    <row r="259" spans="1:4" ht="13.5" x14ac:dyDescent="0.25">
      <c r="A259" s="204">
        <v>86</v>
      </c>
      <c r="B259" s="194">
        <f t="shared" si="85"/>
        <v>0</v>
      </c>
      <c r="C259" s="200" t="s">
        <v>120</v>
      </c>
      <c r="D259" s="201"/>
    </row>
    <row r="260" spans="1:4" ht="13.5" x14ac:dyDescent="0.25">
      <c r="A260" s="204">
        <v>87</v>
      </c>
      <c r="B260" s="193"/>
      <c r="C260" s="200" t="s">
        <v>118</v>
      </c>
      <c r="D260" s="201"/>
    </row>
    <row r="261" spans="1:4" ht="13.5" x14ac:dyDescent="0.25">
      <c r="A261" s="204">
        <v>87</v>
      </c>
      <c r="B261" s="194">
        <f t="shared" ref="B261:B262" si="86">$B$260</f>
        <v>0</v>
      </c>
      <c r="C261" s="200" t="s">
        <v>119</v>
      </c>
      <c r="D261" s="201"/>
    </row>
    <row r="262" spans="1:4" ht="13.5" x14ac:dyDescent="0.25">
      <c r="A262" s="204">
        <v>87</v>
      </c>
      <c r="B262" s="194">
        <f t="shared" si="86"/>
        <v>0</v>
      </c>
      <c r="C262" s="200" t="s">
        <v>120</v>
      </c>
      <c r="D262" s="201"/>
    </row>
    <row r="263" spans="1:4" ht="13.5" x14ac:dyDescent="0.25">
      <c r="A263" s="204">
        <v>88</v>
      </c>
      <c r="B263" s="193"/>
      <c r="C263" s="200" t="s">
        <v>118</v>
      </c>
      <c r="D263" s="201"/>
    </row>
    <row r="264" spans="1:4" ht="13.5" x14ac:dyDescent="0.25">
      <c r="A264" s="204">
        <v>88</v>
      </c>
      <c r="B264" s="194">
        <f t="shared" ref="B264:B265" si="87">$B$263</f>
        <v>0</v>
      </c>
      <c r="C264" s="200" t="s">
        <v>119</v>
      </c>
      <c r="D264" s="201"/>
    </row>
    <row r="265" spans="1:4" ht="13.5" x14ac:dyDescent="0.25">
      <c r="A265" s="204">
        <v>88</v>
      </c>
      <c r="B265" s="194">
        <f t="shared" si="87"/>
        <v>0</v>
      </c>
      <c r="C265" s="200" t="s">
        <v>120</v>
      </c>
      <c r="D265" s="201"/>
    </row>
    <row r="266" spans="1:4" ht="13.5" x14ac:dyDescent="0.25">
      <c r="A266" s="204">
        <v>89</v>
      </c>
      <c r="B266" s="193"/>
      <c r="C266" s="200" t="s">
        <v>118</v>
      </c>
      <c r="D266" s="201"/>
    </row>
    <row r="267" spans="1:4" ht="13.5" x14ac:dyDescent="0.25">
      <c r="A267" s="204">
        <v>89</v>
      </c>
      <c r="B267" s="194">
        <f t="shared" ref="B267:B268" si="88">$B$266</f>
        <v>0</v>
      </c>
      <c r="C267" s="200" t="s">
        <v>119</v>
      </c>
      <c r="D267" s="201"/>
    </row>
    <row r="268" spans="1:4" ht="13.5" x14ac:dyDescent="0.25">
      <c r="A268" s="204">
        <v>89</v>
      </c>
      <c r="B268" s="194">
        <f t="shared" si="88"/>
        <v>0</v>
      </c>
      <c r="C268" s="200" t="s">
        <v>120</v>
      </c>
      <c r="D268" s="201"/>
    </row>
    <row r="269" spans="1:4" ht="13.5" x14ac:dyDescent="0.25">
      <c r="A269" s="204">
        <v>90</v>
      </c>
      <c r="B269" s="193"/>
      <c r="C269" s="200" t="s">
        <v>118</v>
      </c>
      <c r="D269" s="201"/>
    </row>
    <row r="270" spans="1:4" ht="13.5" x14ac:dyDescent="0.25">
      <c r="A270" s="204">
        <v>90</v>
      </c>
      <c r="B270" s="194">
        <f t="shared" ref="B270:B271" si="89">$B$269</f>
        <v>0</v>
      </c>
      <c r="C270" s="200" t="s">
        <v>119</v>
      </c>
      <c r="D270" s="201"/>
    </row>
    <row r="271" spans="1:4" ht="13.5" x14ac:dyDescent="0.25">
      <c r="A271" s="204">
        <v>90</v>
      </c>
      <c r="B271" s="194">
        <f t="shared" si="89"/>
        <v>0</v>
      </c>
      <c r="C271" s="200" t="s">
        <v>120</v>
      </c>
      <c r="D271" s="201"/>
    </row>
    <row r="272" spans="1:4" ht="13.5" x14ac:dyDescent="0.25">
      <c r="A272" s="204">
        <v>91</v>
      </c>
      <c r="B272" s="193"/>
      <c r="C272" s="200" t="s">
        <v>118</v>
      </c>
      <c r="D272" s="201"/>
    </row>
    <row r="273" spans="1:4" ht="13.5" x14ac:dyDescent="0.25">
      <c r="A273" s="204">
        <v>91</v>
      </c>
      <c r="B273" s="194">
        <f t="shared" ref="B273:B274" si="90">$B$272</f>
        <v>0</v>
      </c>
      <c r="C273" s="200" t="s">
        <v>119</v>
      </c>
      <c r="D273" s="201"/>
    </row>
    <row r="274" spans="1:4" ht="13.5" x14ac:dyDescent="0.25">
      <c r="A274" s="204">
        <v>91</v>
      </c>
      <c r="B274" s="194">
        <f t="shared" si="90"/>
        <v>0</v>
      </c>
      <c r="C274" s="200" t="s">
        <v>120</v>
      </c>
      <c r="D274" s="201"/>
    </row>
    <row r="275" spans="1:4" ht="13.5" x14ac:dyDescent="0.25">
      <c r="A275" s="204">
        <v>92</v>
      </c>
      <c r="B275" s="193"/>
      <c r="C275" s="200" t="s">
        <v>118</v>
      </c>
      <c r="D275" s="201"/>
    </row>
    <row r="276" spans="1:4" ht="13.5" x14ac:dyDescent="0.25">
      <c r="A276" s="204">
        <v>92</v>
      </c>
      <c r="B276" s="194">
        <f t="shared" ref="B276:B277" si="91">$B$275</f>
        <v>0</v>
      </c>
      <c r="C276" s="200" t="s">
        <v>119</v>
      </c>
      <c r="D276" s="201"/>
    </row>
    <row r="277" spans="1:4" ht="13.5" x14ac:dyDescent="0.25">
      <c r="A277" s="204">
        <v>92</v>
      </c>
      <c r="B277" s="194">
        <f t="shared" si="91"/>
        <v>0</v>
      </c>
      <c r="C277" s="200" t="s">
        <v>120</v>
      </c>
      <c r="D277" s="201"/>
    </row>
    <row r="278" spans="1:4" ht="13.5" x14ac:dyDescent="0.25">
      <c r="A278" s="204">
        <v>93</v>
      </c>
      <c r="B278" s="193"/>
      <c r="C278" s="200" t="s">
        <v>118</v>
      </c>
      <c r="D278" s="201"/>
    </row>
    <row r="279" spans="1:4" ht="13.5" x14ac:dyDescent="0.25">
      <c r="A279" s="204">
        <v>93</v>
      </c>
      <c r="B279" s="194">
        <f t="shared" ref="B279:B280" si="92">$B$278</f>
        <v>0</v>
      </c>
      <c r="C279" s="200" t="s">
        <v>119</v>
      </c>
      <c r="D279" s="201"/>
    </row>
    <row r="280" spans="1:4" ht="13.5" x14ac:dyDescent="0.25">
      <c r="A280" s="204">
        <v>93</v>
      </c>
      <c r="B280" s="194">
        <f t="shared" si="92"/>
        <v>0</v>
      </c>
      <c r="C280" s="200" t="s">
        <v>120</v>
      </c>
      <c r="D280" s="201"/>
    </row>
    <row r="281" spans="1:4" ht="13.5" x14ac:dyDescent="0.25">
      <c r="A281" s="204">
        <v>94</v>
      </c>
      <c r="B281" s="193"/>
      <c r="C281" s="200" t="s">
        <v>118</v>
      </c>
      <c r="D281" s="201"/>
    </row>
    <row r="282" spans="1:4" ht="13.5" x14ac:dyDescent="0.25">
      <c r="A282" s="204">
        <v>94</v>
      </c>
      <c r="B282" s="194">
        <f t="shared" ref="B282:B283" si="93">$B$281</f>
        <v>0</v>
      </c>
      <c r="C282" s="200" t="s">
        <v>119</v>
      </c>
      <c r="D282" s="201"/>
    </row>
    <row r="283" spans="1:4" ht="13.5" x14ac:dyDescent="0.25">
      <c r="A283" s="204">
        <v>94</v>
      </c>
      <c r="B283" s="194">
        <f t="shared" si="93"/>
        <v>0</v>
      </c>
      <c r="C283" s="200" t="s">
        <v>120</v>
      </c>
      <c r="D283" s="201"/>
    </row>
    <row r="284" spans="1:4" ht="13.5" x14ac:dyDescent="0.25">
      <c r="A284" s="204">
        <v>95</v>
      </c>
      <c r="B284" s="193"/>
      <c r="C284" s="200" t="s">
        <v>118</v>
      </c>
      <c r="D284" s="201"/>
    </row>
    <row r="285" spans="1:4" ht="13.5" x14ac:dyDescent="0.25">
      <c r="A285" s="204">
        <v>95</v>
      </c>
      <c r="B285" s="194">
        <f t="shared" ref="B285:B286" si="94">$B$284</f>
        <v>0</v>
      </c>
      <c r="C285" s="200" t="s">
        <v>119</v>
      </c>
      <c r="D285" s="201"/>
    </row>
    <row r="286" spans="1:4" ht="13.5" x14ac:dyDescent="0.25">
      <c r="A286" s="204">
        <v>95</v>
      </c>
      <c r="B286" s="194">
        <f t="shared" si="94"/>
        <v>0</v>
      </c>
      <c r="C286" s="200" t="s">
        <v>120</v>
      </c>
      <c r="D286" s="201"/>
    </row>
    <row r="287" spans="1:4" ht="13.5" x14ac:dyDescent="0.25">
      <c r="A287" s="204">
        <v>96</v>
      </c>
      <c r="B287" s="193"/>
      <c r="C287" s="200" t="s">
        <v>118</v>
      </c>
      <c r="D287" s="201"/>
    </row>
    <row r="288" spans="1:4" ht="13.5" x14ac:dyDescent="0.25">
      <c r="A288" s="204">
        <v>96</v>
      </c>
      <c r="B288" s="194">
        <f t="shared" ref="B288:B289" si="95">$B$287</f>
        <v>0</v>
      </c>
      <c r="C288" s="200" t="s">
        <v>119</v>
      </c>
      <c r="D288" s="201"/>
    </row>
    <row r="289" spans="1:4" ht="13.5" x14ac:dyDescent="0.25">
      <c r="A289" s="204">
        <v>96</v>
      </c>
      <c r="B289" s="194">
        <f t="shared" si="95"/>
        <v>0</v>
      </c>
      <c r="C289" s="200" t="s">
        <v>120</v>
      </c>
      <c r="D289" s="201"/>
    </row>
    <row r="290" spans="1:4" ht="13.5" x14ac:dyDescent="0.25">
      <c r="A290" s="204">
        <v>97</v>
      </c>
      <c r="B290" s="193"/>
      <c r="C290" s="200" t="s">
        <v>118</v>
      </c>
      <c r="D290" s="201"/>
    </row>
    <row r="291" spans="1:4" ht="13.5" x14ac:dyDescent="0.25">
      <c r="A291" s="204">
        <v>97</v>
      </c>
      <c r="B291" s="194">
        <f t="shared" ref="B291:B292" si="96">$B$290</f>
        <v>0</v>
      </c>
      <c r="C291" s="200" t="s">
        <v>119</v>
      </c>
      <c r="D291" s="201"/>
    </row>
    <row r="292" spans="1:4" ht="13.5" x14ac:dyDescent="0.25">
      <c r="A292" s="204">
        <v>97</v>
      </c>
      <c r="B292" s="194">
        <f t="shared" si="96"/>
        <v>0</v>
      </c>
      <c r="C292" s="200" t="s">
        <v>120</v>
      </c>
      <c r="D292" s="201"/>
    </row>
    <row r="293" spans="1:4" ht="13.5" x14ac:dyDescent="0.25">
      <c r="A293" s="204">
        <v>98</v>
      </c>
      <c r="B293" s="193"/>
      <c r="C293" s="200" t="s">
        <v>118</v>
      </c>
      <c r="D293" s="201"/>
    </row>
    <row r="294" spans="1:4" ht="13.5" x14ac:dyDescent="0.25">
      <c r="A294" s="204">
        <v>98</v>
      </c>
      <c r="B294" s="194">
        <f t="shared" ref="B294:B295" si="97">$B$293</f>
        <v>0</v>
      </c>
      <c r="C294" s="200" t="s">
        <v>119</v>
      </c>
      <c r="D294" s="201"/>
    </row>
    <row r="295" spans="1:4" ht="13.5" x14ac:dyDescent="0.25">
      <c r="A295" s="204">
        <v>98</v>
      </c>
      <c r="B295" s="194">
        <f t="shared" si="97"/>
        <v>0</v>
      </c>
      <c r="C295" s="200" t="s">
        <v>120</v>
      </c>
      <c r="D295" s="201"/>
    </row>
    <row r="296" spans="1:4" ht="13.5" x14ac:dyDescent="0.25">
      <c r="A296" s="204">
        <v>99</v>
      </c>
      <c r="B296" s="193"/>
      <c r="C296" s="200" t="s">
        <v>118</v>
      </c>
      <c r="D296" s="201"/>
    </row>
    <row r="297" spans="1:4" ht="13.5" x14ac:dyDescent="0.25">
      <c r="A297" s="204">
        <v>99</v>
      </c>
      <c r="B297" s="194">
        <f t="shared" ref="B297:B298" si="98">$B$296</f>
        <v>0</v>
      </c>
      <c r="C297" s="200" t="s">
        <v>119</v>
      </c>
      <c r="D297" s="201"/>
    </row>
    <row r="298" spans="1:4" ht="13.5" x14ac:dyDescent="0.25">
      <c r="A298" s="204">
        <v>99</v>
      </c>
      <c r="B298" s="194">
        <f t="shared" si="98"/>
        <v>0</v>
      </c>
      <c r="C298" s="200" t="s">
        <v>120</v>
      </c>
      <c r="D298" s="201"/>
    </row>
    <row r="299" spans="1:4" ht="13.5" x14ac:dyDescent="0.25">
      <c r="A299" s="204">
        <v>100</v>
      </c>
      <c r="B299" s="193"/>
      <c r="C299" s="200" t="s">
        <v>118</v>
      </c>
      <c r="D299" s="201"/>
    </row>
    <row r="300" spans="1:4" ht="13.5" x14ac:dyDescent="0.25">
      <c r="A300" s="204">
        <v>100</v>
      </c>
      <c r="B300" s="194">
        <f t="shared" ref="B300:B301" si="99">$B$299</f>
        <v>0</v>
      </c>
      <c r="C300" s="200" t="s">
        <v>119</v>
      </c>
      <c r="D300" s="201"/>
    </row>
    <row r="301" spans="1:4" ht="13.5" x14ac:dyDescent="0.25">
      <c r="A301" s="204">
        <v>100</v>
      </c>
      <c r="B301" s="194">
        <f t="shared" si="99"/>
        <v>0</v>
      </c>
      <c r="C301" s="200" t="s">
        <v>120</v>
      </c>
      <c r="D301" s="201"/>
    </row>
    <row r="302" spans="1:4" ht="13.5" x14ac:dyDescent="0.25">
      <c r="A302" s="204">
        <v>101</v>
      </c>
      <c r="B302" s="193"/>
      <c r="C302" s="200" t="s">
        <v>118</v>
      </c>
      <c r="D302" s="201"/>
    </row>
    <row r="303" spans="1:4" ht="13.5" x14ac:dyDescent="0.25">
      <c r="A303" s="204">
        <v>101</v>
      </c>
      <c r="B303" s="194">
        <f t="shared" ref="B303:B304" si="100">$B$302</f>
        <v>0</v>
      </c>
      <c r="C303" s="200" t="s">
        <v>119</v>
      </c>
      <c r="D303" s="201"/>
    </row>
    <row r="304" spans="1:4" ht="13.5" x14ac:dyDescent="0.25">
      <c r="A304" s="204">
        <v>101</v>
      </c>
      <c r="B304" s="194">
        <f t="shared" si="100"/>
        <v>0</v>
      </c>
      <c r="C304" s="200" t="s">
        <v>120</v>
      </c>
      <c r="D304" s="201"/>
    </row>
    <row r="305" spans="1:4" ht="13.5" x14ac:dyDescent="0.25">
      <c r="A305" s="204">
        <v>102</v>
      </c>
      <c r="B305" s="193"/>
      <c r="C305" s="200" t="s">
        <v>118</v>
      </c>
      <c r="D305" s="201"/>
    </row>
    <row r="306" spans="1:4" ht="13.5" x14ac:dyDescent="0.25">
      <c r="A306" s="204">
        <v>102</v>
      </c>
      <c r="B306" s="194">
        <f t="shared" ref="B306:B307" si="101">$B$305</f>
        <v>0</v>
      </c>
      <c r="C306" s="200" t="s">
        <v>119</v>
      </c>
      <c r="D306" s="201"/>
    </row>
    <row r="307" spans="1:4" ht="13.5" x14ac:dyDescent="0.25">
      <c r="A307" s="204">
        <v>102</v>
      </c>
      <c r="B307" s="194">
        <f t="shared" si="101"/>
        <v>0</v>
      </c>
      <c r="C307" s="200" t="s">
        <v>120</v>
      </c>
      <c r="D307" s="201"/>
    </row>
    <row r="308" spans="1:4" ht="13.5" x14ac:dyDescent="0.25">
      <c r="A308" s="204">
        <v>103</v>
      </c>
      <c r="B308" s="193"/>
      <c r="C308" s="200" t="s">
        <v>118</v>
      </c>
      <c r="D308" s="201"/>
    </row>
    <row r="309" spans="1:4" ht="13.5" x14ac:dyDescent="0.25">
      <c r="A309" s="204">
        <v>103</v>
      </c>
      <c r="B309" s="194">
        <f t="shared" ref="B309:B310" si="102">$B$308</f>
        <v>0</v>
      </c>
      <c r="C309" s="200" t="s">
        <v>119</v>
      </c>
      <c r="D309" s="201"/>
    </row>
    <row r="310" spans="1:4" ht="13.5" x14ac:dyDescent="0.25">
      <c r="A310" s="204">
        <v>103</v>
      </c>
      <c r="B310" s="194">
        <f t="shared" si="102"/>
        <v>0</v>
      </c>
      <c r="C310" s="200" t="s">
        <v>120</v>
      </c>
      <c r="D310" s="201"/>
    </row>
    <row r="311" spans="1:4" ht="13.5" x14ac:dyDescent="0.25">
      <c r="A311" s="204">
        <v>104</v>
      </c>
      <c r="B311" s="193"/>
      <c r="C311" s="200" t="s">
        <v>118</v>
      </c>
      <c r="D311" s="201"/>
    </row>
    <row r="312" spans="1:4" ht="13.5" x14ac:dyDescent="0.25">
      <c r="A312" s="204">
        <v>104</v>
      </c>
      <c r="B312" s="194">
        <f t="shared" ref="B312:B313" si="103">$B$311</f>
        <v>0</v>
      </c>
      <c r="C312" s="200" t="s">
        <v>119</v>
      </c>
      <c r="D312" s="201"/>
    </row>
    <row r="313" spans="1:4" ht="13.5" x14ac:dyDescent="0.25">
      <c r="A313" s="204">
        <v>104</v>
      </c>
      <c r="B313" s="194">
        <f t="shared" si="103"/>
        <v>0</v>
      </c>
      <c r="C313" s="200" t="s">
        <v>120</v>
      </c>
      <c r="D313" s="201"/>
    </row>
    <row r="314" spans="1:4" ht="13.5" x14ac:dyDescent="0.25">
      <c r="A314" s="204">
        <v>105</v>
      </c>
      <c r="B314" s="193"/>
      <c r="C314" s="200" t="s">
        <v>118</v>
      </c>
      <c r="D314" s="201"/>
    </row>
    <row r="315" spans="1:4" ht="13.5" x14ac:dyDescent="0.25">
      <c r="A315" s="204">
        <v>105</v>
      </c>
      <c r="B315" s="194">
        <f t="shared" ref="B315:B316" si="104">$B$314</f>
        <v>0</v>
      </c>
      <c r="C315" s="200" t="s">
        <v>119</v>
      </c>
      <c r="D315" s="201"/>
    </row>
    <row r="316" spans="1:4" ht="13.5" x14ac:dyDescent="0.25">
      <c r="A316" s="204">
        <v>105</v>
      </c>
      <c r="B316" s="194">
        <f t="shared" si="104"/>
        <v>0</v>
      </c>
      <c r="C316" s="200" t="s">
        <v>120</v>
      </c>
      <c r="D316" s="201"/>
    </row>
    <row r="317" spans="1:4" ht="13.5" x14ac:dyDescent="0.25">
      <c r="A317" s="204">
        <v>106</v>
      </c>
      <c r="B317" s="193"/>
      <c r="C317" s="200" t="s">
        <v>118</v>
      </c>
      <c r="D317" s="201"/>
    </row>
    <row r="318" spans="1:4" ht="13.5" x14ac:dyDescent="0.25">
      <c r="A318" s="204">
        <v>106</v>
      </c>
      <c r="B318" s="194">
        <f t="shared" ref="B318:B319" si="105">$B$317</f>
        <v>0</v>
      </c>
      <c r="C318" s="200" t="s">
        <v>119</v>
      </c>
      <c r="D318" s="201"/>
    </row>
    <row r="319" spans="1:4" ht="13.5" x14ac:dyDescent="0.25">
      <c r="A319" s="204">
        <v>106</v>
      </c>
      <c r="B319" s="194">
        <f t="shared" si="105"/>
        <v>0</v>
      </c>
      <c r="C319" s="200" t="s">
        <v>120</v>
      </c>
      <c r="D319" s="201"/>
    </row>
    <row r="320" spans="1:4" ht="13.5" x14ac:dyDescent="0.25">
      <c r="A320" s="204">
        <v>107</v>
      </c>
      <c r="B320" s="193"/>
      <c r="C320" s="200" t="s">
        <v>118</v>
      </c>
      <c r="D320" s="201"/>
    </row>
    <row r="321" spans="1:4" ht="13.5" x14ac:dyDescent="0.25">
      <c r="A321" s="204">
        <v>107</v>
      </c>
      <c r="B321" s="194">
        <f t="shared" ref="B321:B322" si="106">$B$320</f>
        <v>0</v>
      </c>
      <c r="C321" s="200" t="s">
        <v>119</v>
      </c>
      <c r="D321" s="201"/>
    </row>
    <row r="322" spans="1:4" ht="13.5" x14ac:dyDescent="0.25">
      <c r="A322" s="204">
        <v>107</v>
      </c>
      <c r="B322" s="194">
        <f t="shared" si="106"/>
        <v>0</v>
      </c>
      <c r="C322" s="200" t="s">
        <v>120</v>
      </c>
      <c r="D322" s="201"/>
    </row>
    <row r="323" spans="1:4" ht="13.5" x14ac:dyDescent="0.25">
      <c r="A323" s="204">
        <v>108</v>
      </c>
      <c r="B323" s="193"/>
      <c r="C323" s="200" t="s">
        <v>118</v>
      </c>
      <c r="D323" s="201"/>
    </row>
    <row r="324" spans="1:4" ht="13.5" x14ac:dyDescent="0.25">
      <c r="A324" s="204">
        <v>108</v>
      </c>
      <c r="B324" s="194">
        <f t="shared" ref="B324:B325" si="107">$B$323</f>
        <v>0</v>
      </c>
      <c r="C324" s="200" t="s">
        <v>119</v>
      </c>
      <c r="D324" s="201"/>
    </row>
    <row r="325" spans="1:4" ht="13.5" x14ac:dyDescent="0.25">
      <c r="A325" s="204">
        <v>108</v>
      </c>
      <c r="B325" s="194">
        <f t="shared" si="107"/>
        <v>0</v>
      </c>
      <c r="C325" s="200" t="s">
        <v>120</v>
      </c>
      <c r="D325" s="201"/>
    </row>
    <row r="326" spans="1:4" ht="13.5" x14ac:dyDescent="0.25">
      <c r="A326" s="204">
        <v>109</v>
      </c>
      <c r="B326" s="193"/>
      <c r="C326" s="200" t="s">
        <v>118</v>
      </c>
      <c r="D326" s="201"/>
    </row>
    <row r="327" spans="1:4" ht="13.5" x14ac:dyDescent="0.25">
      <c r="A327" s="204">
        <v>109</v>
      </c>
      <c r="B327" s="194">
        <f t="shared" ref="B327:B328" si="108">$B$326</f>
        <v>0</v>
      </c>
      <c r="C327" s="200" t="s">
        <v>119</v>
      </c>
      <c r="D327" s="201"/>
    </row>
    <row r="328" spans="1:4" ht="13.5" x14ac:dyDescent="0.25">
      <c r="A328" s="204">
        <v>109</v>
      </c>
      <c r="B328" s="194">
        <f t="shared" si="108"/>
        <v>0</v>
      </c>
      <c r="C328" s="200" t="s">
        <v>120</v>
      </c>
      <c r="D328" s="201"/>
    </row>
    <row r="329" spans="1:4" ht="13.5" x14ac:dyDescent="0.25">
      <c r="A329" s="204">
        <v>110</v>
      </c>
      <c r="B329" s="193"/>
      <c r="C329" s="200" t="s">
        <v>118</v>
      </c>
      <c r="D329" s="201"/>
    </row>
    <row r="330" spans="1:4" ht="13.5" x14ac:dyDescent="0.25">
      <c r="A330" s="204">
        <v>110</v>
      </c>
      <c r="B330" s="194">
        <f t="shared" ref="B330:B331" si="109">$B$329</f>
        <v>0</v>
      </c>
      <c r="C330" s="200" t="s">
        <v>119</v>
      </c>
      <c r="D330" s="201"/>
    </row>
    <row r="331" spans="1:4" ht="13.5" x14ac:dyDescent="0.25">
      <c r="A331" s="204">
        <v>110</v>
      </c>
      <c r="B331" s="194">
        <f t="shared" si="109"/>
        <v>0</v>
      </c>
      <c r="C331" s="200" t="s">
        <v>120</v>
      </c>
      <c r="D331" s="201"/>
    </row>
    <row r="332" spans="1:4" ht="13.5" x14ac:dyDescent="0.25">
      <c r="A332" s="204">
        <v>111</v>
      </c>
      <c r="B332" s="193"/>
      <c r="C332" s="200" t="s">
        <v>118</v>
      </c>
      <c r="D332" s="201"/>
    </row>
    <row r="333" spans="1:4" ht="13.5" x14ac:dyDescent="0.25">
      <c r="A333" s="204">
        <v>111</v>
      </c>
      <c r="B333" s="194">
        <f t="shared" ref="B333:B334" si="110">$B$332</f>
        <v>0</v>
      </c>
      <c r="C333" s="200" t="s">
        <v>119</v>
      </c>
      <c r="D333" s="201"/>
    </row>
    <row r="334" spans="1:4" ht="13.5" x14ac:dyDescent="0.25">
      <c r="A334" s="204">
        <v>111</v>
      </c>
      <c r="B334" s="194">
        <f t="shared" si="110"/>
        <v>0</v>
      </c>
      <c r="C334" s="200" t="s">
        <v>120</v>
      </c>
      <c r="D334" s="201"/>
    </row>
    <row r="335" spans="1:4" ht="13.5" x14ac:dyDescent="0.25">
      <c r="A335" s="204">
        <v>112</v>
      </c>
      <c r="B335" s="193"/>
      <c r="C335" s="200" t="s">
        <v>118</v>
      </c>
      <c r="D335" s="201"/>
    </row>
    <row r="336" spans="1:4" ht="13.5" x14ac:dyDescent="0.25">
      <c r="A336" s="204">
        <v>112</v>
      </c>
      <c r="B336" s="194">
        <f t="shared" ref="B336:B337" si="111">$B$335</f>
        <v>0</v>
      </c>
      <c r="C336" s="200" t="s">
        <v>119</v>
      </c>
      <c r="D336" s="201"/>
    </row>
    <row r="337" spans="1:4" ht="13.5" x14ac:dyDescent="0.25">
      <c r="A337" s="204">
        <v>112</v>
      </c>
      <c r="B337" s="194">
        <f t="shared" si="111"/>
        <v>0</v>
      </c>
      <c r="C337" s="200" t="s">
        <v>120</v>
      </c>
      <c r="D337" s="201"/>
    </row>
    <row r="338" spans="1:4" ht="13.5" x14ac:dyDescent="0.25">
      <c r="A338" s="204">
        <v>113</v>
      </c>
      <c r="B338" s="193"/>
      <c r="C338" s="200" t="s">
        <v>118</v>
      </c>
      <c r="D338" s="201"/>
    </row>
    <row r="339" spans="1:4" ht="13.5" x14ac:dyDescent="0.25">
      <c r="A339" s="204">
        <v>113</v>
      </c>
      <c r="B339" s="194">
        <f t="shared" ref="B339:B340" si="112">$B$338</f>
        <v>0</v>
      </c>
      <c r="C339" s="200" t="s">
        <v>119</v>
      </c>
      <c r="D339" s="201"/>
    </row>
    <row r="340" spans="1:4" ht="13.5" x14ac:dyDescent="0.25">
      <c r="A340" s="204">
        <v>113</v>
      </c>
      <c r="B340" s="194">
        <f t="shared" si="112"/>
        <v>0</v>
      </c>
      <c r="C340" s="200" t="s">
        <v>120</v>
      </c>
      <c r="D340" s="201"/>
    </row>
    <row r="341" spans="1:4" ht="13.5" x14ac:dyDescent="0.25">
      <c r="A341" s="204">
        <v>114</v>
      </c>
      <c r="B341" s="193"/>
      <c r="C341" s="200" t="s">
        <v>118</v>
      </c>
      <c r="D341" s="201"/>
    </row>
    <row r="342" spans="1:4" ht="13.5" x14ac:dyDescent="0.25">
      <c r="A342" s="204">
        <v>114</v>
      </c>
      <c r="B342" s="194">
        <f t="shared" ref="B342:B343" si="113">$B$341</f>
        <v>0</v>
      </c>
      <c r="C342" s="200" t="s">
        <v>119</v>
      </c>
      <c r="D342" s="201"/>
    </row>
    <row r="343" spans="1:4" ht="13.5" x14ac:dyDescent="0.25">
      <c r="A343" s="204">
        <v>114</v>
      </c>
      <c r="B343" s="194">
        <f t="shared" si="113"/>
        <v>0</v>
      </c>
      <c r="C343" s="200" t="s">
        <v>120</v>
      </c>
      <c r="D343" s="201"/>
    </row>
    <row r="344" spans="1:4" ht="13.5" x14ac:dyDescent="0.25">
      <c r="A344" s="204">
        <v>115</v>
      </c>
      <c r="B344" s="193"/>
      <c r="C344" s="200" t="s">
        <v>118</v>
      </c>
      <c r="D344" s="201"/>
    </row>
    <row r="345" spans="1:4" ht="13.5" x14ac:dyDescent="0.25">
      <c r="A345" s="204">
        <v>115</v>
      </c>
      <c r="B345" s="194">
        <f t="shared" ref="B345:B346" si="114">$B$344</f>
        <v>0</v>
      </c>
      <c r="C345" s="200" t="s">
        <v>119</v>
      </c>
      <c r="D345" s="201"/>
    </row>
    <row r="346" spans="1:4" ht="13.5" x14ac:dyDescent="0.25">
      <c r="A346" s="204">
        <v>115</v>
      </c>
      <c r="B346" s="194">
        <f t="shared" si="114"/>
        <v>0</v>
      </c>
      <c r="C346" s="200" t="s">
        <v>120</v>
      </c>
      <c r="D346" s="201"/>
    </row>
    <row r="347" spans="1:4" ht="13.5" x14ac:dyDescent="0.25">
      <c r="A347" s="204">
        <v>116</v>
      </c>
      <c r="B347" s="193"/>
      <c r="C347" s="200" t="s">
        <v>118</v>
      </c>
      <c r="D347" s="201"/>
    </row>
    <row r="348" spans="1:4" ht="13.5" x14ac:dyDescent="0.25">
      <c r="A348" s="204">
        <v>116</v>
      </c>
      <c r="B348" s="194">
        <f t="shared" ref="B348:B349" si="115">$B$347</f>
        <v>0</v>
      </c>
      <c r="C348" s="200" t="s">
        <v>119</v>
      </c>
      <c r="D348" s="201"/>
    </row>
    <row r="349" spans="1:4" ht="13.5" x14ac:dyDescent="0.25">
      <c r="A349" s="204">
        <v>116</v>
      </c>
      <c r="B349" s="194">
        <f t="shared" si="115"/>
        <v>0</v>
      </c>
      <c r="C349" s="200" t="s">
        <v>120</v>
      </c>
      <c r="D349" s="201"/>
    </row>
    <row r="350" spans="1:4" ht="13.5" x14ac:dyDescent="0.25">
      <c r="A350" s="204">
        <v>117</v>
      </c>
      <c r="B350" s="193"/>
      <c r="C350" s="200" t="s">
        <v>118</v>
      </c>
      <c r="D350" s="201"/>
    </row>
    <row r="351" spans="1:4" ht="13.5" x14ac:dyDescent="0.25">
      <c r="A351" s="204">
        <v>117</v>
      </c>
      <c r="B351" s="194">
        <f t="shared" ref="B351:B352" si="116">$B$350</f>
        <v>0</v>
      </c>
      <c r="C351" s="200" t="s">
        <v>119</v>
      </c>
      <c r="D351" s="201"/>
    </row>
    <row r="352" spans="1:4" ht="13.5" x14ac:dyDescent="0.25">
      <c r="A352" s="204">
        <v>117</v>
      </c>
      <c r="B352" s="194">
        <f t="shared" si="116"/>
        <v>0</v>
      </c>
      <c r="C352" s="200" t="s">
        <v>120</v>
      </c>
      <c r="D352" s="201"/>
    </row>
    <row r="353" spans="1:4" ht="13.5" x14ac:dyDescent="0.25">
      <c r="A353" s="204">
        <v>118</v>
      </c>
      <c r="B353" s="193"/>
      <c r="C353" s="200" t="s">
        <v>118</v>
      </c>
      <c r="D353" s="201"/>
    </row>
    <row r="354" spans="1:4" ht="13.5" x14ac:dyDescent="0.25">
      <c r="A354" s="204">
        <v>118</v>
      </c>
      <c r="B354" s="194">
        <f t="shared" ref="B354:B355" si="117">$B$353</f>
        <v>0</v>
      </c>
      <c r="C354" s="200" t="s">
        <v>119</v>
      </c>
      <c r="D354" s="201"/>
    </row>
    <row r="355" spans="1:4" ht="13.5" x14ac:dyDescent="0.25">
      <c r="A355" s="204">
        <v>118</v>
      </c>
      <c r="B355" s="194">
        <f t="shared" si="117"/>
        <v>0</v>
      </c>
      <c r="C355" s="200" t="s">
        <v>120</v>
      </c>
      <c r="D355" s="201"/>
    </row>
    <row r="356" spans="1:4" ht="13.5" x14ac:dyDescent="0.25">
      <c r="A356" s="204">
        <v>119</v>
      </c>
      <c r="B356" s="193"/>
      <c r="C356" s="200" t="s">
        <v>118</v>
      </c>
      <c r="D356" s="201"/>
    </row>
    <row r="357" spans="1:4" ht="13.5" x14ac:dyDescent="0.25">
      <c r="A357" s="204">
        <v>119</v>
      </c>
      <c r="B357" s="194">
        <f t="shared" ref="B357:B358" si="118">$B$356</f>
        <v>0</v>
      </c>
      <c r="C357" s="200" t="s">
        <v>119</v>
      </c>
      <c r="D357" s="201"/>
    </row>
    <row r="358" spans="1:4" ht="13.5" x14ac:dyDescent="0.25">
      <c r="A358" s="204">
        <v>119</v>
      </c>
      <c r="B358" s="194">
        <f t="shared" si="118"/>
        <v>0</v>
      </c>
      <c r="C358" s="200" t="s">
        <v>120</v>
      </c>
      <c r="D358" s="201"/>
    </row>
    <row r="359" spans="1:4" ht="13.5" x14ac:dyDescent="0.25">
      <c r="A359" s="204">
        <v>120</v>
      </c>
      <c r="B359" s="193"/>
      <c r="C359" s="200" t="s">
        <v>118</v>
      </c>
      <c r="D359" s="201"/>
    </row>
    <row r="360" spans="1:4" ht="13.5" x14ac:dyDescent="0.25">
      <c r="A360" s="204">
        <v>120</v>
      </c>
      <c r="B360" s="194">
        <f t="shared" ref="B360:B361" si="119">$B$359</f>
        <v>0</v>
      </c>
      <c r="C360" s="200" t="s">
        <v>119</v>
      </c>
      <c r="D360" s="201"/>
    </row>
    <row r="361" spans="1:4" ht="13.5" x14ac:dyDescent="0.25">
      <c r="A361" s="204">
        <v>120</v>
      </c>
      <c r="B361" s="194">
        <f t="shared" si="119"/>
        <v>0</v>
      </c>
      <c r="C361" s="200" t="s">
        <v>120</v>
      </c>
      <c r="D361" s="201"/>
    </row>
    <row r="362" spans="1:4" ht="13.5" x14ac:dyDescent="0.25">
      <c r="A362" s="204">
        <v>121</v>
      </c>
      <c r="B362" s="193"/>
      <c r="C362" s="200" t="s">
        <v>118</v>
      </c>
      <c r="D362" s="201"/>
    </row>
    <row r="363" spans="1:4" ht="13.5" x14ac:dyDescent="0.25">
      <c r="A363" s="204">
        <v>121</v>
      </c>
      <c r="B363" s="194">
        <f t="shared" ref="B363:B364" si="120">$B$362</f>
        <v>0</v>
      </c>
      <c r="C363" s="200" t="s">
        <v>119</v>
      </c>
      <c r="D363" s="201"/>
    </row>
    <row r="364" spans="1:4" ht="13.5" x14ac:dyDescent="0.25">
      <c r="A364" s="204">
        <v>121</v>
      </c>
      <c r="B364" s="194">
        <f t="shared" si="120"/>
        <v>0</v>
      </c>
      <c r="C364" s="200" t="s">
        <v>120</v>
      </c>
      <c r="D364" s="201"/>
    </row>
    <row r="365" spans="1:4" ht="13.5" x14ac:dyDescent="0.25">
      <c r="A365" s="204">
        <v>122</v>
      </c>
      <c r="B365" s="193"/>
      <c r="C365" s="200" t="s">
        <v>118</v>
      </c>
      <c r="D365" s="201"/>
    </row>
    <row r="366" spans="1:4" ht="13.5" x14ac:dyDescent="0.25">
      <c r="A366" s="204">
        <v>122</v>
      </c>
      <c r="B366" s="194">
        <f t="shared" ref="B366:B367" si="121">$B$365</f>
        <v>0</v>
      </c>
      <c r="C366" s="200" t="s">
        <v>119</v>
      </c>
      <c r="D366" s="201"/>
    </row>
    <row r="367" spans="1:4" ht="13.5" x14ac:dyDescent="0.25">
      <c r="A367" s="204">
        <v>122</v>
      </c>
      <c r="B367" s="194">
        <f t="shared" si="121"/>
        <v>0</v>
      </c>
      <c r="C367" s="200" t="s">
        <v>120</v>
      </c>
      <c r="D367" s="201"/>
    </row>
    <row r="368" spans="1:4" ht="13.5" x14ac:dyDescent="0.25">
      <c r="A368" s="204">
        <v>123</v>
      </c>
      <c r="B368" s="193"/>
      <c r="C368" s="200" t="s">
        <v>118</v>
      </c>
      <c r="D368" s="201"/>
    </row>
    <row r="369" spans="1:4" ht="13.5" x14ac:dyDescent="0.25">
      <c r="A369" s="204">
        <v>123</v>
      </c>
      <c r="B369" s="194">
        <f t="shared" ref="B369:B370" si="122">$B$368</f>
        <v>0</v>
      </c>
      <c r="C369" s="200" t="s">
        <v>119</v>
      </c>
      <c r="D369" s="201"/>
    </row>
    <row r="370" spans="1:4" ht="13.5" x14ac:dyDescent="0.25">
      <c r="A370" s="204">
        <v>123</v>
      </c>
      <c r="B370" s="194">
        <f t="shared" si="122"/>
        <v>0</v>
      </c>
      <c r="C370" s="200" t="s">
        <v>120</v>
      </c>
      <c r="D370" s="201"/>
    </row>
    <row r="371" spans="1:4" ht="13.5" x14ac:dyDescent="0.25">
      <c r="A371" s="204">
        <v>124</v>
      </c>
      <c r="B371" s="193"/>
      <c r="C371" s="200" t="s">
        <v>118</v>
      </c>
      <c r="D371" s="201"/>
    </row>
    <row r="372" spans="1:4" ht="13.5" x14ac:dyDescent="0.25">
      <c r="A372" s="204">
        <v>124</v>
      </c>
      <c r="B372" s="194">
        <f t="shared" ref="B372:B373" si="123">$B$371</f>
        <v>0</v>
      </c>
      <c r="C372" s="200" t="s">
        <v>119</v>
      </c>
      <c r="D372" s="201"/>
    </row>
    <row r="373" spans="1:4" ht="13.5" x14ac:dyDescent="0.25">
      <c r="A373" s="204">
        <v>124</v>
      </c>
      <c r="B373" s="194">
        <f t="shared" si="123"/>
        <v>0</v>
      </c>
      <c r="C373" s="200" t="s">
        <v>120</v>
      </c>
      <c r="D373" s="201"/>
    </row>
    <row r="374" spans="1:4" ht="13.5" x14ac:dyDescent="0.25">
      <c r="A374" s="204">
        <v>125</v>
      </c>
      <c r="B374" s="193"/>
      <c r="C374" s="200" t="s">
        <v>118</v>
      </c>
      <c r="D374" s="201"/>
    </row>
    <row r="375" spans="1:4" ht="13.5" x14ac:dyDescent="0.25">
      <c r="A375" s="204">
        <v>125</v>
      </c>
      <c r="B375" s="194">
        <f t="shared" ref="B375:B376" si="124">$B$374</f>
        <v>0</v>
      </c>
      <c r="C375" s="200" t="s">
        <v>119</v>
      </c>
      <c r="D375" s="201"/>
    </row>
    <row r="376" spans="1:4" ht="13.5" x14ac:dyDescent="0.25">
      <c r="A376" s="204">
        <v>125</v>
      </c>
      <c r="B376" s="194">
        <f t="shared" si="124"/>
        <v>0</v>
      </c>
      <c r="C376" s="200" t="s">
        <v>120</v>
      </c>
      <c r="D376" s="201"/>
    </row>
    <row r="377" spans="1:4" ht="13.5" x14ac:dyDescent="0.25">
      <c r="A377" s="204">
        <v>126</v>
      </c>
      <c r="B377" s="193"/>
      <c r="C377" s="200" t="s">
        <v>118</v>
      </c>
      <c r="D377" s="201"/>
    </row>
    <row r="378" spans="1:4" ht="13.5" x14ac:dyDescent="0.25">
      <c r="A378" s="204">
        <v>126</v>
      </c>
      <c r="B378" s="194">
        <f t="shared" ref="B378:B379" si="125">$B$377</f>
        <v>0</v>
      </c>
      <c r="C378" s="200" t="s">
        <v>119</v>
      </c>
      <c r="D378" s="201"/>
    </row>
    <row r="379" spans="1:4" ht="13.5" x14ac:dyDescent="0.25">
      <c r="A379" s="204">
        <v>126</v>
      </c>
      <c r="B379" s="194">
        <f t="shared" si="125"/>
        <v>0</v>
      </c>
      <c r="C379" s="200" t="s">
        <v>120</v>
      </c>
      <c r="D379" s="201"/>
    </row>
    <row r="380" spans="1:4" ht="13.5" x14ac:dyDescent="0.25">
      <c r="A380" s="204">
        <v>127</v>
      </c>
      <c r="B380" s="193"/>
      <c r="C380" s="200" t="s">
        <v>118</v>
      </c>
      <c r="D380" s="201"/>
    </row>
    <row r="381" spans="1:4" ht="13.5" x14ac:dyDescent="0.25">
      <c r="A381" s="204">
        <v>127</v>
      </c>
      <c r="B381" s="194">
        <f t="shared" ref="B381:B382" si="126">$B$380</f>
        <v>0</v>
      </c>
      <c r="C381" s="200" t="s">
        <v>119</v>
      </c>
      <c r="D381" s="201"/>
    </row>
    <row r="382" spans="1:4" ht="13.5" x14ac:dyDescent="0.25">
      <c r="A382" s="204">
        <v>127</v>
      </c>
      <c r="B382" s="194">
        <f t="shared" si="126"/>
        <v>0</v>
      </c>
      <c r="C382" s="200" t="s">
        <v>120</v>
      </c>
      <c r="D382" s="201"/>
    </row>
    <row r="383" spans="1:4" ht="13.5" x14ac:dyDescent="0.25">
      <c r="A383" s="204">
        <v>128</v>
      </c>
      <c r="B383" s="193"/>
      <c r="C383" s="200" t="s">
        <v>118</v>
      </c>
      <c r="D383" s="201"/>
    </row>
    <row r="384" spans="1:4" ht="13.5" x14ac:dyDescent="0.25">
      <c r="A384" s="204">
        <v>128</v>
      </c>
      <c r="B384" s="194">
        <f t="shared" ref="B384:B385" si="127">$B$383</f>
        <v>0</v>
      </c>
      <c r="C384" s="200" t="s">
        <v>119</v>
      </c>
      <c r="D384" s="201"/>
    </row>
    <row r="385" spans="1:4" ht="13.5" x14ac:dyDescent="0.25">
      <c r="A385" s="204">
        <v>128</v>
      </c>
      <c r="B385" s="194">
        <f t="shared" si="127"/>
        <v>0</v>
      </c>
      <c r="C385" s="200" t="s">
        <v>120</v>
      </c>
      <c r="D385" s="201"/>
    </row>
    <row r="386" spans="1:4" ht="13.5" x14ac:dyDescent="0.25">
      <c r="A386" s="204">
        <v>129</v>
      </c>
      <c r="B386" s="193"/>
      <c r="C386" s="200" t="s">
        <v>118</v>
      </c>
      <c r="D386" s="201"/>
    </row>
    <row r="387" spans="1:4" ht="13.5" x14ac:dyDescent="0.25">
      <c r="A387" s="204">
        <v>129</v>
      </c>
      <c r="B387" s="194">
        <f t="shared" ref="B387:B388" si="128">$B$386</f>
        <v>0</v>
      </c>
      <c r="C387" s="200" t="s">
        <v>119</v>
      </c>
      <c r="D387" s="201"/>
    </row>
    <row r="388" spans="1:4" ht="13.5" x14ac:dyDescent="0.25">
      <c r="A388" s="204">
        <v>129</v>
      </c>
      <c r="B388" s="194">
        <f t="shared" si="128"/>
        <v>0</v>
      </c>
      <c r="C388" s="200" t="s">
        <v>120</v>
      </c>
      <c r="D388" s="201"/>
    </row>
    <row r="389" spans="1:4" ht="13.5" x14ac:dyDescent="0.25">
      <c r="A389" s="204">
        <v>130</v>
      </c>
      <c r="B389" s="193"/>
      <c r="C389" s="200" t="s">
        <v>118</v>
      </c>
      <c r="D389" s="201"/>
    </row>
    <row r="390" spans="1:4" ht="13.5" x14ac:dyDescent="0.25">
      <c r="A390" s="204">
        <v>130</v>
      </c>
      <c r="B390" s="194">
        <f t="shared" ref="B390:B391" si="129">$B$389</f>
        <v>0</v>
      </c>
      <c r="C390" s="200" t="s">
        <v>119</v>
      </c>
      <c r="D390" s="201"/>
    </row>
    <row r="391" spans="1:4" ht="13.5" x14ac:dyDescent="0.25">
      <c r="A391" s="204">
        <v>130</v>
      </c>
      <c r="B391" s="194">
        <f t="shared" si="129"/>
        <v>0</v>
      </c>
      <c r="C391" s="200" t="s">
        <v>120</v>
      </c>
      <c r="D391" s="201"/>
    </row>
    <row r="392" spans="1:4" ht="13.5" x14ac:dyDescent="0.25">
      <c r="A392" s="204">
        <v>131</v>
      </c>
      <c r="B392" s="193"/>
      <c r="C392" s="200" t="s">
        <v>118</v>
      </c>
      <c r="D392" s="201"/>
    </row>
    <row r="393" spans="1:4" ht="13.5" x14ac:dyDescent="0.25">
      <c r="A393" s="204">
        <v>131</v>
      </c>
      <c r="B393" s="194">
        <f t="shared" ref="B393:B394" si="130">$B$392</f>
        <v>0</v>
      </c>
      <c r="C393" s="200" t="s">
        <v>119</v>
      </c>
      <c r="D393" s="201"/>
    </row>
    <row r="394" spans="1:4" ht="13.5" x14ac:dyDescent="0.25">
      <c r="A394" s="204">
        <v>131</v>
      </c>
      <c r="B394" s="194">
        <f t="shared" si="130"/>
        <v>0</v>
      </c>
      <c r="C394" s="200" t="s">
        <v>120</v>
      </c>
      <c r="D394" s="201"/>
    </row>
    <row r="395" spans="1:4" ht="13.5" x14ac:dyDescent="0.25">
      <c r="A395" s="204">
        <v>132</v>
      </c>
      <c r="B395" s="193"/>
      <c r="C395" s="200" t="s">
        <v>118</v>
      </c>
      <c r="D395" s="201"/>
    </row>
    <row r="396" spans="1:4" ht="13.5" x14ac:dyDescent="0.25">
      <c r="A396" s="204">
        <v>132</v>
      </c>
      <c r="B396" s="194">
        <f t="shared" ref="B396:B397" si="131">$B$395</f>
        <v>0</v>
      </c>
      <c r="C396" s="200" t="s">
        <v>119</v>
      </c>
      <c r="D396" s="201"/>
    </row>
    <row r="397" spans="1:4" ht="13.5" x14ac:dyDescent="0.25">
      <c r="A397" s="204">
        <v>132</v>
      </c>
      <c r="B397" s="194">
        <f t="shared" si="131"/>
        <v>0</v>
      </c>
      <c r="C397" s="200" t="s">
        <v>120</v>
      </c>
      <c r="D397" s="201"/>
    </row>
    <row r="398" spans="1:4" ht="13.5" x14ac:dyDescent="0.25">
      <c r="A398" s="204">
        <v>133</v>
      </c>
      <c r="B398" s="193"/>
      <c r="C398" s="200" t="s">
        <v>118</v>
      </c>
      <c r="D398" s="201"/>
    </row>
    <row r="399" spans="1:4" ht="13.5" x14ac:dyDescent="0.25">
      <c r="A399" s="204">
        <v>133</v>
      </c>
      <c r="B399" s="194">
        <f t="shared" ref="B399:B400" si="132">$B$398</f>
        <v>0</v>
      </c>
      <c r="C399" s="200" t="s">
        <v>119</v>
      </c>
      <c r="D399" s="201"/>
    </row>
    <row r="400" spans="1:4" ht="13.5" x14ac:dyDescent="0.25">
      <c r="A400" s="204">
        <v>133</v>
      </c>
      <c r="B400" s="194">
        <f t="shared" si="132"/>
        <v>0</v>
      </c>
      <c r="C400" s="200" t="s">
        <v>120</v>
      </c>
      <c r="D400" s="201"/>
    </row>
    <row r="401" spans="1:4" ht="13.5" x14ac:dyDescent="0.25">
      <c r="A401" s="204">
        <v>134</v>
      </c>
      <c r="B401" s="193"/>
      <c r="C401" s="200" t="s">
        <v>118</v>
      </c>
      <c r="D401" s="201"/>
    </row>
    <row r="402" spans="1:4" ht="13.5" x14ac:dyDescent="0.25">
      <c r="A402" s="204">
        <v>134</v>
      </c>
      <c r="B402" s="194">
        <f t="shared" ref="B402:B403" si="133">$B$401</f>
        <v>0</v>
      </c>
      <c r="C402" s="200" t="s">
        <v>119</v>
      </c>
      <c r="D402" s="201"/>
    </row>
    <row r="403" spans="1:4" ht="13.5" x14ac:dyDescent="0.25">
      <c r="A403" s="204">
        <v>134</v>
      </c>
      <c r="B403" s="194">
        <f t="shared" si="133"/>
        <v>0</v>
      </c>
      <c r="C403" s="200" t="s">
        <v>120</v>
      </c>
      <c r="D403" s="201"/>
    </row>
    <row r="404" spans="1:4" ht="13.5" x14ac:dyDescent="0.25">
      <c r="A404" s="204">
        <v>135</v>
      </c>
      <c r="B404" s="193"/>
      <c r="C404" s="200" t="s">
        <v>118</v>
      </c>
      <c r="D404" s="201"/>
    </row>
    <row r="405" spans="1:4" ht="13.5" x14ac:dyDescent="0.25">
      <c r="A405" s="204">
        <v>135</v>
      </c>
      <c r="B405" s="194">
        <f t="shared" ref="B405:B406" si="134">$B$404</f>
        <v>0</v>
      </c>
      <c r="C405" s="200" t="s">
        <v>119</v>
      </c>
      <c r="D405" s="201"/>
    </row>
    <row r="406" spans="1:4" ht="13.5" x14ac:dyDescent="0.25">
      <c r="A406" s="204">
        <v>135</v>
      </c>
      <c r="B406" s="194">
        <f t="shared" si="134"/>
        <v>0</v>
      </c>
      <c r="C406" s="200" t="s">
        <v>120</v>
      </c>
      <c r="D406" s="201"/>
    </row>
    <row r="407" spans="1:4" ht="13.5" x14ac:dyDescent="0.25">
      <c r="A407" s="204">
        <v>136</v>
      </c>
      <c r="B407" s="193"/>
      <c r="C407" s="200" t="s">
        <v>118</v>
      </c>
      <c r="D407" s="201"/>
    </row>
    <row r="408" spans="1:4" ht="13.5" x14ac:dyDescent="0.25">
      <c r="A408" s="204">
        <v>136</v>
      </c>
      <c r="B408" s="194">
        <f t="shared" ref="B408:B409" si="135">$B$407</f>
        <v>0</v>
      </c>
      <c r="C408" s="200" t="s">
        <v>119</v>
      </c>
      <c r="D408" s="201"/>
    </row>
    <row r="409" spans="1:4" ht="13.5" x14ac:dyDescent="0.25">
      <c r="A409" s="204">
        <v>136</v>
      </c>
      <c r="B409" s="194">
        <f t="shared" si="135"/>
        <v>0</v>
      </c>
      <c r="C409" s="200" t="s">
        <v>120</v>
      </c>
      <c r="D409" s="201"/>
    </row>
    <row r="410" spans="1:4" ht="13.5" x14ac:dyDescent="0.25">
      <c r="A410" s="204">
        <v>137</v>
      </c>
      <c r="B410" s="193"/>
      <c r="C410" s="200" t="s">
        <v>118</v>
      </c>
      <c r="D410" s="201"/>
    </row>
    <row r="411" spans="1:4" ht="13.5" x14ac:dyDescent="0.25">
      <c r="A411" s="204">
        <v>137</v>
      </c>
      <c r="B411" s="194">
        <f t="shared" ref="B411:B412" si="136">$B$410</f>
        <v>0</v>
      </c>
      <c r="C411" s="200" t="s">
        <v>119</v>
      </c>
      <c r="D411" s="201"/>
    </row>
    <row r="412" spans="1:4" ht="13.5" x14ac:dyDescent="0.25">
      <c r="A412" s="204">
        <v>137</v>
      </c>
      <c r="B412" s="194">
        <f t="shared" si="136"/>
        <v>0</v>
      </c>
      <c r="C412" s="200" t="s">
        <v>120</v>
      </c>
      <c r="D412" s="201"/>
    </row>
    <row r="413" spans="1:4" ht="13.5" x14ac:dyDescent="0.25">
      <c r="A413" s="204">
        <v>138</v>
      </c>
      <c r="B413" s="193"/>
      <c r="C413" s="200" t="s">
        <v>118</v>
      </c>
      <c r="D413" s="201"/>
    </row>
    <row r="414" spans="1:4" ht="13.5" x14ac:dyDescent="0.25">
      <c r="A414" s="204">
        <v>138</v>
      </c>
      <c r="B414" s="194">
        <f t="shared" ref="B414:B415" si="137">$B$413</f>
        <v>0</v>
      </c>
      <c r="C414" s="200" t="s">
        <v>119</v>
      </c>
      <c r="D414" s="201"/>
    </row>
    <row r="415" spans="1:4" ht="13.5" x14ac:dyDescent="0.25">
      <c r="A415" s="204">
        <v>138</v>
      </c>
      <c r="B415" s="194">
        <f t="shared" si="137"/>
        <v>0</v>
      </c>
      <c r="C415" s="200" t="s">
        <v>120</v>
      </c>
      <c r="D415" s="201"/>
    </row>
    <row r="416" spans="1:4" ht="13.5" x14ac:dyDescent="0.25">
      <c r="A416" s="204">
        <v>139</v>
      </c>
      <c r="B416" s="193"/>
      <c r="C416" s="200" t="s">
        <v>118</v>
      </c>
      <c r="D416" s="201"/>
    </row>
    <row r="417" spans="1:4" ht="13.5" x14ac:dyDescent="0.25">
      <c r="A417" s="204">
        <v>139</v>
      </c>
      <c r="B417" s="194">
        <f t="shared" ref="B417:B418" si="138">$B$416</f>
        <v>0</v>
      </c>
      <c r="C417" s="200" t="s">
        <v>119</v>
      </c>
      <c r="D417" s="201"/>
    </row>
    <row r="418" spans="1:4" ht="13.5" x14ac:dyDescent="0.25">
      <c r="A418" s="204">
        <v>139</v>
      </c>
      <c r="B418" s="194">
        <f t="shared" si="138"/>
        <v>0</v>
      </c>
      <c r="C418" s="200" t="s">
        <v>120</v>
      </c>
      <c r="D418" s="201"/>
    </row>
    <row r="419" spans="1:4" ht="13.5" x14ac:dyDescent="0.25">
      <c r="A419" s="204">
        <v>140</v>
      </c>
      <c r="B419" s="193"/>
      <c r="C419" s="200" t="s">
        <v>118</v>
      </c>
      <c r="D419" s="201"/>
    </row>
    <row r="420" spans="1:4" ht="13.5" x14ac:dyDescent="0.25">
      <c r="A420" s="204">
        <v>140</v>
      </c>
      <c r="B420" s="194">
        <f t="shared" ref="B420:B421" si="139">$B$419</f>
        <v>0</v>
      </c>
      <c r="C420" s="200" t="s">
        <v>119</v>
      </c>
      <c r="D420" s="201"/>
    </row>
    <row r="421" spans="1:4" ht="13.5" x14ac:dyDescent="0.25">
      <c r="A421" s="204">
        <v>140</v>
      </c>
      <c r="B421" s="194">
        <f t="shared" si="139"/>
        <v>0</v>
      </c>
      <c r="C421" s="200" t="s">
        <v>120</v>
      </c>
      <c r="D421" s="201"/>
    </row>
    <row r="422" spans="1:4" ht="13.5" x14ac:dyDescent="0.25">
      <c r="A422" s="204">
        <v>141</v>
      </c>
      <c r="B422" s="193"/>
      <c r="C422" s="200" t="s">
        <v>118</v>
      </c>
      <c r="D422" s="201"/>
    </row>
    <row r="423" spans="1:4" ht="13.5" x14ac:dyDescent="0.25">
      <c r="A423" s="204">
        <v>141</v>
      </c>
      <c r="B423" s="194">
        <f t="shared" ref="B423:B424" si="140">$B$422</f>
        <v>0</v>
      </c>
      <c r="C423" s="200" t="s">
        <v>119</v>
      </c>
      <c r="D423" s="201"/>
    </row>
    <row r="424" spans="1:4" ht="13.5" x14ac:dyDescent="0.25">
      <c r="A424" s="204">
        <v>141</v>
      </c>
      <c r="B424" s="194">
        <f t="shared" si="140"/>
        <v>0</v>
      </c>
      <c r="C424" s="200" t="s">
        <v>120</v>
      </c>
      <c r="D424" s="201"/>
    </row>
    <row r="425" spans="1:4" ht="13.5" x14ac:dyDescent="0.25">
      <c r="A425" s="204">
        <v>142</v>
      </c>
      <c r="B425" s="193"/>
      <c r="C425" s="200" t="s">
        <v>118</v>
      </c>
      <c r="D425" s="201"/>
    </row>
    <row r="426" spans="1:4" ht="13.5" x14ac:dyDescent="0.25">
      <c r="A426" s="204">
        <v>142</v>
      </c>
      <c r="B426" s="194">
        <f t="shared" ref="B426:B427" si="141">$B$425</f>
        <v>0</v>
      </c>
      <c r="C426" s="200" t="s">
        <v>119</v>
      </c>
      <c r="D426" s="201"/>
    </row>
    <row r="427" spans="1:4" ht="13.5" x14ac:dyDescent="0.25">
      <c r="A427" s="204">
        <v>142</v>
      </c>
      <c r="B427" s="194">
        <f t="shared" si="141"/>
        <v>0</v>
      </c>
      <c r="C427" s="200" t="s">
        <v>120</v>
      </c>
      <c r="D427" s="201"/>
    </row>
    <row r="428" spans="1:4" ht="13.5" x14ac:dyDescent="0.25">
      <c r="A428" s="204">
        <v>143</v>
      </c>
      <c r="B428" s="193"/>
      <c r="C428" s="200" t="s">
        <v>118</v>
      </c>
      <c r="D428" s="201"/>
    </row>
    <row r="429" spans="1:4" ht="13.5" x14ac:dyDescent="0.25">
      <c r="A429" s="204">
        <v>143</v>
      </c>
      <c r="B429" s="194">
        <f t="shared" ref="B429:B430" si="142">$B$428</f>
        <v>0</v>
      </c>
      <c r="C429" s="200" t="s">
        <v>119</v>
      </c>
      <c r="D429" s="201"/>
    </row>
    <row r="430" spans="1:4" ht="13.5" x14ac:dyDescent="0.25">
      <c r="A430" s="204">
        <v>143</v>
      </c>
      <c r="B430" s="194">
        <f t="shared" si="142"/>
        <v>0</v>
      </c>
      <c r="C430" s="200" t="s">
        <v>120</v>
      </c>
      <c r="D430" s="201"/>
    </row>
    <row r="431" spans="1:4" ht="13.5" x14ac:dyDescent="0.25">
      <c r="A431" s="204">
        <v>144</v>
      </c>
      <c r="B431" s="193"/>
      <c r="C431" s="200" t="s">
        <v>118</v>
      </c>
      <c r="D431" s="201"/>
    </row>
    <row r="432" spans="1:4" ht="13.5" x14ac:dyDescent="0.25">
      <c r="A432" s="204">
        <v>144</v>
      </c>
      <c r="B432" s="194">
        <f t="shared" ref="B432:B433" si="143">$B$431</f>
        <v>0</v>
      </c>
      <c r="C432" s="200" t="s">
        <v>119</v>
      </c>
      <c r="D432" s="201"/>
    </row>
    <row r="433" spans="1:4" ht="13.5" x14ac:dyDescent="0.25">
      <c r="A433" s="204">
        <v>144</v>
      </c>
      <c r="B433" s="194">
        <f t="shared" si="143"/>
        <v>0</v>
      </c>
      <c r="C433" s="200" t="s">
        <v>120</v>
      </c>
      <c r="D433" s="201"/>
    </row>
    <row r="434" spans="1:4" ht="13.5" x14ac:dyDescent="0.25">
      <c r="A434" s="204">
        <v>145</v>
      </c>
      <c r="B434" s="193"/>
      <c r="C434" s="200" t="s">
        <v>118</v>
      </c>
      <c r="D434" s="201"/>
    </row>
    <row r="435" spans="1:4" ht="13.5" x14ac:dyDescent="0.25">
      <c r="A435" s="204">
        <v>145</v>
      </c>
      <c r="B435" s="194">
        <f t="shared" ref="B435:B436" si="144">$B$434</f>
        <v>0</v>
      </c>
      <c r="C435" s="200" t="s">
        <v>119</v>
      </c>
      <c r="D435" s="201"/>
    </row>
    <row r="436" spans="1:4" ht="13.5" x14ac:dyDescent="0.25">
      <c r="A436" s="204">
        <v>145</v>
      </c>
      <c r="B436" s="194">
        <f t="shared" si="144"/>
        <v>0</v>
      </c>
      <c r="C436" s="200" t="s">
        <v>120</v>
      </c>
      <c r="D436" s="201"/>
    </row>
    <row r="437" spans="1:4" ht="13.5" x14ac:dyDescent="0.25">
      <c r="A437" s="204">
        <v>146</v>
      </c>
      <c r="B437" s="193"/>
      <c r="C437" s="200" t="s">
        <v>118</v>
      </c>
      <c r="D437" s="201"/>
    </row>
    <row r="438" spans="1:4" ht="13.5" x14ac:dyDescent="0.25">
      <c r="A438" s="204">
        <v>146</v>
      </c>
      <c r="B438" s="194">
        <f t="shared" ref="B438:B439" si="145">$B$437</f>
        <v>0</v>
      </c>
      <c r="C438" s="200" t="s">
        <v>119</v>
      </c>
      <c r="D438" s="201"/>
    </row>
    <row r="439" spans="1:4" ht="13.5" x14ac:dyDescent="0.25">
      <c r="A439" s="204">
        <v>146</v>
      </c>
      <c r="B439" s="194">
        <f t="shared" si="145"/>
        <v>0</v>
      </c>
      <c r="C439" s="200" t="s">
        <v>120</v>
      </c>
      <c r="D439" s="201"/>
    </row>
    <row r="440" spans="1:4" ht="13.5" x14ac:dyDescent="0.25">
      <c r="A440" s="204">
        <v>147</v>
      </c>
      <c r="B440" s="193"/>
      <c r="C440" s="200" t="s">
        <v>118</v>
      </c>
      <c r="D440" s="201"/>
    </row>
    <row r="441" spans="1:4" ht="13.5" x14ac:dyDescent="0.25">
      <c r="A441" s="204">
        <v>147</v>
      </c>
      <c r="B441" s="194">
        <f t="shared" ref="B441:B442" si="146">$B$440</f>
        <v>0</v>
      </c>
      <c r="C441" s="200" t="s">
        <v>119</v>
      </c>
      <c r="D441" s="201"/>
    </row>
    <row r="442" spans="1:4" ht="13.5" x14ac:dyDescent="0.25">
      <c r="A442" s="204">
        <v>147</v>
      </c>
      <c r="B442" s="194">
        <f t="shared" si="146"/>
        <v>0</v>
      </c>
      <c r="C442" s="200" t="s">
        <v>120</v>
      </c>
      <c r="D442" s="201"/>
    </row>
    <row r="443" spans="1:4" ht="13.5" x14ac:dyDescent="0.25">
      <c r="A443" s="204">
        <v>148</v>
      </c>
      <c r="B443" s="193"/>
      <c r="C443" s="200" t="s">
        <v>118</v>
      </c>
      <c r="D443" s="201"/>
    </row>
    <row r="444" spans="1:4" ht="13.5" x14ac:dyDescent="0.25">
      <c r="A444" s="204">
        <v>148</v>
      </c>
      <c r="B444" s="194">
        <f t="shared" ref="B444:B445" si="147">$B$443</f>
        <v>0</v>
      </c>
      <c r="C444" s="200" t="s">
        <v>119</v>
      </c>
      <c r="D444" s="201"/>
    </row>
    <row r="445" spans="1:4" ht="13.5" x14ac:dyDescent="0.25">
      <c r="A445" s="204">
        <v>148</v>
      </c>
      <c r="B445" s="194">
        <f t="shared" si="147"/>
        <v>0</v>
      </c>
      <c r="C445" s="200" t="s">
        <v>120</v>
      </c>
      <c r="D445" s="201"/>
    </row>
    <row r="446" spans="1:4" ht="13.5" x14ac:dyDescent="0.25">
      <c r="A446" s="204">
        <v>149</v>
      </c>
      <c r="B446" s="193"/>
      <c r="C446" s="200" t="s">
        <v>118</v>
      </c>
      <c r="D446" s="201"/>
    </row>
    <row r="447" spans="1:4" ht="13.5" x14ac:dyDescent="0.25">
      <c r="A447" s="204">
        <v>149</v>
      </c>
      <c r="B447" s="194">
        <f t="shared" ref="B447:B448" si="148">$B$446</f>
        <v>0</v>
      </c>
      <c r="C447" s="200" t="s">
        <v>119</v>
      </c>
      <c r="D447" s="201"/>
    </row>
    <row r="448" spans="1:4" ht="13.5" x14ac:dyDescent="0.25">
      <c r="A448" s="204">
        <v>149</v>
      </c>
      <c r="B448" s="194">
        <f t="shared" si="148"/>
        <v>0</v>
      </c>
      <c r="C448" s="200" t="s">
        <v>120</v>
      </c>
      <c r="D448" s="201"/>
    </row>
    <row r="449" spans="1:4" ht="13.5" x14ac:dyDescent="0.25">
      <c r="A449" s="204">
        <v>150</v>
      </c>
      <c r="B449" s="193"/>
      <c r="C449" s="200" t="s">
        <v>118</v>
      </c>
      <c r="D449" s="201"/>
    </row>
    <row r="450" spans="1:4" ht="13.5" x14ac:dyDescent="0.25">
      <c r="A450" s="204">
        <v>150</v>
      </c>
      <c r="B450" s="194">
        <f t="shared" ref="B450:B451" si="149">$B$449</f>
        <v>0</v>
      </c>
      <c r="C450" s="200" t="s">
        <v>119</v>
      </c>
      <c r="D450" s="201"/>
    </row>
    <row r="451" spans="1:4" ht="13.5" x14ac:dyDescent="0.25">
      <c r="A451" s="204">
        <v>150</v>
      </c>
      <c r="B451" s="194">
        <f t="shared" si="149"/>
        <v>0</v>
      </c>
      <c r="C451" s="200" t="s">
        <v>120</v>
      </c>
      <c r="D451" s="201"/>
    </row>
    <row r="452" spans="1:4" ht="13.5" x14ac:dyDescent="0.25">
      <c r="A452" s="204">
        <v>151</v>
      </c>
      <c r="B452" s="193"/>
      <c r="C452" s="200" t="s">
        <v>118</v>
      </c>
      <c r="D452" s="201"/>
    </row>
    <row r="453" spans="1:4" ht="13.5" x14ac:dyDescent="0.25">
      <c r="A453" s="204">
        <v>151</v>
      </c>
      <c r="B453" s="194">
        <f t="shared" ref="B453:B454" si="150">$B$452</f>
        <v>0</v>
      </c>
      <c r="C453" s="200" t="s">
        <v>119</v>
      </c>
      <c r="D453" s="201"/>
    </row>
    <row r="454" spans="1:4" ht="13.5" x14ac:dyDescent="0.25">
      <c r="A454" s="204">
        <v>151</v>
      </c>
      <c r="B454" s="194">
        <f t="shared" si="150"/>
        <v>0</v>
      </c>
      <c r="C454" s="200" t="s">
        <v>120</v>
      </c>
      <c r="D454" s="201"/>
    </row>
    <row r="455" spans="1:4" ht="13.5" x14ac:dyDescent="0.25">
      <c r="A455" s="204">
        <v>152</v>
      </c>
      <c r="B455" s="193"/>
      <c r="C455" s="200" t="s">
        <v>118</v>
      </c>
      <c r="D455" s="201"/>
    </row>
    <row r="456" spans="1:4" ht="13.5" x14ac:dyDescent="0.25">
      <c r="A456" s="204">
        <v>152</v>
      </c>
      <c r="B456" s="194">
        <f t="shared" ref="B456:B457" si="151">$B$455</f>
        <v>0</v>
      </c>
      <c r="C456" s="200" t="s">
        <v>119</v>
      </c>
      <c r="D456" s="201"/>
    </row>
    <row r="457" spans="1:4" ht="13.5" x14ac:dyDescent="0.25">
      <c r="A457" s="204">
        <v>152</v>
      </c>
      <c r="B457" s="194">
        <f t="shared" si="151"/>
        <v>0</v>
      </c>
      <c r="C457" s="200" t="s">
        <v>120</v>
      </c>
      <c r="D457" s="201"/>
    </row>
    <row r="458" spans="1:4" ht="13.5" x14ac:dyDescent="0.25">
      <c r="A458" s="204">
        <v>153</v>
      </c>
      <c r="B458" s="193"/>
      <c r="C458" s="200" t="s">
        <v>118</v>
      </c>
      <c r="D458" s="201"/>
    </row>
    <row r="459" spans="1:4" ht="13.5" x14ac:dyDescent="0.25">
      <c r="A459" s="204">
        <v>153</v>
      </c>
      <c r="B459" s="194">
        <f t="shared" ref="B459:B460" si="152">$B$458</f>
        <v>0</v>
      </c>
      <c r="C459" s="200" t="s">
        <v>119</v>
      </c>
      <c r="D459" s="201"/>
    </row>
    <row r="460" spans="1:4" ht="13.5" x14ac:dyDescent="0.25">
      <c r="A460" s="204">
        <v>153</v>
      </c>
      <c r="B460" s="194">
        <f t="shared" si="152"/>
        <v>0</v>
      </c>
      <c r="C460" s="200" t="s">
        <v>120</v>
      </c>
      <c r="D460" s="201"/>
    </row>
    <row r="461" spans="1:4" ht="13.5" x14ac:dyDescent="0.25">
      <c r="A461" s="204">
        <v>154</v>
      </c>
      <c r="B461" s="193"/>
      <c r="C461" s="200" t="s">
        <v>118</v>
      </c>
      <c r="D461" s="201"/>
    </row>
    <row r="462" spans="1:4" ht="13.5" x14ac:dyDescent="0.25">
      <c r="A462" s="204">
        <v>154</v>
      </c>
      <c r="B462" s="194">
        <f t="shared" ref="B462:B463" si="153">$B$461</f>
        <v>0</v>
      </c>
      <c r="C462" s="200" t="s">
        <v>119</v>
      </c>
      <c r="D462" s="201"/>
    </row>
    <row r="463" spans="1:4" ht="13.5" x14ac:dyDescent="0.25">
      <c r="A463" s="204">
        <v>154</v>
      </c>
      <c r="B463" s="194">
        <f t="shared" si="153"/>
        <v>0</v>
      </c>
      <c r="C463" s="200" t="s">
        <v>120</v>
      </c>
      <c r="D463" s="201"/>
    </row>
    <row r="464" spans="1:4" ht="13.5" x14ac:dyDescent="0.25">
      <c r="A464" s="204">
        <v>155</v>
      </c>
      <c r="B464" s="193"/>
      <c r="C464" s="200" t="s">
        <v>118</v>
      </c>
      <c r="D464" s="201"/>
    </row>
    <row r="465" spans="1:4" ht="13.5" x14ac:dyDescent="0.25">
      <c r="A465" s="204">
        <v>155</v>
      </c>
      <c r="B465" s="194">
        <f t="shared" ref="B465:B466" si="154">$B$464</f>
        <v>0</v>
      </c>
      <c r="C465" s="200" t="s">
        <v>119</v>
      </c>
      <c r="D465" s="201"/>
    </row>
    <row r="466" spans="1:4" ht="13.5" x14ac:dyDescent="0.25">
      <c r="A466" s="204">
        <v>155</v>
      </c>
      <c r="B466" s="194">
        <f t="shared" si="154"/>
        <v>0</v>
      </c>
      <c r="C466" s="200" t="s">
        <v>120</v>
      </c>
      <c r="D466" s="201"/>
    </row>
    <row r="467" spans="1:4" ht="13.5" x14ac:dyDescent="0.25">
      <c r="A467" s="204">
        <v>156</v>
      </c>
      <c r="B467" s="193"/>
      <c r="C467" s="200" t="s">
        <v>118</v>
      </c>
      <c r="D467" s="201"/>
    </row>
    <row r="468" spans="1:4" ht="13.5" x14ac:dyDescent="0.25">
      <c r="A468" s="204">
        <v>156</v>
      </c>
      <c r="B468" s="194">
        <f t="shared" ref="B468:B469" si="155">$B$467</f>
        <v>0</v>
      </c>
      <c r="C468" s="200" t="s">
        <v>119</v>
      </c>
      <c r="D468" s="201"/>
    </row>
    <row r="469" spans="1:4" ht="13.5" x14ac:dyDescent="0.25">
      <c r="A469" s="204">
        <v>156</v>
      </c>
      <c r="B469" s="194">
        <f t="shared" si="155"/>
        <v>0</v>
      </c>
      <c r="C469" s="200" t="s">
        <v>120</v>
      </c>
      <c r="D469" s="201"/>
    </row>
    <row r="470" spans="1:4" ht="13.5" x14ac:dyDescent="0.25">
      <c r="A470" s="204">
        <v>157</v>
      </c>
      <c r="B470" s="193"/>
      <c r="C470" s="200" t="s">
        <v>118</v>
      </c>
      <c r="D470" s="201"/>
    </row>
    <row r="471" spans="1:4" ht="13.5" x14ac:dyDescent="0.25">
      <c r="A471" s="204">
        <v>157</v>
      </c>
      <c r="B471" s="194">
        <f t="shared" ref="B471:B472" si="156">$B$470</f>
        <v>0</v>
      </c>
      <c r="C471" s="200" t="s">
        <v>119</v>
      </c>
      <c r="D471" s="201"/>
    </row>
    <row r="472" spans="1:4" ht="13.5" x14ac:dyDescent="0.25">
      <c r="A472" s="204">
        <v>157</v>
      </c>
      <c r="B472" s="194">
        <f t="shared" si="156"/>
        <v>0</v>
      </c>
      <c r="C472" s="200" t="s">
        <v>120</v>
      </c>
      <c r="D472" s="201"/>
    </row>
    <row r="473" spans="1:4" ht="13.5" x14ac:dyDescent="0.25">
      <c r="A473" s="204">
        <v>158</v>
      </c>
      <c r="B473" s="193"/>
      <c r="C473" s="200" t="s">
        <v>118</v>
      </c>
      <c r="D473" s="201"/>
    </row>
    <row r="474" spans="1:4" ht="13.5" x14ac:dyDescent="0.25">
      <c r="A474" s="204">
        <v>158</v>
      </c>
      <c r="B474" s="194">
        <f t="shared" ref="B474:B475" si="157">$B$473</f>
        <v>0</v>
      </c>
      <c r="C474" s="200" t="s">
        <v>119</v>
      </c>
      <c r="D474" s="201"/>
    </row>
    <row r="475" spans="1:4" ht="13.5" x14ac:dyDescent="0.25">
      <c r="A475" s="204">
        <v>158</v>
      </c>
      <c r="B475" s="194">
        <f t="shared" si="157"/>
        <v>0</v>
      </c>
      <c r="C475" s="200" t="s">
        <v>120</v>
      </c>
      <c r="D475" s="201"/>
    </row>
    <row r="476" spans="1:4" ht="13.5" x14ac:dyDescent="0.25">
      <c r="A476" s="204">
        <v>159</v>
      </c>
      <c r="B476" s="193"/>
      <c r="C476" s="200" t="s">
        <v>118</v>
      </c>
      <c r="D476" s="201"/>
    </row>
    <row r="477" spans="1:4" ht="13.5" x14ac:dyDescent="0.25">
      <c r="A477" s="204">
        <v>159</v>
      </c>
      <c r="B477" s="194">
        <f t="shared" ref="B477:B478" si="158">$B$476</f>
        <v>0</v>
      </c>
      <c r="C477" s="200" t="s">
        <v>119</v>
      </c>
      <c r="D477" s="201"/>
    </row>
    <row r="478" spans="1:4" ht="13.5" x14ac:dyDescent="0.25">
      <c r="A478" s="204">
        <v>159</v>
      </c>
      <c r="B478" s="194">
        <f t="shared" si="158"/>
        <v>0</v>
      </c>
      <c r="C478" s="200" t="s">
        <v>120</v>
      </c>
      <c r="D478" s="201"/>
    </row>
    <row r="479" spans="1:4" ht="13.5" x14ac:dyDescent="0.25">
      <c r="A479" s="204">
        <v>160</v>
      </c>
      <c r="B479" s="193"/>
      <c r="C479" s="200" t="s">
        <v>118</v>
      </c>
      <c r="D479" s="201"/>
    </row>
    <row r="480" spans="1:4" ht="13.5" x14ac:dyDescent="0.25">
      <c r="A480" s="204">
        <v>160</v>
      </c>
      <c r="B480" s="194">
        <f t="shared" ref="B480:B481" si="159">$B$479</f>
        <v>0</v>
      </c>
      <c r="C480" s="200" t="s">
        <v>119</v>
      </c>
      <c r="D480" s="201"/>
    </row>
    <row r="481" spans="1:4" ht="13.5" x14ac:dyDescent="0.25">
      <c r="A481" s="204">
        <v>160</v>
      </c>
      <c r="B481" s="194">
        <f t="shared" si="159"/>
        <v>0</v>
      </c>
      <c r="C481" s="200" t="s">
        <v>120</v>
      </c>
      <c r="D481" s="201"/>
    </row>
    <row r="482" spans="1:4" ht="13.5" x14ac:dyDescent="0.25">
      <c r="A482" s="204">
        <v>161</v>
      </c>
      <c r="B482" s="193"/>
      <c r="C482" s="200" t="s">
        <v>118</v>
      </c>
      <c r="D482" s="201"/>
    </row>
    <row r="483" spans="1:4" ht="13.5" x14ac:dyDescent="0.25">
      <c r="A483" s="204">
        <v>161</v>
      </c>
      <c r="B483" s="194">
        <f t="shared" ref="B483:B484" si="160">$B$482</f>
        <v>0</v>
      </c>
      <c r="C483" s="200" t="s">
        <v>119</v>
      </c>
      <c r="D483" s="201"/>
    </row>
    <row r="484" spans="1:4" ht="13.5" x14ac:dyDescent="0.25">
      <c r="A484" s="204">
        <v>161</v>
      </c>
      <c r="B484" s="194">
        <f t="shared" si="160"/>
        <v>0</v>
      </c>
      <c r="C484" s="200" t="s">
        <v>120</v>
      </c>
      <c r="D484" s="201"/>
    </row>
    <row r="485" spans="1:4" ht="13.5" x14ac:dyDescent="0.25">
      <c r="A485" s="204">
        <v>162</v>
      </c>
      <c r="B485" s="193"/>
      <c r="C485" s="200" t="s">
        <v>118</v>
      </c>
      <c r="D485" s="201"/>
    </row>
    <row r="486" spans="1:4" ht="13.5" x14ac:dyDescent="0.25">
      <c r="A486" s="204">
        <v>162</v>
      </c>
      <c r="B486" s="194">
        <f t="shared" ref="B486:B487" si="161">$B$485</f>
        <v>0</v>
      </c>
      <c r="C486" s="200" t="s">
        <v>119</v>
      </c>
      <c r="D486" s="201"/>
    </row>
    <row r="487" spans="1:4" ht="13.5" x14ac:dyDescent="0.25">
      <c r="A487" s="204">
        <v>162</v>
      </c>
      <c r="B487" s="194">
        <f t="shared" si="161"/>
        <v>0</v>
      </c>
      <c r="C487" s="200" t="s">
        <v>120</v>
      </c>
      <c r="D487" s="201"/>
    </row>
    <row r="488" spans="1:4" ht="13.5" x14ac:dyDescent="0.25">
      <c r="A488" s="204">
        <v>163</v>
      </c>
      <c r="B488" s="193"/>
      <c r="C488" s="200" t="s">
        <v>118</v>
      </c>
      <c r="D488" s="201"/>
    </row>
    <row r="489" spans="1:4" ht="13.5" x14ac:dyDescent="0.25">
      <c r="A489" s="204">
        <v>163</v>
      </c>
      <c r="B489" s="194">
        <f t="shared" ref="B489:B490" si="162">$B$488</f>
        <v>0</v>
      </c>
      <c r="C489" s="200" t="s">
        <v>119</v>
      </c>
      <c r="D489" s="201"/>
    </row>
    <row r="490" spans="1:4" ht="13.5" x14ac:dyDescent="0.25">
      <c r="A490" s="204">
        <v>163</v>
      </c>
      <c r="B490" s="194">
        <f t="shared" si="162"/>
        <v>0</v>
      </c>
      <c r="C490" s="200" t="s">
        <v>120</v>
      </c>
      <c r="D490" s="201"/>
    </row>
    <row r="491" spans="1:4" ht="13.5" x14ac:dyDescent="0.25">
      <c r="A491" s="204">
        <v>164</v>
      </c>
      <c r="B491" s="193"/>
      <c r="C491" s="200" t="s">
        <v>118</v>
      </c>
      <c r="D491" s="201"/>
    </row>
    <row r="492" spans="1:4" ht="13.5" x14ac:dyDescent="0.25">
      <c r="A492" s="204">
        <v>164</v>
      </c>
      <c r="B492" s="194">
        <f t="shared" ref="B492:B493" si="163">$B$491</f>
        <v>0</v>
      </c>
      <c r="C492" s="200" t="s">
        <v>119</v>
      </c>
      <c r="D492" s="201"/>
    </row>
    <row r="493" spans="1:4" ht="13.5" x14ac:dyDescent="0.25">
      <c r="A493" s="204">
        <v>164</v>
      </c>
      <c r="B493" s="194">
        <f t="shared" si="163"/>
        <v>0</v>
      </c>
      <c r="C493" s="200" t="s">
        <v>120</v>
      </c>
      <c r="D493" s="201"/>
    </row>
    <row r="494" spans="1:4" ht="13.5" x14ac:dyDescent="0.25">
      <c r="A494" s="204">
        <v>165</v>
      </c>
      <c r="B494" s="193"/>
      <c r="C494" s="200" t="s">
        <v>118</v>
      </c>
      <c r="D494" s="201"/>
    </row>
    <row r="495" spans="1:4" ht="13.5" x14ac:dyDescent="0.25">
      <c r="A495" s="204">
        <v>165</v>
      </c>
      <c r="B495" s="194">
        <f t="shared" ref="B495:B496" si="164">$B$494</f>
        <v>0</v>
      </c>
      <c r="C495" s="200" t="s">
        <v>119</v>
      </c>
      <c r="D495" s="201"/>
    </row>
    <row r="496" spans="1:4" ht="13.5" x14ac:dyDescent="0.25">
      <c r="A496" s="204">
        <v>165</v>
      </c>
      <c r="B496" s="194">
        <f t="shared" si="164"/>
        <v>0</v>
      </c>
      <c r="C496" s="200" t="s">
        <v>120</v>
      </c>
      <c r="D496" s="201"/>
    </row>
    <row r="497" spans="1:4" ht="13.5" x14ac:dyDescent="0.25">
      <c r="A497" s="204">
        <v>166</v>
      </c>
      <c r="B497" s="193"/>
      <c r="C497" s="200" t="s">
        <v>118</v>
      </c>
      <c r="D497" s="201"/>
    </row>
    <row r="498" spans="1:4" ht="13.5" x14ac:dyDescent="0.25">
      <c r="A498" s="204">
        <v>166</v>
      </c>
      <c r="B498" s="194">
        <f t="shared" ref="B498:B499" si="165">$B$497</f>
        <v>0</v>
      </c>
      <c r="C498" s="200" t="s">
        <v>119</v>
      </c>
      <c r="D498" s="201"/>
    </row>
    <row r="499" spans="1:4" ht="13.5" x14ac:dyDescent="0.25">
      <c r="A499" s="204">
        <v>166</v>
      </c>
      <c r="B499" s="194">
        <f t="shared" si="165"/>
        <v>0</v>
      </c>
      <c r="C499" s="200" t="s">
        <v>120</v>
      </c>
      <c r="D499" s="201"/>
    </row>
    <row r="500" spans="1:4" ht="13.5" x14ac:dyDescent="0.25">
      <c r="A500" s="204">
        <v>167</v>
      </c>
      <c r="B500" s="193"/>
      <c r="C500" s="200" t="s">
        <v>118</v>
      </c>
      <c r="D500" s="201"/>
    </row>
    <row r="501" spans="1:4" ht="13.5" x14ac:dyDescent="0.25">
      <c r="A501" s="204">
        <v>167</v>
      </c>
      <c r="B501" s="194">
        <f t="shared" ref="B501:B502" si="166">$B$500</f>
        <v>0</v>
      </c>
      <c r="C501" s="200" t="s">
        <v>119</v>
      </c>
      <c r="D501" s="201"/>
    </row>
    <row r="502" spans="1:4" ht="13.5" x14ac:dyDescent="0.25">
      <c r="A502" s="204">
        <v>167</v>
      </c>
      <c r="B502" s="194">
        <f t="shared" si="166"/>
        <v>0</v>
      </c>
      <c r="C502" s="200" t="s">
        <v>120</v>
      </c>
      <c r="D502" s="201"/>
    </row>
    <row r="503" spans="1:4" ht="13.5" x14ac:dyDescent="0.25">
      <c r="A503" s="204">
        <v>168</v>
      </c>
      <c r="B503" s="193"/>
      <c r="C503" s="200" t="s">
        <v>118</v>
      </c>
      <c r="D503" s="201"/>
    </row>
    <row r="504" spans="1:4" ht="13.5" x14ac:dyDescent="0.25">
      <c r="A504" s="204">
        <v>168</v>
      </c>
      <c r="B504" s="194">
        <f t="shared" ref="B504:B505" si="167">$B$503</f>
        <v>0</v>
      </c>
      <c r="C504" s="200" t="s">
        <v>119</v>
      </c>
      <c r="D504" s="201"/>
    </row>
    <row r="505" spans="1:4" ht="13.5" x14ac:dyDescent="0.25">
      <c r="A505" s="204">
        <v>168</v>
      </c>
      <c r="B505" s="194">
        <f t="shared" si="167"/>
        <v>0</v>
      </c>
      <c r="C505" s="200" t="s">
        <v>120</v>
      </c>
      <c r="D505" s="201"/>
    </row>
    <row r="506" spans="1:4" ht="13.5" x14ac:dyDescent="0.25">
      <c r="A506" s="204">
        <v>169</v>
      </c>
      <c r="B506" s="193"/>
      <c r="C506" s="200" t="s">
        <v>118</v>
      </c>
      <c r="D506" s="201"/>
    </row>
    <row r="507" spans="1:4" ht="13.5" x14ac:dyDescent="0.25">
      <c r="A507" s="204">
        <v>169</v>
      </c>
      <c r="B507" s="194">
        <f t="shared" ref="B507:B508" si="168">$B$506</f>
        <v>0</v>
      </c>
      <c r="C507" s="200" t="s">
        <v>119</v>
      </c>
      <c r="D507" s="201"/>
    </row>
    <row r="508" spans="1:4" ht="13.5" x14ac:dyDescent="0.25">
      <c r="A508" s="204">
        <v>169</v>
      </c>
      <c r="B508" s="194">
        <f t="shared" si="168"/>
        <v>0</v>
      </c>
      <c r="C508" s="200" t="s">
        <v>120</v>
      </c>
      <c r="D508" s="201"/>
    </row>
    <row r="509" spans="1:4" ht="13.5" x14ac:dyDescent="0.25">
      <c r="A509" s="204">
        <v>170</v>
      </c>
      <c r="B509" s="193"/>
      <c r="C509" s="200" t="s">
        <v>118</v>
      </c>
      <c r="D509" s="201"/>
    </row>
    <row r="510" spans="1:4" ht="13.5" x14ac:dyDescent="0.25">
      <c r="A510" s="204">
        <v>170</v>
      </c>
      <c r="B510" s="194">
        <f t="shared" ref="B510:B511" si="169">$B$509</f>
        <v>0</v>
      </c>
      <c r="C510" s="200" t="s">
        <v>119</v>
      </c>
      <c r="D510" s="201"/>
    </row>
    <row r="511" spans="1:4" ht="13.5" x14ac:dyDescent="0.25">
      <c r="A511" s="204">
        <v>170</v>
      </c>
      <c r="B511" s="194">
        <f t="shared" si="169"/>
        <v>0</v>
      </c>
      <c r="C511" s="200" t="s">
        <v>120</v>
      </c>
      <c r="D511" s="201"/>
    </row>
    <row r="512" spans="1:4" ht="13.5" x14ac:dyDescent="0.25">
      <c r="A512" s="204">
        <v>171</v>
      </c>
      <c r="B512" s="193"/>
      <c r="C512" s="200" t="s">
        <v>118</v>
      </c>
      <c r="D512" s="201"/>
    </row>
    <row r="513" spans="1:4" ht="13.5" x14ac:dyDescent="0.25">
      <c r="A513" s="204">
        <v>171</v>
      </c>
      <c r="B513" s="194">
        <f t="shared" ref="B513:B514" si="170">$B$512</f>
        <v>0</v>
      </c>
      <c r="C513" s="200" t="s">
        <v>119</v>
      </c>
      <c r="D513" s="201"/>
    </row>
    <row r="514" spans="1:4" ht="13.5" x14ac:dyDescent="0.25">
      <c r="A514" s="204">
        <v>171</v>
      </c>
      <c r="B514" s="194">
        <f t="shared" si="170"/>
        <v>0</v>
      </c>
      <c r="C514" s="200" t="s">
        <v>120</v>
      </c>
      <c r="D514" s="201"/>
    </row>
    <row r="515" spans="1:4" ht="13.5" x14ac:dyDescent="0.25">
      <c r="A515" s="204">
        <v>172</v>
      </c>
      <c r="B515" s="193"/>
      <c r="C515" s="200" t="s">
        <v>118</v>
      </c>
      <c r="D515" s="201"/>
    </row>
    <row r="516" spans="1:4" ht="13.5" x14ac:dyDescent="0.25">
      <c r="A516" s="204">
        <v>172</v>
      </c>
      <c r="B516" s="194">
        <f t="shared" ref="B516:B517" si="171">$B$515</f>
        <v>0</v>
      </c>
      <c r="C516" s="200" t="s">
        <v>119</v>
      </c>
      <c r="D516" s="201"/>
    </row>
    <row r="517" spans="1:4" ht="13.5" x14ac:dyDescent="0.25">
      <c r="A517" s="204">
        <v>172</v>
      </c>
      <c r="B517" s="194">
        <f t="shared" si="171"/>
        <v>0</v>
      </c>
      <c r="C517" s="200" t="s">
        <v>120</v>
      </c>
      <c r="D517" s="201"/>
    </row>
    <row r="518" spans="1:4" ht="13.5" x14ac:dyDescent="0.25">
      <c r="A518" s="204">
        <v>173</v>
      </c>
      <c r="B518" s="193"/>
      <c r="C518" s="200" t="s">
        <v>118</v>
      </c>
      <c r="D518" s="201"/>
    </row>
    <row r="519" spans="1:4" ht="13.5" x14ac:dyDescent="0.25">
      <c r="A519" s="204">
        <v>173</v>
      </c>
      <c r="B519" s="194">
        <f t="shared" ref="B519:B520" si="172">$B$518</f>
        <v>0</v>
      </c>
      <c r="C519" s="200" t="s">
        <v>119</v>
      </c>
      <c r="D519" s="201"/>
    </row>
    <row r="520" spans="1:4" ht="13.5" x14ac:dyDescent="0.25">
      <c r="A520" s="204">
        <v>173</v>
      </c>
      <c r="B520" s="194">
        <f t="shared" si="172"/>
        <v>0</v>
      </c>
      <c r="C520" s="200" t="s">
        <v>120</v>
      </c>
      <c r="D520" s="201"/>
    </row>
    <row r="521" spans="1:4" ht="13.5" x14ac:dyDescent="0.25">
      <c r="A521" s="204">
        <v>174</v>
      </c>
      <c r="B521" s="193"/>
      <c r="C521" s="200" t="s">
        <v>118</v>
      </c>
      <c r="D521" s="201"/>
    </row>
    <row r="522" spans="1:4" ht="13.5" x14ac:dyDescent="0.25">
      <c r="A522" s="204">
        <v>174</v>
      </c>
      <c r="B522" s="194">
        <f t="shared" ref="B522:B523" si="173">$B$521</f>
        <v>0</v>
      </c>
      <c r="C522" s="200" t="s">
        <v>119</v>
      </c>
      <c r="D522" s="201"/>
    </row>
    <row r="523" spans="1:4" ht="13.5" x14ac:dyDescent="0.25">
      <c r="A523" s="204">
        <v>174</v>
      </c>
      <c r="B523" s="194">
        <f t="shared" si="173"/>
        <v>0</v>
      </c>
      <c r="C523" s="200" t="s">
        <v>120</v>
      </c>
      <c r="D523" s="201"/>
    </row>
    <row r="524" spans="1:4" ht="13.5" x14ac:dyDescent="0.25">
      <c r="A524" s="204">
        <v>175</v>
      </c>
      <c r="B524" s="193"/>
      <c r="C524" s="200" t="s">
        <v>118</v>
      </c>
      <c r="D524" s="201"/>
    </row>
    <row r="525" spans="1:4" ht="13.5" x14ac:dyDescent="0.25">
      <c r="A525" s="204">
        <v>175</v>
      </c>
      <c r="B525" s="194">
        <f t="shared" ref="B525:B526" si="174">$B$524</f>
        <v>0</v>
      </c>
      <c r="C525" s="200" t="s">
        <v>119</v>
      </c>
      <c r="D525" s="201"/>
    </row>
    <row r="526" spans="1:4" ht="13.5" x14ac:dyDescent="0.25">
      <c r="A526" s="204">
        <v>175</v>
      </c>
      <c r="B526" s="194">
        <f t="shared" si="174"/>
        <v>0</v>
      </c>
      <c r="C526" s="200" t="s">
        <v>120</v>
      </c>
      <c r="D526" s="201"/>
    </row>
    <row r="527" spans="1:4" ht="13.5" x14ac:dyDescent="0.25">
      <c r="A527" s="204">
        <v>176</v>
      </c>
      <c r="B527" s="193"/>
      <c r="C527" s="200" t="s">
        <v>118</v>
      </c>
      <c r="D527" s="201"/>
    </row>
    <row r="528" spans="1:4" ht="13.5" x14ac:dyDescent="0.25">
      <c r="A528" s="204">
        <v>176</v>
      </c>
      <c r="B528" s="194">
        <f t="shared" ref="B528:B529" si="175">$B$527</f>
        <v>0</v>
      </c>
      <c r="C528" s="200" t="s">
        <v>119</v>
      </c>
      <c r="D528" s="201"/>
    </row>
    <row r="529" spans="1:4" ht="13.5" x14ac:dyDescent="0.25">
      <c r="A529" s="204">
        <v>176</v>
      </c>
      <c r="B529" s="194">
        <f t="shared" si="175"/>
        <v>0</v>
      </c>
      <c r="C529" s="200" t="s">
        <v>120</v>
      </c>
      <c r="D529" s="201"/>
    </row>
    <row r="530" spans="1:4" ht="13.5" x14ac:dyDescent="0.25">
      <c r="A530" s="204">
        <v>177</v>
      </c>
      <c r="B530" s="193"/>
      <c r="C530" s="200" t="s">
        <v>118</v>
      </c>
      <c r="D530" s="201"/>
    </row>
    <row r="531" spans="1:4" ht="13.5" x14ac:dyDescent="0.25">
      <c r="A531" s="204">
        <v>177</v>
      </c>
      <c r="B531" s="194">
        <f t="shared" ref="B531:B532" si="176">$B$530</f>
        <v>0</v>
      </c>
      <c r="C531" s="200" t="s">
        <v>119</v>
      </c>
      <c r="D531" s="201"/>
    </row>
    <row r="532" spans="1:4" ht="13.5" x14ac:dyDescent="0.25">
      <c r="A532" s="204">
        <v>177</v>
      </c>
      <c r="B532" s="194">
        <f t="shared" si="176"/>
        <v>0</v>
      </c>
      <c r="C532" s="200" t="s">
        <v>120</v>
      </c>
      <c r="D532" s="201"/>
    </row>
    <row r="533" spans="1:4" ht="13.5" x14ac:dyDescent="0.25">
      <c r="A533" s="204">
        <v>178</v>
      </c>
      <c r="B533" s="193"/>
      <c r="C533" s="200" t="s">
        <v>118</v>
      </c>
      <c r="D533" s="201"/>
    </row>
    <row r="534" spans="1:4" ht="13.5" x14ac:dyDescent="0.25">
      <c r="A534" s="204">
        <v>178</v>
      </c>
      <c r="B534" s="194">
        <f t="shared" ref="B534:B535" si="177">$B$533</f>
        <v>0</v>
      </c>
      <c r="C534" s="200" t="s">
        <v>119</v>
      </c>
      <c r="D534" s="201"/>
    </row>
    <row r="535" spans="1:4" ht="13.5" x14ac:dyDescent="0.25">
      <c r="A535" s="204">
        <v>178</v>
      </c>
      <c r="B535" s="194">
        <f t="shared" si="177"/>
        <v>0</v>
      </c>
      <c r="C535" s="200" t="s">
        <v>120</v>
      </c>
      <c r="D535" s="201"/>
    </row>
    <row r="536" spans="1:4" ht="13.5" x14ac:dyDescent="0.25">
      <c r="A536" s="204">
        <v>179</v>
      </c>
      <c r="B536" s="193"/>
      <c r="C536" s="200" t="s">
        <v>118</v>
      </c>
      <c r="D536" s="201"/>
    </row>
    <row r="537" spans="1:4" ht="13.5" x14ac:dyDescent="0.25">
      <c r="A537" s="204">
        <v>179</v>
      </c>
      <c r="B537" s="194">
        <f t="shared" ref="B537:B538" si="178">$B$536</f>
        <v>0</v>
      </c>
      <c r="C537" s="200" t="s">
        <v>119</v>
      </c>
      <c r="D537" s="201"/>
    </row>
    <row r="538" spans="1:4" ht="13.5" x14ac:dyDescent="0.25">
      <c r="A538" s="204">
        <v>179</v>
      </c>
      <c r="B538" s="194">
        <f t="shared" si="178"/>
        <v>0</v>
      </c>
      <c r="C538" s="200" t="s">
        <v>120</v>
      </c>
      <c r="D538" s="201"/>
    </row>
    <row r="539" spans="1:4" ht="13.5" x14ac:dyDescent="0.25">
      <c r="A539" s="204">
        <v>180</v>
      </c>
      <c r="B539" s="193"/>
      <c r="C539" s="200" t="s">
        <v>118</v>
      </c>
      <c r="D539" s="201"/>
    </row>
    <row r="540" spans="1:4" ht="13.5" x14ac:dyDescent="0.25">
      <c r="A540" s="204">
        <v>180</v>
      </c>
      <c r="B540" s="194">
        <f t="shared" ref="B540:B541" si="179">$B$539</f>
        <v>0</v>
      </c>
      <c r="C540" s="200" t="s">
        <v>119</v>
      </c>
      <c r="D540" s="201"/>
    </row>
    <row r="541" spans="1:4" ht="13.5" x14ac:dyDescent="0.25">
      <c r="A541" s="204">
        <v>180</v>
      </c>
      <c r="B541" s="194">
        <f t="shared" si="179"/>
        <v>0</v>
      </c>
      <c r="C541" s="200" t="s">
        <v>120</v>
      </c>
      <c r="D541" s="201"/>
    </row>
    <row r="542" spans="1:4" ht="13.5" x14ac:dyDescent="0.25">
      <c r="A542" s="204">
        <v>181</v>
      </c>
      <c r="B542" s="193"/>
      <c r="C542" s="200" t="s">
        <v>118</v>
      </c>
      <c r="D542" s="201"/>
    </row>
    <row r="543" spans="1:4" ht="13.5" x14ac:dyDescent="0.25">
      <c r="A543" s="204">
        <v>181</v>
      </c>
      <c r="B543" s="194">
        <f t="shared" ref="B543:B544" si="180">$B$542</f>
        <v>0</v>
      </c>
      <c r="C543" s="200" t="s">
        <v>119</v>
      </c>
      <c r="D543" s="201"/>
    </row>
    <row r="544" spans="1:4" ht="13.5" x14ac:dyDescent="0.25">
      <c r="A544" s="204">
        <v>181</v>
      </c>
      <c r="B544" s="194">
        <f t="shared" si="180"/>
        <v>0</v>
      </c>
      <c r="C544" s="200" t="s">
        <v>120</v>
      </c>
      <c r="D544" s="201"/>
    </row>
    <row r="545" spans="1:4" ht="13.5" x14ac:dyDescent="0.25">
      <c r="A545" s="204">
        <v>182</v>
      </c>
      <c r="B545" s="193"/>
      <c r="C545" s="200" t="s">
        <v>118</v>
      </c>
      <c r="D545" s="201"/>
    </row>
    <row r="546" spans="1:4" ht="13.5" x14ac:dyDescent="0.25">
      <c r="A546" s="204">
        <v>182</v>
      </c>
      <c r="B546" s="194">
        <f t="shared" ref="B546:B547" si="181">$B$545</f>
        <v>0</v>
      </c>
      <c r="C546" s="200" t="s">
        <v>119</v>
      </c>
      <c r="D546" s="201"/>
    </row>
    <row r="547" spans="1:4" ht="13.5" x14ac:dyDescent="0.25">
      <c r="A547" s="204">
        <v>182</v>
      </c>
      <c r="B547" s="194">
        <f t="shared" si="181"/>
        <v>0</v>
      </c>
      <c r="C547" s="200" t="s">
        <v>120</v>
      </c>
      <c r="D547" s="201"/>
    </row>
    <row r="548" spans="1:4" ht="13.5" x14ac:dyDescent="0.25">
      <c r="A548" s="204">
        <v>183</v>
      </c>
      <c r="B548" s="193"/>
      <c r="C548" s="200" t="s">
        <v>118</v>
      </c>
      <c r="D548" s="201"/>
    </row>
    <row r="549" spans="1:4" ht="13.5" x14ac:dyDescent="0.25">
      <c r="A549" s="204">
        <v>183</v>
      </c>
      <c r="B549" s="194">
        <f t="shared" ref="B549:B550" si="182">$B$548</f>
        <v>0</v>
      </c>
      <c r="C549" s="200" t="s">
        <v>119</v>
      </c>
      <c r="D549" s="201"/>
    </row>
    <row r="550" spans="1:4" ht="13.5" x14ac:dyDescent="0.25">
      <c r="A550" s="204">
        <v>183</v>
      </c>
      <c r="B550" s="194">
        <f t="shared" si="182"/>
        <v>0</v>
      </c>
      <c r="C550" s="200" t="s">
        <v>120</v>
      </c>
      <c r="D550" s="201"/>
    </row>
    <row r="551" spans="1:4" ht="13.5" x14ac:dyDescent="0.25">
      <c r="A551" s="204">
        <v>184</v>
      </c>
      <c r="B551" s="193"/>
      <c r="C551" s="200" t="s">
        <v>118</v>
      </c>
      <c r="D551" s="201"/>
    </row>
    <row r="552" spans="1:4" ht="13.5" x14ac:dyDescent="0.25">
      <c r="A552" s="204">
        <v>184</v>
      </c>
      <c r="B552" s="194">
        <f t="shared" ref="B552:B553" si="183">$B$551</f>
        <v>0</v>
      </c>
      <c r="C552" s="200" t="s">
        <v>119</v>
      </c>
      <c r="D552" s="201"/>
    </row>
    <row r="553" spans="1:4" ht="13.5" x14ac:dyDescent="0.25">
      <c r="A553" s="204">
        <v>184</v>
      </c>
      <c r="B553" s="194">
        <f t="shared" si="183"/>
        <v>0</v>
      </c>
      <c r="C553" s="200" t="s">
        <v>120</v>
      </c>
      <c r="D553" s="201"/>
    </row>
    <row r="554" spans="1:4" ht="13.5" x14ac:dyDescent="0.25">
      <c r="A554" s="204">
        <v>185</v>
      </c>
      <c r="B554" s="193"/>
      <c r="C554" s="200" t="s">
        <v>118</v>
      </c>
      <c r="D554" s="201"/>
    </row>
    <row r="555" spans="1:4" ht="13.5" x14ac:dyDescent="0.25">
      <c r="A555" s="204">
        <v>185</v>
      </c>
      <c r="B555" s="194">
        <f t="shared" ref="B555:B556" si="184">$B$554</f>
        <v>0</v>
      </c>
      <c r="C555" s="200" t="s">
        <v>119</v>
      </c>
      <c r="D555" s="201"/>
    </row>
    <row r="556" spans="1:4" ht="13.5" x14ac:dyDescent="0.25">
      <c r="A556" s="204">
        <v>185</v>
      </c>
      <c r="B556" s="194">
        <f t="shared" si="184"/>
        <v>0</v>
      </c>
      <c r="C556" s="200" t="s">
        <v>120</v>
      </c>
      <c r="D556" s="201"/>
    </row>
    <row r="557" spans="1:4" ht="13.5" x14ac:dyDescent="0.25">
      <c r="A557" s="204">
        <v>186</v>
      </c>
      <c r="B557" s="193"/>
      <c r="C557" s="200" t="s">
        <v>118</v>
      </c>
      <c r="D557" s="201"/>
    </row>
    <row r="558" spans="1:4" ht="13.5" x14ac:dyDescent="0.25">
      <c r="A558" s="204">
        <v>186</v>
      </c>
      <c r="B558" s="194">
        <f t="shared" ref="B558:B559" si="185">$B$557</f>
        <v>0</v>
      </c>
      <c r="C558" s="200" t="s">
        <v>119</v>
      </c>
      <c r="D558" s="201"/>
    </row>
    <row r="559" spans="1:4" ht="13.5" x14ac:dyDescent="0.25">
      <c r="A559" s="204">
        <v>186</v>
      </c>
      <c r="B559" s="194">
        <f t="shared" si="185"/>
        <v>0</v>
      </c>
      <c r="C559" s="200" t="s">
        <v>120</v>
      </c>
      <c r="D559" s="201"/>
    </row>
    <row r="560" spans="1:4" ht="13.5" x14ac:dyDescent="0.25">
      <c r="A560" s="204">
        <v>187</v>
      </c>
      <c r="B560" s="193"/>
      <c r="C560" s="200" t="s">
        <v>118</v>
      </c>
      <c r="D560" s="201"/>
    </row>
    <row r="561" spans="1:4" ht="13.5" x14ac:dyDescent="0.25">
      <c r="A561" s="204">
        <v>187</v>
      </c>
      <c r="B561" s="194">
        <f t="shared" ref="B561:B562" si="186">$B$560</f>
        <v>0</v>
      </c>
      <c r="C561" s="200" t="s">
        <v>119</v>
      </c>
      <c r="D561" s="201"/>
    </row>
    <row r="562" spans="1:4" ht="13.5" x14ac:dyDescent="0.25">
      <c r="A562" s="204">
        <v>187</v>
      </c>
      <c r="B562" s="194">
        <f t="shared" si="186"/>
        <v>0</v>
      </c>
      <c r="C562" s="200" t="s">
        <v>120</v>
      </c>
      <c r="D562" s="201"/>
    </row>
    <row r="563" spans="1:4" ht="13.5" x14ac:dyDescent="0.25">
      <c r="A563" s="204">
        <v>188</v>
      </c>
      <c r="B563" s="193"/>
      <c r="C563" s="200" t="s">
        <v>118</v>
      </c>
      <c r="D563" s="201"/>
    </row>
    <row r="564" spans="1:4" ht="13.5" x14ac:dyDescent="0.25">
      <c r="A564" s="204">
        <v>188</v>
      </c>
      <c r="B564" s="194">
        <f t="shared" ref="B564:B565" si="187">$B$563</f>
        <v>0</v>
      </c>
      <c r="C564" s="200" t="s">
        <v>119</v>
      </c>
      <c r="D564" s="201"/>
    </row>
    <row r="565" spans="1:4" ht="13.5" x14ac:dyDescent="0.25">
      <c r="A565" s="204">
        <v>188</v>
      </c>
      <c r="B565" s="194">
        <f t="shared" si="187"/>
        <v>0</v>
      </c>
      <c r="C565" s="200" t="s">
        <v>120</v>
      </c>
      <c r="D565" s="201"/>
    </row>
    <row r="566" spans="1:4" ht="13.5" x14ac:dyDescent="0.25">
      <c r="A566" s="204">
        <v>189</v>
      </c>
      <c r="B566" s="193"/>
      <c r="C566" s="200" t="s">
        <v>118</v>
      </c>
      <c r="D566" s="201"/>
    </row>
    <row r="567" spans="1:4" ht="13.5" x14ac:dyDescent="0.25">
      <c r="A567" s="204">
        <v>189</v>
      </c>
      <c r="B567" s="194">
        <f t="shared" ref="B567:B568" si="188">$B$566</f>
        <v>0</v>
      </c>
      <c r="C567" s="200" t="s">
        <v>119</v>
      </c>
      <c r="D567" s="201"/>
    </row>
    <row r="568" spans="1:4" ht="13.5" x14ac:dyDescent="0.25">
      <c r="A568" s="204">
        <v>189</v>
      </c>
      <c r="B568" s="194">
        <f t="shared" si="188"/>
        <v>0</v>
      </c>
      <c r="C568" s="200" t="s">
        <v>120</v>
      </c>
      <c r="D568" s="201"/>
    </row>
    <row r="569" spans="1:4" ht="13.5" x14ac:dyDescent="0.25">
      <c r="A569" s="204">
        <v>190</v>
      </c>
      <c r="B569" s="193"/>
      <c r="C569" s="200" t="s">
        <v>118</v>
      </c>
      <c r="D569" s="201"/>
    </row>
    <row r="570" spans="1:4" ht="13.5" x14ac:dyDescent="0.25">
      <c r="A570" s="204">
        <v>190</v>
      </c>
      <c r="B570" s="194">
        <f t="shared" ref="B570:B571" si="189">$B$569</f>
        <v>0</v>
      </c>
      <c r="C570" s="200" t="s">
        <v>119</v>
      </c>
      <c r="D570" s="201"/>
    </row>
    <row r="571" spans="1:4" ht="13.5" x14ac:dyDescent="0.25">
      <c r="A571" s="204">
        <v>190</v>
      </c>
      <c r="B571" s="194">
        <f t="shared" si="189"/>
        <v>0</v>
      </c>
      <c r="C571" s="200" t="s">
        <v>120</v>
      </c>
      <c r="D571" s="201"/>
    </row>
    <row r="572" spans="1:4" ht="13.5" x14ac:dyDescent="0.25">
      <c r="A572" s="204">
        <v>191</v>
      </c>
      <c r="B572" s="193"/>
      <c r="C572" s="200" t="s">
        <v>118</v>
      </c>
      <c r="D572" s="201"/>
    </row>
    <row r="573" spans="1:4" ht="13.5" x14ac:dyDescent="0.25">
      <c r="A573" s="204">
        <v>191</v>
      </c>
      <c r="B573" s="194">
        <f t="shared" ref="B573:B574" si="190">$B$572</f>
        <v>0</v>
      </c>
      <c r="C573" s="200" t="s">
        <v>119</v>
      </c>
      <c r="D573" s="201"/>
    </row>
    <row r="574" spans="1:4" ht="13.5" x14ac:dyDescent="0.25">
      <c r="A574" s="204">
        <v>191</v>
      </c>
      <c r="B574" s="194">
        <f t="shared" si="190"/>
        <v>0</v>
      </c>
      <c r="C574" s="200" t="s">
        <v>120</v>
      </c>
      <c r="D574" s="201"/>
    </row>
    <row r="575" spans="1:4" ht="13.5" x14ac:dyDescent="0.25">
      <c r="A575" s="204">
        <v>192</v>
      </c>
      <c r="B575" s="193"/>
      <c r="C575" s="200" t="s">
        <v>118</v>
      </c>
      <c r="D575" s="201"/>
    </row>
    <row r="576" spans="1:4" ht="13.5" x14ac:dyDescent="0.25">
      <c r="A576" s="204">
        <v>192</v>
      </c>
      <c r="B576" s="194">
        <f t="shared" ref="B576:B577" si="191">$B$575</f>
        <v>0</v>
      </c>
      <c r="C576" s="200" t="s">
        <v>119</v>
      </c>
      <c r="D576" s="201"/>
    </row>
    <row r="577" spans="1:4" ht="13.5" x14ac:dyDescent="0.25">
      <c r="A577" s="204">
        <v>192</v>
      </c>
      <c r="B577" s="194">
        <f t="shared" si="191"/>
        <v>0</v>
      </c>
      <c r="C577" s="200" t="s">
        <v>120</v>
      </c>
      <c r="D577" s="201"/>
    </row>
    <row r="578" spans="1:4" ht="13.5" x14ac:dyDescent="0.25">
      <c r="A578" s="204">
        <v>193</v>
      </c>
      <c r="B578" s="193"/>
      <c r="C578" s="200" t="s">
        <v>118</v>
      </c>
      <c r="D578" s="201"/>
    </row>
    <row r="579" spans="1:4" ht="13.5" x14ac:dyDescent="0.25">
      <c r="A579" s="204">
        <v>193</v>
      </c>
      <c r="B579" s="194">
        <f t="shared" ref="B579:B580" si="192">$B$578</f>
        <v>0</v>
      </c>
      <c r="C579" s="200" t="s">
        <v>119</v>
      </c>
      <c r="D579" s="201"/>
    </row>
    <row r="580" spans="1:4" ht="13.5" x14ac:dyDescent="0.25">
      <c r="A580" s="204">
        <v>193</v>
      </c>
      <c r="B580" s="194">
        <f t="shared" si="192"/>
        <v>0</v>
      </c>
      <c r="C580" s="200" t="s">
        <v>120</v>
      </c>
      <c r="D580" s="201"/>
    </row>
    <row r="581" spans="1:4" ht="13.5" x14ac:dyDescent="0.25">
      <c r="A581" s="204">
        <v>194</v>
      </c>
      <c r="B581" s="193"/>
      <c r="C581" s="200" t="s">
        <v>118</v>
      </c>
      <c r="D581" s="201"/>
    </row>
    <row r="582" spans="1:4" ht="13.5" x14ac:dyDescent="0.25">
      <c r="A582" s="204">
        <v>194</v>
      </c>
      <c r="B582" s="194">
        <f t="shared" ref="B582:B583" si="193">$B$581</f>
        <v>0</v>
      </c>
      <c r="C582" s="200" t="s">
        <v>119</v>
      </c>
      <c r="D582" s="201"/>
    </row>
    <row r="583" spans="1:4" ht="13.5" x14ac:dyDescent="0.25">
      <c r="A583" s="204">
        <v>194</v>
      </c>
      <c r="B583" s="194">
        <f t="shared" si="193"/>
        <v>0</v>
      </c>
      <c r="C583" s="200" t="s">
        <v>120</v>
      </c>
      <c r="D583" s="201"/>
    </row>
    <row r="584" spans="1:4" ht="13.5" x14ac:dyDescent="0.25">
      <c r="A584" s="204">
        <v>195</v>
      </c>
      <c r="B584" s="193"/>
      <c r="C584" s="200" t="s">
        <v>118</v>
      </c>
      <c r="D584" s="201"/>
    </row>
    <row r="585" spans="1:4" ht="13.5" x14ac:dyDescent="0.25">
      <c r="A585" s="204">
        <v>195</v>
      </c>
      <c r="B585" s="194">
        <f t="shared" ref="B585:B586" si="194">$B$584</f>
        <v>0</v>
      </c>
      <c r="C585" s="200" t="s">
        <v>119</v>
      </c>
      <c r="D585" s="201"/>
    </row>
    <row r="586" spans="1:4" ht="13.5" x14ac:dyDescent="0.25">
      <c r="A586" s="204">
        <v>195</v>
      </c>
      <c r="B586" s="194">
        <f t="shared" si="194"/>
        <v>0</v>
      </c>
      <c r="C586" s="200" t="s">
        <v>120</v>
      </c>
      <c r="D586" s="201"/>
    </row>
    <row r="587" spans="1:4" ht="13.5" x14ac:dyDescent="0.25">
      <c r="A587" s="204">
        <v>196</v>
      </c>
      <c r="B587" s="193"/>
      <c r="C587" s="200" t="s">
        <v>118</v>
      </c>
      <c r="D587" s="201"/>
    </row>
    <row r="588" spans="1:4" ht="13.5" x14ac:dyDescent="0.25">
      <c r="A588" s="204">
        <v>196</v>
      </c>
      <c r="B588" s="194">
        <f t="shared" ref="B588:B589" si="195">$B$587</f>
        <v>0</v>
      </c>
      <c r="C588" s="200" t="s">
        <v>119</v>
      </c>
      <c r="D588" s="201"/>
    </row>
    <row r="589" spans="1:4" ht="13.5" x14ac:dyDescent="0.25">
      <c r="A589" s="204">
        <v>196</v>
      </c>
      <c r="B589" s="194">
        <f t="shared" si="195"/>
        <v>0</v>
      </c>
      <c r="C589" s="200" t="s">
        <v>120</v>
      </c>
      <c r="D589" s="201"/>
    </row>
    <row r="590" spans="1:4" ht="13.5" x14ac:dyDescent="0.25">
      <c r="A590" s="204">
        <v>197</v>
      </c>
      <c r="B590" s="193"/>
      <c r="C590" s="200" t="s">
        <v>118</v>
      </c>
      <c r="D590" s="201"/>
    </row>
    <row r="591" spans="1:4" ht="13.5" x14ac:dyDescent="0.25">
      <c r="A591" s="204">
        <v>197</v>
      </c>
      <c r="B591" s="194">
        <f t="shared" ref="B591:B592" si="196">$B$590</f>
        <v>0</v>
      </c>
      <c r="C591" s="200" t="s">
        <v>119</v>
      </c>
      <c r="D591" s="201"/>
    </row>
    <row r="592" spans="1:4" ht="13.5" x14ac:dyDescent="0.25">
      <c r="A592" s="204">
        <v>197</v>
      </c>
      <c r="B592" s="194">
        <f t="shared" si="196"/>
        <v>0</v>
      </c>
      <c r="C592" s="200" t="s">
        <v>120</v>
      </c>
      <c r="D592" s="201"/>
    </row>
    <row r="593" spans="1:4" ht="13.5" x14ac:dyDescent="0.25">
      <c r="A593" s="204">
        <v>198</v>
      </c>
      <c r="B593" s="193"/>
      <c r="C593" s="200" t="s">
        <v>118</v>
      </c>
      <c r="D593" s="201"/>
    </row>
    <row r="594" spans="1:4" ht="13.5" x14ac:dyDescent="0.25">
      <c r="A594" s="204">
        <v>198</v>
      </c>
      <c r="B594" s="194">
        <f t="shared" ref="B594:B595" si="197">$B$593</f>
        <v>0</v>
      </c>
      <c r="C594" s="200" t="s">
        <v>119</v>
      </c>
      <c r="D594" s="201"/>
    </row>
    <row r="595" spans="1:4" ht="13.5" x14ac:dyDescent="0.25">
      <c r="A595" s="204">
        <v>198</v>
      </c>
      <c r="B595" s="194">
        <f t="shared" si="197"/>
        <v>0</v>
      </c>
      <c r="C595" s="200" t="s">
        <v>120</v>
      </c>
      <c r="D595" s="201"/>
    </row>
    <row r="596" spans="1:4" ht="13.5" x14ac:dyDescent="0.25">
      <c r="A596" s="204">
        <v>199</v>
      </c>
      <c r="B596" s="193"/>
      <c r="C596" s="200" t="s">
        <v>118</v>
      </c>
      <c r="D596" s="201"/>
    </row>
    <row r="597" spans="1:4" ht="13.5" x14ac:dyDescent="0.25">
      <c r="A597" s="204">
        <v>199</v>
      </c>
      <c r="B597" s="194">
        <f t="shared" ref="B597:B598" si="198">$B$596</f>
        <v>0</v>
      </c>
      <c r="C597" s="200" t="s">
        <v>119</v>
      </c>
      <c r="D597" s="201"/>
    </row>
    <row r="598" spans="1:4" ht="13.5" x14ac:dyDescent="0.25">
      <c r="A598" s="204">
        <v>199</v>
      </c>
      <c r="B598" s="194">
        <f t="shared" si="198"/>
        <v>0</v>
      </c>
      <c r="C598" s="200" t="s">
        <v>120</v>
      </c>
      <c r="D598" s="201"/>
    </row>
    <row r="599" spans="1:4" ht="13.5" x14ac:dyDescent="0.25">
      <c r="A599" s="204">
        <v>200</v>
      </c>
      <c r="B599" s="193"/>
      <c r="C599" s="200" t="s">
        <v>118</v>
      </c>
      <c r="D599" s="201"/>
    </row>
    <row r="600" spans="1:4" ht="13.5" x14ac:dyDescent="0.25">
      <c r="A600" s="204">
        <v>200</v>
      </c>
      <c r="B600" s="194">
        <f t="shared" ref="B600:B601" si="199">$B$599</f>
        <v>0</v>
      </c>
      <c r="C600" s="200" t="s">
        <v>119</v>
      </c>
      <c r="D600" s="201"/>
    </row>
    <row r="601" spans="1:4" ht="13.5" x14ac:dyDescent="0.25">
      <c r="A601" s="204">
        <v>200</v>
      </c>
      <c r="B601" s="194">
        <f t="shared" si="199"/>
        <v>0</v>
      </c>
      <c r="C601" s="200" t="s">
        <v>120</v>
      </c>
      <c r="D601" s="201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zoomScale="98" zoomScaleNormal="98" workbookViewId="0">
      <selection activeCell="N12" sqref="N12"/>
    </sheetView>
  </sheetViews>
  <sheetFormatPr defaultRowHeight="12.75" x14ac:dyDescent="0.2"/>
  <cols>
    <col min="1" max="1" width="7.875" style="10" customWidth="1"/>
    <col min="2" max="2" width="13.375" style="10" bestFit="1" customWidth="1"/>
    <col min="3" max="3" width="10.875" style="10" customWidth="1"/>
    <col min="4" max="4" width="14.375" style="10" customWidth="1"/>
    <col min="5" max="5" width="8.625" style="10" bestFit="1" customWidth="1"/>
    <col min="6" max="6" width="9" style="10" bestFit="1" customWidth="1"/>
    <col min="7" max="7" width="14.5" style="11" bestFit="1" customWidth="1"/>
    <col min="8" max="8" width="8.25" style="11" bestFit="1" customWidth="1"/>
    <col min="9" max="9" width="11.125" style="11" bestFit="1" customWidth="1"/>
    <col min="10" max="10" width="8" style="11" bestFit="1" customWidth="1"/>
    <col min="11" max="11" width="8.75" style="11" bestFit="1" customWidth="1"/>
    <col min="12" max="12" width="8.125" style="10" bestFit="1" customWidth="1"/>
    <col min="13" max="13" width="6.125" style="10" bestFit="1" customWidth="1"/>
    <col min="14" max="14" width="9.125" style="10" customWidth="1"/>
    <col min="15" max="15" width="11" style="10" bestFit="1" customWidth="1"/>
    <col min="16" max="16" width="13.375" style="10" bestFit="1" customWidth="1"/>
    <col min="17" max="18" width="11" style="10" bestFit="1" customWidth="1"/>
    <col min="19" max="19" width="14.75" style="10" bestFit="1" customWidth="1"/>
    <col min="20" max="24" width="11" style="10" bestFit="1" customWidth="1"/>
    <col min="25" max="25" width="11.5" style="10" bestFit="1" customWidth="1"/>
    <col min="26" max="26" width="13" style="10" bestFit="1" customWidth="1"/>
    <col min="27" max="27" width="13.25" style="10" customWidth="1"/>
    <col min="28" max="33" width="11" style="10" bestFit="1" customWidth="1"/>
    <col min="34" max="34" width="6.875" style="10" customWidth="1"/>
    <col min="35" max="35" width="7.875" style="10" customWidth="1"/>
    <col min="36" max="36" width="4.25" style="10" customWidth="1"/>
    <col min="37" max="38" width="4.125" style="10" customWidth="1"/>
    <col min="39" max="39" width="8.25" style="10" bestFit="1" customWidth="1"/>
    <col min="40" max="40" width="7.375" style="10" bestFit="1" customWidth="1"/>
    <col min="41" max="59" width="11" style="10" bestFit="1" customWidth="1"/>
    <col min="60" max="60" width="7.875" style="10" customWidth="1"/>
    <col min="61" max="61" width="8.5" style="10" customWidth="1"/>
    <col min="62" max="62" width="9.5" style="10" customWidth="1"/>
    <col min="63" max="63" width="13" style="10" customWidth="1"/>
    <col min="64" max="64" width="10.375" style="10" customWidth="1"/>
    <col min="65" max="65" width="9.375" style="10" customWidth="1"/>
    <col min="66" max="72" width="7" style="10" customWidth="1"/>
    <col min="73" max="16384" width="9" style="10"/>
  </cols>
  <sheetData>
    <row r="1" spans="1:14" x14ac:dyDescent="0.2">
      <c r="B1" s="215"/>
      <c r="C1" s="215"/>
      <c r="D1" s="11"/>
      <c r="E1" s="215"/>
      <c r="F1" s="215"/>
    </row>
    <row r="4" spans="1:14" x14ac:dyDescent="0.2">
      <c r="A4" s="218" t="s">
        <v>18</v>
      </c>
      <c r="B4" s="219"/>
      <c r="C4" s="219"/>
      <c r="D4" s="219"/>
      <c r="E4" s="219"/>
      <c r="F4" s="219"/>
      <c r="G4" s="219"/>
      <c r="H4" s="219"/>
      <c r="I4" s="219"/>
      <c r="J4" s="219"/>
      <c r="K4" s="220"/>
      <c r="L4" s="216"/>
      <c r="M4" s="217"/>
    </row>
    <row r="5" spans="1:14" x14ac:dyDescent="0.2">
      <c r="A5" s="13" t="s">
        <v>19</v>
      </c>
      <c r="B5" s="14" t="str">
        <f>CONCATENATE(" 1-",Resumo!B2)</f>
        <v xml:space="preserve"> 1-Thayna</v>
      </c>
      <c r="C5" s="14" t="str">
        <f>CONCATENATE(" 2-",Resumo!B9)</f>
        <v xml:space="preserve"> 2-Henrique</v>
      </c>
      <c r="D5" s="14" t="str">
        <f>CONCATENATE(" 3-",Resumo!B16)</f>
        <v xml:space="preserve"> 3-</v>
      </c>
      <c r="E5" s="14" t="str">
        <f>CONCATENATE(" 4-",Resumo!B23)</f>
        <v xml:space="preserve"> 4-Bianca</v>
      </c>
      <c r="F5" s="14" t="str">
        <f>CONCATENATE(" 5-",Resumo!B30)</f>
        <v xml:space="preserve"> 5-</v>
      </c>
      <c r="G5" s="14" t="str">
        <f>CONCATENATE(" 6-",Resumo!B37)</f>
        <v xml:space="preserve"> 6-Biagio</v>
      </c>
      <c r="H5" s="14" t="str">
        <f>CONCATENATE(" 7-",Resumo!B44)</f>
        <v xml:space="preserve"> 7-Cecilia</v>
      </c>
      <c r="I5" s="14" t="str">
        <f>CONCATENATE(" 8-",Resumo!B51)</f>
        <v xml:space="preserve"> 8-</v>
      </c>
      <c r="J5" s="14" t="str">
        <f>CONCATENATE(" 9-",Resumo!B58)</f>
        <v xml:space="preserve"> 9-Antunes</v>
      </c>
      <c r="K5" s="14" t="str">
        <f>CONCATENATE("10-",Resumo!B65)</f>
        <v>10-</v>
      </c>
      <c r="L5" s="14" t="s">
        <v>1</v>
      </c>
    </row>
    <row r="6" spans="1:14" x14ac:dyDescent="0.2">
      <c r="A6" s="16" t="s">
        <v>5</v>
      </c>
      <c r="B6" s="17">
        <f>Resumo!G2</f>
        <v>1235</v>
      </c>
      <c r="C6" s="17">
        <f>Resumo!G7</f>
        <v>145</v>
      </c>
      <c r="D6" s="17">
        <f>Resumo!G12</f>
        <v>129876</v>
      </c>
      <c r="E6" s="17">
        <f>Resumo!G17</f>
        <v>2987</v>
      </c>
      <c r="F6" s="17">
        <f>Resumo!G22</f>
        <v>5297</v>
      </c>
      <c r="G6" s="17">
        <f>Resumo!G27</f>
        <v>127496</v>
      </c>
      <c r="H6" s="17">
        <f>Resumo!G32</f>
        <v>17429</v>
      </c>
      <c r="I6" s="17">
        <f>Resumo!G37</f>
        <v>179</v>
      </c>
      <c r="J6" s="17">
        <f>Resumo!G42</f>
        <v>4176</v>
      </c>
      <c r="K6" s="17">
        <f>Resumo!G47</f>
        <v>1728</v>
      </c>
      <c r="L6" s="17">
        <f>SUMPRODUCT(B6:K6,DIAG!$W$21:$AF$21,DIAG!$W$31:$AF$31)</f>
        <v>0</v>
      </c>
      <c r="M6" s="5"/>
      <c r="N6" s="18"/>
    </row>
    <row r="7" spans="1:14" x14ac:dyDescent="0.2">
      <c r="A7" s="16" t="s">
        <v>6</v>
      </c>
      <c r="B7" s="17">
        <f>Resumo!G3</f>
        <v>18</v>
      </c>
      <c r="C7" s="17">
        <f>Resumo!G8</f>
        <v>179</v>
      </c>
      <c r="D7" s="17">
        <f>Resumo!G13</f>
        <v>1297</v>
      </c>
      <c r="E7" s="17">
        <f>Resumo!G18</f>
        <v>2185</v>
      </c>
      <c r="F7" s="17">
        <f>Resumo!G23</f>
        <v>217</v>
      </c>
      <c r="G7" s="17">
        <f>Resumo!G28</f>
        <v>1742</v>
      </c>
      <c r="H7" s="17">
        <f>Resumo!G33</f>
        <v>76</v>
      </c>
      <c r="I7" s="17">
        <f>Resumo!G38</f>
        <v>17529</v>
      </c>
      <c r="J7" s="17">
        <f>Resumo!G43</f>
        <v>47126</v>
      </c>
      <c r="K7" s="17">
        <f>Resumo!G48</f>
        <v>1726</v>
      </c>
      <c r="L7" s="17">
        <f>SUMPRODUCT(B7:K7,DIAG!$W$21:$AF$21,DIAG!$W$31:$AF$31)</f>
        <v>0</v>
      </c>
      <c r="M7" s="19"/>
      <c r="N7" s="18"/>
    </row>
    <row r="8" spans="1:14" x14ac:dyDescent="0.2">
      <c r="A8" s="20" t="s">
        <v>7</v>
      </c>
      <c r="B8" s="21">
        <f>Resumo!G4</f>
        <v>15263</v>
      </c>
      <c r="C8" s="21">
        <f>Resumo!G9</f>
        <v>12543</v>
      </c>
      <c r="D8" s="21">
        <f>Resumo!G14</f>
        <v>2163</v>
      </c>
      <c r="E8" s="21">
        <f>Resumo!G19</f>
        <v>2196</v>
      </c>
      <c r="F8" s="21">
        <f>Resumo!G24</f>
        <v>217496</v>
      </c>
      <c r="G8" s="21">
        <f>Resumo!G29</f>
        <v>41297</v>
      </c>
      <c r="H8" s="17">
        <f>Resumo!G34</f>
        <v>24961</v>
      </c>
      <c r="I8" s="17">
        <f>Resumo!G39</f>
        <v>17952</v>
      </c>
      <c r="J8" s="17">
        <f>Resumo!G44</f>
        <v>1728</v>
      </c>
      <c r="K8" s="17">
        <f>Resumo!G49</f>
        <v>1296</v>
      </c>
      <c r="L8" s="17">
        <f>SUMPRODUCT(B8:K8,DIAG!$W$21:$AF$21,DIAG!$W$31:$AF$31)</f>
        <v>0</v>
      </c>
      <c r="M8" s="19"/>
      <c r="N8" s="18"/>
    </row>
    <row r="9" spans="1:14" x14ac:dyDescent="0.2">
      <c r="A9" s="20" t="s">
        <v>16</v>
      </c>
      <c r="B9" s="22">
        <f>Resumo!G5</f>
        <v>16516</v>
      </c>
      <c r="C9" s="22">
        <f>Resumo!G10</f>
        <v>12867</v>
      </c>
      <c r="D9" s="22">
        <f>Resumo!G15</f>
        <v>133336</v>
      </c>
      <c r="E9" s="22">
        <f>Resumo!G20</f>
        <v>7368</v>
      </c>
      <c r="F9" s="22">
        <f>Resumo!G25</f>
        <v>223010</v>
      </c>
      <c r="G9" s="22">
        <f>Resumo!G30</f>
        <v>170535</v>
      </c>
      <c r="H9" s="23">
        <f>Resumo!G35</f>
        <v>42466</v>
      </c>
      <c r="I9" s="24">
        <f>Resumo!G40</f>
        <v>35660</v>
      </c>
      <c r="J9" s="24">
        <f>Resumo!G45</f>
        <v>53030</v>
      </c>
      <c r="K9" s="24">
        <f>Resumo!G50</f>
        <v>4750</v>
      </c>
      <c r="L9" s="24">
        <f>SUM(L6:L8)</f>
        <v>0</v>
      </c>
      <c r="M9" s="19"/>
      <c r="N9" s="18"/>
    </row>
    <row r="10" spans="1:14" x14ac:dyDescent="0.2">
      <c r="A10" s="25" t="s">
        <v>20</v>
      </c>
      <c r="B10" s="26">
        <f t="shared" ref="B10:L10" si="0">B20/B22</f>
        <v>8.7454095385095021E-2</v>
      </c>
      <c r="C10" s="27">
        <f t="shared" si="0"/>
        <v>1.1691991465723263E-2</v>
      </c>
      <c r="D10" s="27">
        <f t="shared" si="0"/>
        <v>2313.8953252146625</v>
      </c>
      <c r="E10" s="27">
        <f t="shared" si="0"/>
        <v>2.2875955909958927</v>
      </c>
      <c r="F10" s="27">
        <f t="shared" si="0"/>
        <v>2.4947019941252618E-2</v>
      </c>
      <c r="G10" s="27">
        <f t="shared" si="0"/>
        <v>12.232899546140963</v>
      </c>
      <c r="H10" s="27">
        <f t="shared" si="0"/>
        <v>1.1843213424685128</v>
      </c>
      <c r="I10" s="27">
        <f t="shared" si="0"/>
        <v>1.0021337271671751E-2</v>
      </c>
      <c r="J10" s="27">
        <f t="shared" si="0"/>
        <v>2.6232413586059145</v>
      </c>
      <c r="K10" s="27">
        <f t="shared" si="0"/>
        <v>2.0957423339951471</v>
      </c>
      <c r="L10" s="27" t="e">
        <f t="shared" si="0"/>
        <v>#DIV/0!</v>
      </c>
      <c r="N10" s="18"/>
    </row>
    <row r="11" spans="1:14" x14ac:dyDescent="0.2">
      <c r="A11" s="25" t="s">
        <v>12</v>
      </c>
      <c r="B11" s="28">
        <f>B6/B$9</f>
        <v>7.477597481230322E-2</v>
      </c>
      <c r="C11" s="28">
        <f t="shared" ref="C11:L11" si="1">C6/C$9</f>
        <v>1.1269138105230435E-2</v>
      </c>
      <c r="D11" s="28">
        <f t="shared" si="1"/>
        <v>0.97405051898962025</v>
      </c>
      <c r="E11" s="28">
        <f t="shared" si="1"/>
        <v>0.40540173724212814</v>
      </c>
      <c r="F11" s="28">
        <f t="shared" si="1"/>
        <v>2.375229810322407E-2</v>
      </c>
      <c r="G11" s="28">
        <f t="shared" si="1"/>
        <v>0.74762365496818839</v>
      </c>
      <c r="H11" s="28">
        <f t="shared" ref="H11:K13" si="2">H6/H$9</f>
        <v>0.41042245561154805</v>
      </c>
      <c r="I11" s="28">
        <f t="shared" si="2"/>
        <v>5.0196298373527759E-3</v>
      </c>
      <c r="J11" s="28">
        <f t="shared" si="2"/>
        <v>7.8747878559306053E-2</v>
      </c>
      <c r="K11" s="28">
        <f t="shared" si="2"/>
        <v>0.36378947368421055</v>
      </c>
      <c r="L11" s="28" t="e">
        <f t="shared" si="1"/>
        <v>#DIV/0!</v>
      </c>
      <c r="N11" s="18"/>
    </row>
    <row r="12" spans="1:14" x14ac:dyDescent="0.2">
      <c r="A12" s="25" t="s">
        <v>14</v>
      </c>
      <c r="B12" s="28">
        <f t="shared" ref="B12:L13" si="3">B7/B$9</f>
        <v>1.0898522644708162E-3</v>
      </c>
      <c r="C12" s="28">
        <f t="shared" si="3"/>
        <v>1.3911556695422399E-2</v>
      </c>
      <c r="D12" s="28">
        <f t="shared" si="3"/>
        <v>9.7273054538909217E-3</v>
      </c>
      <c r="E12" s="28">
        <f t="shared" si="3"/>
        <v>0.29655266015200871</v>
      </c>
      <c r="F12" s="28">
        <f t="shared" si="3"/>
        <v>9.7305053585041031E-4</v>
      </c>
      <c r="G12" s="28">
        <f t="shared" si="3"/>
        <v>1.0214911894918931E-2</v>
      </c>
      <c r="H12" s="28">
        <f t="shared" si="2"/>
        <v>1.7896670277398388E-3</v>
      </c>
      <c r="I12" s="28">
        <f t="shared" si="2"/>
        <v>0.49155916993830623</v>
      </c>
      <c r="J12" s="28">
        <f t="shared" si="2"/>
        <v>0.88866679238167079</v>
      </c>
      <c r="K12" s="28">
        <f t="shared" si="2"/>
        <v>0.36336842105263156</v>
      </c>
      <c r="L12" s="28" t="e">
        <f t="shared" si="3"/>
        <v>#DIV/0!</v>
      </c>
    </row>
    <row r="13" spans="1:14" x14ac:dyDescent="0.2">
      <c r="A13" s="25" t="s">
        <v>13</v>
      </c>
      <c r="B13" s="28">
        <f t="shared" si="3"/>
        <v>0.92413417292322597</v>
      </c>
      <c r="C13" s="28">
        <f t="shared" si="3"/>
        <v>0.97481930519934712</v>
      </c>
      <c r="D13" s="28">
        <f t="shared" si="3"/>
        <v>1.6222175556488871E-2</v>
      </c>
      <c r="E13" s="28">
        <f t="shared" si="3"/>
        <v>0.29804560260586321</v>
      </c>
      <c r="F13" s="28">
        <f t="shared" si="3"/>
        <v>0.9752746513609255</v>
      </c>
      <c r="G13" s="28">
        <f t="shared" si="3"/>
        <v>0.24216143313689273</v>
      </c>
      <c r="H13" s="28">
        <f t="shared" si="2"/>
        <v>0.58778787736071214</v>
      </c>
      <c r="I13" s="28">
        <f t="shared" si="2"/>
        <v>0.503421200224341</v>
      </c>
      <c r="J13" s="28">
        <f t="shared" si="2"/>
        <v>3.2585329059023192E-2</v>
      </c>
      <c r="K13" s="28">
        <f t="shared" si="2"/>
        <v>0.27284210526315789</v>
      </c>
      <c r="L13" s="28" t="e">
        <f t="shared" si="3"/>
        <v>#DIV/0!</v>
      </c>
    </row>
    <row r="14" spans="1:14" x14ac:dyDescent="0.2">
      <c r="A14" s="212" t="s">
        <v>21</v>
      </c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4"/>
    </row>
    <row r="15" spans="1:14" x14ac:dyDescent="0.2">
      <c r="A15" s="8" t="s">
        <v>22</v>
      </c>
      <c r="B15" s="29">
        <f t="shared" ref="B15:L15" si="4">B6/B9</f>
        <v>7.477597481230322E-2</v>
      </c>
      <c r="C15" s="30">
        <f t="shared" si="4"/>
        <v>1.1269138105230435E-2</v>
      </c>
      <c r="D15" s="30">
        <f t="shared" si="4"/>
        <v>0.97405051898962025</v>
      </c>
      <c r="E15" s="30">
        <f t="shared" si="4"/>
        <v>0.40540173724212814</v>
      </c>
      <c r="F15" s="30">
        <f t="shared" si="4"/>
        <v>2.375229810322407E-2</v>
      </c>
      <c r="G15" s="30">
        <f t="shared" si="4"/>
        <v>0.74762365496818839</v>
      </c>
      <c r="H15" s="30">
        <f>H6/H9</f>
        <v>0.41042245561154805</v>
      </c>
      <c r="I15" s="30">
        <f>I6/I9</f>
        <v>5.0196298373527759E-3</v>
      </c>
      <c r="J15" s="30">
        <f>J6/J9</f>
        <v>7.8747878559306053E-2</v>
      </c>
      <c r="K15" s="30">
        <f>K6/K9</f>
        <v>0.36378947368421055</v>
      </c>
      <c r="L15" s="30" t="e">
        <f t="shared" si="4"/>
        <v>#DIV/0!</v>
      </c>
    </row>
    <row r="16" spans="1:14" x14ac:dyDescent="0.2">
      <c r="A16" s="8" t="s">
        <v>23</v>
      </c>
      <c r="B16" s="29">
        <f t="shared" ref="B16:L16" si="5">B7/B9</f>
        <v>1.0898522644708162E-3</v>
      </c>
      <c r="C16" s="30">
        <f t="shared" si="5"/>
        <v>1.3911556695422399E-2</v>
      </c>
      <c r="D16" s="30">
        <f t="shared" si="5"/>
        <v>9.7273054538909217E-3</v>
      </c>
      <c r="E16" s="30">
        <f t="shared" si="5"/>
        <v>0.29655266015200871</v>
      </c>
      <c r="F16" s="30">
        <f t="shared" si="5"/>
        <v>9.7305053585041031E-4</v>
      </c>
      <c r="G16" s="30">
        <f t="shared" si="5"/>
        <v>1.0214911894918931E-2</v>
      </c>
      <c r="H16" s="30">
        <f>H7/H9</f>
        <v>1.7896670277398388E-3</v>
      </c>
      <c r="I16" s="30">
        <f>I7/I9</f>
        <v>0.49155916993830623</v>
      </c>
      <c r="J16" s="30">
        <f>J7/J9</f>
        <v>0.88866679238167079</v>
      </c>
      <c r="K16" s="30">
        <f>K7/K9</f>
        <v>0.36336842105263156</v>
      </c>
      <c r="L16" s="30" t="e">
        <f t="shared" si="5"/>
        <v>#DIV/0!</v>
      </c>
    </row>
    <row r="17" spans="1:65" x14ac:dyDescent="0.2">
      <c r="A17" s="9" t="s">
        <v>24</v>
      </c>
      <c r="B17" s="33">
        <f t="shared" ref="B17:L17" si="6">B8/B9</f>
        <v>0.92413417292322597</v>
      </c>
      <c r="C17" s="34">
        <f t="shared" si="6"/>
        <v>0.97481930519934712</v>
      </c>
      <c r="D17" s="34">
        <f t="shared" si="6"/>
        <v>1.6222175556488871E-2</v>
      </c>
      <c r="E17" s="34">
        <f t="shared" si="6"/>
        <v>0.29804560260586321</v>
      </c>
      <c r="F17" s="34">
        <f t="shared" si="6"/>
        <v>0.9752746513609255</v>
      </c>
      <c r="G17" s="34">
        <f t="shared" si="6"/>
        <v>0.24216143313689273</v>
      </c>
      <c r="H17" s="34">
        <f>H8/H9</f>
        <v>0.58778787736071214</v>
      </c>
      <c r="I17" s="34">
        <f>I8/I9</f>
        <v>0.503421200224341</v>
      </c>
      <c r="J17" s="34">
        <f>J8/J9</f>
        <v>3.2585329059023192E-2</v>
      </c>
      <c r="K17" s="34">
        <f>K8/K9</f>
        <v>0.27284210526315789</v>
      </c>
      <c r="L17" s="34" t="e">
        <f t="shared" si="6"/>
        <v>#DIV/0!</v>
      </c>
      <c r="AP17" s="36"/>
      <c r="AQ17" s="36"/>
      <c r="AR17" s="36"/>
      <c r="AS17" s="36"/>
      <c r="AT17" s="36"/>
      <c r="AU17" s="36"/>
    </row>
    <row r="18" spans="1:65" x14ac:dyDescent="0.2">
      <c r="A18" s="37" t="s">
        <v>25</v>
      </c>
      <c r="B18" s="38">
        <f t="shared" ref="B18:L18" si="7">B15+B16</f>
        <v>7.5865827076774042E-2</v>
      </c>
      <c r="C18" s="39">
        <f t="shared" si="7"/>
        <v>2.5180694800652832E-2</v>
      </c>
      <c r="D18" s="39">
        <f t="shared" si="7"/>
        <v>0.98377782444351114</v>
      </c>
      <c r="E18" s="39">
        <f t="shared" si="7"/>
        <v>0.7019543973941369</v>
      </c>
      <c r="F18" s="39">
        <f t="shared" si="7"/>
        <v>2.4725348639074479E-2</v>
      </c>
      <c r="G18" s="39">
        <f t="shared" si="7"/>
        <v>0.75783856686310735</v>
      </c>
      <c r="H18" s="39">
        <f>H15+H16</f>
        <v>0.41221212263928791</v>
      </c>
      <c r="I18" s="39">
        <f>I15+I16</f>
        <v>0.496578799775659</v>
      </c>
      <c r="J18" s="39">
        <f>J15+J16</f>
        <v>0.96741467094097688</v>
      </c>
      <c r="K18" s="39">
        <f>K15+K16</f>
        <v>0.72715789473684211</v>
      </c>
      <c r="L18" s="39" t="e">
        <f t="shared" si="7"/>
        <v>#DIV/0!</v>
      </c>
      <c r="AO18" s="36"/>
      <c r="AP18" s="36"/>
      <c r="AQ18" s="36"/>
      <c r="AR18" s="36"/>
      <c r="AS18" s="36"/>
      <c r="AT18" s="36"/>
      <c r="AU18" s="36"/>
    </row>
    <row r="19" spans="1:65" x14ac:dyDescent="0.2">
      <c r="A19" s="37" t="s">
        <v>27</v>
      </c>
      <c r="B19" s="38">
        <f t="shared" ref="B19:L19" si="8">B15+B16+B17</f>
        <v>1</v>
      </c>
      <c r="C19" s="39">
        <f t="shared" si="8"/>
        <v>1</v>
      </c>
      <c r="D19" s="39">
        <f t="shared" si="8"/>
        <v>1</v>
      </c>
      <c r="E19" s="39">
        <f t="shared" si="8"/>
        <v>1</v>
      </c>
      <c r="F19" s="39">
        <f t="shared" si="8"/>
        <v>1</v>
      </c>
      <c r="G19" s="39">
        <f t="shared" si="8"/>
        <v>1</v>
      </c>
      <c r="H19" s="39">
        <f>H15+H16+H17</f>
        <v>1</v>
      </c>
      <c r="I19" s="39">
        <f>I15+I16+I17</f>
        <v>1</v>
      </c>
      <c r="J19" s="39">
        <f>J15+J16+J17</f>
        <v>1</v>
      </c>
      <c r="K19" s="39">
        <f>K15+K16+K17</f>
        <v>1</v>
      </c>
      <c r="L19" s="39" t="e">
        <f t="shared" si="8"/>
        <v>#DIV/0!</v>
      </c>
      <c r="AO19" s="36"/>
      <c r="AQ19" s="36"/>
      <c r="AR19" s="36"/>
      <c r="AS19" s="36"/>
      <c r="AT19" s="36"/>
      <c r="AU19" s="36"/>
    </row>
    <row r="20" spans="1:65" x14ac:dyDescent="0.2">
      <c r="A20" s="43" t="s">
        <v>30</v>
      </c>
      <c r="B20" s="44">
        <f t="shared" ref="B20:L20" si="9">1/B17</f>
        <v>1.0820939526960625</v>
      </c>
      <c r="C20" s="45">
        <f t="shared" si="9"/>
        <v>1.0258311408753886</v>
      </c>
      <c r="D20" s="45">
        <f t="shared" si="9"/>
        <v>61.644012944983814</v>
      </c>
      <c r="E20" s="45">
        <f t="shared" si="9"/>
        <v>3.3551912568306008</v>
      </c>
      <c r="F20" s="45">
        <f t="shared" si="9"/>
        <v>1.0253521903851106</v>
      </c>
      <c r="G20" s="45">
        <f t="shared" si="9"/>
        <v>4.1294767174371021</v>
      </c>
      <c r="H20" s="45">
        <f>1/H17</f>
        <v>1.7012940186691237</v>
      </c>
      <c r="I20" s="45">
        <f>1/I17</f>
        <v>1.9864081996434937</v>
      </c>
      <c r="J20" s="45">
        <f>1/J17</f>
        <v>30.688657407407408</v>
      </c>
      <c r="K20" s="45">
        <f>1/K17</f>
        <v>3.6651234567901234</v>
      </c>
      <c r="L20" s="45" t="e">
        <f t="shared" si="9"/>
        <v>#DIV/0!</v>
      </c>
      <c r="AO20" s="36"/>
      <c r="AR20" s="36"/>
      <c r="AS20" s="36"/>
      <c r="AT20" s="36"/>
      <c r="AU20" s="36"/>
    </row>
    <row r="21" spans="1:65" x14ac:dyDescent="0.2">
      <c r="A21" s="48" t="s">
        <v>31</v>
      </c>
      <c r="B21" s="49">
        <f t="shared" ref="B21:L21" si="10">B17/(1-B17)</f>
        <v>12.181165203511574</v>
      </c>
      <c r="C21" s="50">
        <f t="shared" si="10"/>
        <v>38.712962962962891</v>
      </c>
      <c r="D21" s="50">
        <f t="shared" si="10"/>
        <v>1.6489673942046E-2</v>
      </c>
      <c r="E21" s="50">
        <f t="shared" si="10"/>
        <v>0.42459396751740142</v>
      </c>
      <c r="F21" s="50">
        <f t="shared" si="10"/>
        <v>39.444323540079772</v>
      </c>
      <c r="G21" s="50">
        <f t="shared" si="10"/>
        <v>0.31954223989848191</v>
      </c>
      <c r="H21" s="50">
        <f>H17/(1-H17)</f>
        <v>1.4259354470151389</v>
      </c>
      <c r="I21" s="50">
        <f>I17/(1-I17)</f>
        <v>1.0137790829003841</v>
      </c>
      <c r="J21" s="50">
        <f>J17/(1-J17)</f>
        <v>3.368289735292971E-2</v>
      </c>
      <c r="K21" s="50">
        <f>K17/(1-K17)</f>
        <v>0.37521713954834973</v>
      </c>
      <c r="L21" s="50" t="e">
        <f t="shared" si="10"/>
        <v>#DIV/0!</v>
      </c>
      <c r="AO21" s="36"/>
      <c r="AS21" s="36"/>
      <c r="AT21" s="36"/>
      <c r="AU21" s="36"/>
    </row>
    <row r="22" spans="1:65" x14ac:dyDescent="0.2">
      <c r="A22" s="48" t="s">
        <v>32</v>
      </c>
      <c r="B22" s="50">
        <f t="shared" ref="B22:L22" si="11">(1-B15)/B15</f>
        <v>12.373279352226721</v>
      </c>
      <c r="C22" s="50">
        <f t="shared" si="11"/>
        <v>87.737931034482756</v>
      </c>
      <c r="D22" s="50">
        <f t="shared" si="11"/>
        <v>2.6640795836028165E-2</v>
      </c>
      <c r="E22" s="50">
        <f t="shared" si="11"/>
        <v>1.4666889856042851</v>
      </c>
      <c r="F22" s="50">
        <f t="shared" si="11"/>
        <v>41.101189352463656</v>
      </c>
      <c r="G22" s="50">
        <f t="shared" si="11"/>
        <v>0.33757137478822857</v>
      </c>
      <c r="H22" s="50">
        <f>(1-H15)/H15</f>
        <v>1.4365138562166504</v>
      </c>
      <c r="I22" s="50">
        <f>(1-I15)/I15</f>
        <v>198.21787709497207</v>
      </c>
      <c r="J22" s="50">
        <f>(1-J15)/J15</f>
        <v>11.69875478927203</v>
      </c>
      <c r="K22" s="50">
        <f>(1-K15)/K15</f>
        <v>1.7488425925925923</v>
      </c>
      <c r="L22" s="50" t="e">
        <f t="shared" si="11"/>
        <v>#DIV/0!</v>
      </c>
      <c r="AO22" s="36"/>
      <c r="AT22" s="36"/>
      <c r="AU22" s="36"/>
    </row>
    <row r="23" spans="1:65" x14ac:dyDescent="0.2">
      <c r="A23" s="53" t="s">
        <v>20</v>
      </c>
      <c r="B23" s="54">
        <f t="shared" ref="B23:L23" si="12">B20/B22</f>
        <v>8.7454095385095021E-2</v>
      </c>
      <c r="C23" s="54">
        <f t="shared" si="12"/>
        <v>1.1691991465723263E-2</v>
      </c>
      <c r="D23" s="54">
        <f t="shared" si="12"/>
        <v>2313.8953252146625</v>
      </c>
      <c r="E23" s="54">
        <f t="shared" si="12"/>
        <v>2.2875955909958927</v>
      </c>
      <c r="F23" s="54">
        <f t="shared" si="12"/>
        <v>2.4947019941252618E-2</v>
      </c>
      <c r="G23" s="54">
        <f t="shared" si="12"/>
        <v>12.232899546140963</v>
      </c>
      <c r="H23" s="54">
        <f>H20/H22</f>
        <v>1.1843213424685128</v>
      </c>
      <c r="I23" s="54">
        <f>I20/I22</f>
        <v>1.0021337271671751E-2</v>
      </c>
      <c r="J23" s="54">
        <f>J20/J22</f>
        <v>2.6232413586059145</v>
      </c>
      <c r="K23" s="54">
        <f>K20/K22</f>
        <v>2.0957423339951471</v>
      </c>
      <c r="L23" s="54" t="e">
        <f t="shared" si="12"/>
        <v>#DIV/0!</v>
      </c>
      <c r="AO23" s="36"/>
      <c r="AU23" s="36"/>
    </row>
    <row r="24" spans="1:65" x14ac:dyDescent="0.2">
      <c r="A24" s="212" t="s">
        <v>33</v>
      </c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4"/>
    </row>
    <row r="25" spans="1:65" x14ac:dyDescent="0.2">
      <c r="A25" s="57" t="s">
        <v>34</v>
      </c>
      <c r="B25" s="58" t="str">
        <f t="shared" ref="B25:L25" si="13">B5</f>
        <v xml:space="preserve"> 1-Thayna</v>
      </c>
      <c r="C25" s="14" t="str">
        <f t="shared" si="13"/>
        <v xml:space="preserve"> 2-Henrique</v>
      </c>
      <c r="D25" s="14" t="str">
        <f t="shared" si="13"/>
        <v xml:space="preserve"> 3-</v>
      </c>
      <c r="E25" s="14" t="str">
        <f t="shared" si="13"/>
        <v xml:space="preserve"> 4-Bianca</v>
      </c>
      <c r="F25" s="14" t="str">
        <f t="shared" si="13"/>
        <v xml:space="preserve"> 5-</v>
      </c>
      <c r="G25" s="14" t="str">
        <f t="shared" si="13"/>
        <v xml:space="preserve"> 6-Biagio</v>
      </c>
      <c r="H25" s="14" t="str">
        <f>H5</f>
        <v xml:space="preserve"> 7-Cecilia</v>
      </c>
      <c r="I25" s="14" t="str">
        <f>I5</f>
        <v xml:space="preserve"> 8-</v>
      </c>
      <c r="J25" s="14" t="str">
        <f>J5</f>
        <v xml:space="preserve"> 9-Antunes</v>
      </c>
      <c r="K25" s="14" t="str">
        <f>K5</f>
        <v>10-</v>
      </c>
      <c r="L25" s="14" t="str">
        <f t="shared" si="13"/>
        <v>Simergia</v>
      </c>
    </row>
    <row r="26" spans="1:65" ht="15.75" x14ac:dyDescent="0.3">
      <c r="A26" s="59" t="s">
        <v>110</v>
      </c>
      <c r="B26" s="60">
        <f t="shared" ref="B26:L26" si="14">(2*B17+B15-1)/SQRT(3)</f>
        <v>0.53291988700628756</v>
      </c>
      <c r="C26" s="61">
        <f t="shared" si="14"/>
        <v>0.55478034726513814</v>
      </c>
      <c r="D26" s="61">
        <f t="shared" si="14"/>
        <v>3.7498150020865914E-3</v>
      </c>
      <c r="E26" s="61">
        <f t="shared" si="14"/>
        <v>8.6195072761755193E-4</v>
      </c>
      <c r="F26" s="61">
        <f t="shared" si="14"/>
        <v>0.56251329150824048</v>
      </c>
      <c r="G26" s="61">
        <f t="shared" si="14"/>
        <v>0.13391438647665083</v>
      </c>
      <c r="H26" s="61">
        <f>(2*H17+H15-1)/SQRT(3)</f>
        <v>0.33832622448038058</v>
      </c>
      <c r="I26" s="61">
        <f>(2*I17+I15-1)/SQRT(3)</f>
        <v>6.8485463787777033E-3</v>
      </c>
      <c r="J26" s="61">
        <f>(2*J17+J15-1)/SQRT(3)</f>
        <v>-0.49425886329757934</v>
      </c>
      <c r="K26" s="61">
        <f>(2*K17+K15-1)/SQRT(3)</f>
        <v>-5.22653927897977E-2</v>
      </c>
      <c r="L26" s="39" t="e">
        <f t="shared" si="14"/>
        <v>#DIV/0!</v>
      </c>
    </row>
    <row r="27" spans="1:65" ht="15.75" x14ac:dyDescent="0.3">
      <c r="A27" s="65" t="s">
        <v>111</v>
      </c>
      <c r="B27" s="66">
        <f>IF(DIAG!S13,B15,-1)</f>
        <v>7.477597481230322E-2</v>
      </c>
      <c r="C27" s="67">
        <f>IF(DIAG!T13,C15,-1)</f>
        <v>1.1269138105230435E-2</v>
      </c>
      <c r="D27" s="67">
        <f>IF(DIAG!U13,D15,-1)</f>
        <v>0.97405051898962025</v>
      </c>
      <c r="E27" s="67">
        <f>IF(DIAG!V13,E15,-1)</f>
        <v>0.40540173724212814</v>
      </c>
      <c r="F27" s="67">
        <f>IF(DIAG!W13,F15,-1)</f>
        <v>2.375229810322407E-2</v>
      </c>
      <c r="G27" s="61">
        <f>IF(DIAG!X13,G15,-1)</f>
        <v>0.74762365496818839</v>
      </c>
      <c r="H27" s="61">
        <f>IF(DIAG!Y13,H15,-1)</f>
        <v>0.41042245561154805</v>
      </c>
      <c r="I27" s="61">
        <f>IF(DIAG!Z13,I15,-1)</f>
        <v>5.0196298373527759E-3</v>
      </c>
      <c r="J27" s="61">
        <f>IF(DIAG!AA13,J15,-1)</f>
        <v>7.8747878559306053E-2</v>
      </c>
      <c r="K27" s="61">
        <f>IF(DIAG!AB13,K15,-1)</f>
        <v>0.36378947368421055</v>
      </c>
      <c r="L27" s="39">
        <f>IF(OR(DIAG!T21,DIAG!T22,DIAG!T23,DIAG!T24,DIAG!T25,DIAG!T26,DIAG!T27,DIAG!T28,DIAG!T29,DIAG!T30),L15,-1)</f>
        <v>-1</v>
      </c>
    </row>
    <row r="28" spans="1:65" x14ac:dyDescent="0.2">
      <c r="A28" s="209" t="s">
        <v>34</v>
      </c>
      <c r="B28" s="210"/>
      <c r="C28" s="211"/>
      <c r="D28" s="14" t="s">
        <v>36</v>
      </c>
      <c r="E28" s="14" t="s">
        <v>37</v>
      </c>
      <c r="F28" s="14" t="s">
        <v>38</v>
      </c>
      <c r="G28" s="71"/>
      <c r="H28" s="71"/>
      <c r="I28" s="71"/>
      <c r="J28" s="71"/>
      <c r="K28" s="71"/>
      <c r="L28" s="72"/>
      <c r="M28" s="73"/>
      <c r="N28" s="40" t="s">
        <v>26</v>
      </c>
      <c r="O28" s="41"/>
      <c r="BD28" s="11">
        <v>1</v>
      </c>
      <c r="BE28" s="11">
        <v>2</v>
      </c>
      <c r="BF28" s="11">
        <v>3</v>
      </c>
      <c r="BG28" s="11">
        <v>4</v>
      </c>
      <c r="BH28" s="11">
        <v>5</v>
      </c>
      <c r="BI28" s="11">
        <v>6</v>
      </c>
      <c r="BJ28" s="11">
        <v>7</v>
      </c>
      <c r="BK28" s="11">
        <v>8</v>
      </c>
      <c r="BL28" s="11">
        <v>9</v>
      </c>
      <c r="BM28" s="11">
        <v>10</v>
      </c>
    </row>
    <row r="29" spans="1:65" x14ac:dyDescent="0.2">
      <c r="A29" s="74"/>
      <c r="B29" s="75" t="str">
        <f>VLOOKUP(A28,A25:G25,A83,0)</f>
        <v xml:space="preserve"> 1-Thayna</v>
      </c>
      <c r="C29" s="76"/>
      <c r="D29" s="77" t="e">
        <f ca="1">D103</f>
        <v>#DIV/0!</v>
      </c>
      <c r="E29" s="77" t="e">
        <f ca="1">D100</f>
        <v>#DIV/0!</v>
      </c>
      <c r="F29" s="77" t="e">
        <f ca="1">E103</f>
        <v>#DIV/0!</v>
      </c>
      <c r="G29" s="78" t="s">
        <v>39</v>
      </c>
      <c r="H29" s="79"/>
      <c r="I29" s="79"/>
      <c r="J29" s="79"/>
      <c r="K29" s="79"/>
      <c r="L29" s="79"/>
      <c r="M29" s="80"/>
      <c r="N29" s="42" t="s">
        <v>28</v>
      </c>
      <c r="O29" s="42" t="s">
        <v>29</v>
      </c>
      <c r="AN29" s="10" t="s">
        <v>35</v>
      </c>
      <c r="AP29" s="62">
        <f>IF(DIAG!T21,$L$26,-1)</f>
        <v>-1</v>
      </c>
      <c r="AQ29" s="63">
        <f>AP29+(AY29-AP29)/9</f>
        <v>-1</v>
      </c>
      <c r="AR29" s="63">
        <f>AQ29+(AY29-AQ29)/8</f>
        <v>-1</v>
      </c>
      <c r="AS29" s="63">
        <f>AR29+(AY29-AR29)/7</f>
        <v>-1</v>
      </c>
      <c r="AT29" s="63">
        <f>AS29+(AY29-AS29)/6</f>
        <v>-1</v>
      </c>
      <c r="AU29" s="63">
        <f>AT29+(AY29-AT29)/5</f>
        <v>-1</v>
      </c>
      <c r="AV29" s="63">
        <f>AU29+(AY29-AU29)/4</f>
        <v>-1</v>
      </c>
      <c r="AW29" s="63">
        <f>AV29+(AY29-AV29)/3</f>
        <v>-1</v>
      </c>
      <c r="AX29" s="63">
        <f>AW29+(AY29-AW29)/2</f>
        <v>-1</v>
      </c>
      <c r="AY29" s="64">
        <f>IF(DIAG!T21,$B$26,-1)</f>
        <v>-1</v>
      </c>
      <c r="BA29" s="12" t="s">
        <v>87</v>
      </c>
      <c r="BB29" s="10">
        <f>DIAG!W1</f>
        <v>10</v>
      </c>
    </row>
    <row r="30" spans="1:65" x14ac:dyDescent="0.2">
      <c r="A30" s="81"/>
      <c r="B30" s="82"/>
      <c r="C30" s="83"/>
      <c r="D30" s="77" t="e">
        <f ca="1">N103</f>
        <v>#DIV/0!</v>
      </c>
      <c r="E30" s="77" t="e">
        <f ca="1">M100</f>
        <v>#DIV/0!</v>
      </c>
      <c r="F30" s="77" t="e">
        <f ca="1">M103</f>
        <v>#DIV/0!</v>
      </c>
      <c r="G30" s="78" t="s">
        <v>41</v>
      </c>
      <c r="H30" s="79"/>
      <c r="I30" s="79"/>
      <c r="J30" s="79"/>
      <c r="K30" s="79"/>
      <c r="L30" s="79"/>
      <c r="M30" s="80"/>
      <c r="N30" s="46">
        <v>5</v>
      </c>
      <c r="O30" s="47">
        <v>2</v>
      </c>
      <c r="AP30" s="68">
        <f>IF(DIAG!T21,$L$27,-1)</f>
        <v>-1</v>
      </c>
      <c r="AQ30" s="69">
        <f>AP30+(AY30-AP30)/9</f>
        <v>-1</v>
      </c>
      <c r="AR30" s="69">
        <f>AQ30+(AY30-AQ30)/8</f>
        <v>-1</v>
      </c>
      <c r="AS30" s="69">
        <f>AR30+(AY30-AR30)/7</f>
        <v>-1</v>
      </c>
      <c r="AT30" s="69">
        <f>AS30+(AY30-AS30)/6</f>
        <v>-1</v>
      </c>
      <c r="AU30" s="69">
        <f>AT30+(AY30-AT30)/5</f>
        <v>-1</v>
      </c>
      <c r="AV30" s="69">
        <f>AU30+(AY30-AU30)/4</f>
        <v>-1</v>
      </c>
      <c r="AW30" s="69">
        <f>AV30+(AY30-AV30)/3</f>
        <v>-1</v>
      </c>
      <c r="AX30" s="69">
        <f>AW30+(AY30-AW30)/2</f>
        <v>-1</v>
      </c>
      <c r="AY30" s="70">
        <f>IF(DIAG!T21,$B$27,-1)</f>
        <v>-1</v>
      </c>
      <c r="BA30" s="12" t="s">
        <v>85</v>
      </c>
      <c r="BB30" s="15">
        <f ca="1">IF(BB29=0,0,MAX(OFFSET(BC29,1,1,1,BB29)))</f>
        <v>223010</v>
      </c>
      <c r="BD30" s="15">
        <f t="shared" ref="BD30:BM30" si="15">B9</f>
        <v>16516</v>
      </c>
      <c r="BE30" s="15">
        <f t="shared" si="15"/>
        <v>12867</v>
      </c>
      <c r="BF30" s="15">
        <f t="shared" si="15"/>
        <v>133336</v>
      </c>
      <c r="BG30" s="15">
        <f t="shared" si="15"/>
        <v>7368</v>
      </c>
      <c r="BH30" s="15">
        <f t="shared" si="15"/>
        <v>223010</v>
      </c>
      <c r="BI30" s="15">
        <f t="shared" si="15"/>
        <v>170535</v>
      </c>
      <c r="BJ30" s="15">
        <f t="shared" si="15"/>
        <v>42466</v>
      </c>
      <c r="BK30" s="15">
        <f t="shared" si="15"/>
        <v>35660</v>
      </c>
      <c r="BL30" s="15">
        <f t="shared" si="15"/>
        <v>53030</v>
      </c>
      <c r="BM30" s="15">
        <f t="shared" si="15"/>
        <v>4750</v>
      </c>
    </row>
    <row r="31" spans="1:65" x14ac:dyDescent="0.2">
      <c r="A31" s="84"/>
      <c r="B31" s="85"/>
      <c r="D31" s="86"/>
      <c r="E31" s="86"/>
      <c r="F31" s="86"/>
      <c r="G31" s="87"/>
      <c r="H31" s="87"/>
      <c r="I31" s="87"/>
      <c r="J31" s="87"/>
      <c r="K31" s="87"/>
      <c r="N31" s="51">
        <v>0.25</v>
      </c>
      <c r="O31" s="52">
        <v>1</v>
      </c>
      <c r="S31" s="36"/>
      <c r="T31" s="36"/>
      <c r="U31" s="36"/>
      <c r="V31" s="36"/>
      <c r="W31" s="36"/>
      <c r="X31" s="36"/>
      <c r="Y31" s="36"/>
      <c r="Z31" s="36"/>
      <c r="AA31" s="36"/>
      <c r="AB31" s="36"/>
      <c r="AO31" s="36"/>
      <c r="AP31" s="36"/>
      <c r="AQ31" s="36"/>
      <c r="AR31" s="36"/>
      <c r="AS31" s="36"/>
      <c r="AT31" s="36"/>
      <c r="AU31" s="36"/>
      <c r="BA31" s="12" t="s">
        <v>86</v>
      </c>
      <c r="BB31" s="15">
        <f ca="1">IF(BB29=0,0,MIN(OFFSET(BC29,1,1,1,BB29)))</f>
        <v>4750</v>
      </c>
      <c r="BD31" s="10">
        <f t="shared" ref="BD31:BM31" ca="1" si="16">IF(BD30=0,0,LOG(BD30/$BB$31,10))</f>
        <v>0.54121126457779789</v>
      </c>
      <c r="BE31" s="10">
        <f t="shared" ca="1" si="16"/>
        <v>0.43278369133386901</v>
      </c>
      <c r="BF31" s="10">
        <f t="shared" ca="1" si="16"/>
        <v>1.4482538127862135</v>
      </c>
      <c r="BG31" s="10">
        <f t="shared" ca="1" si="16"/>
        <v>0.19065600756392592</v>
      </c>
      <c r="BH31" s="10">
        <f t="shared" ca="1" si="16"/>
        <v>1.6716307280755205</v>
      </c>
      <c r="BI31" s="10">
        <f t="shared" ca="1" si="16"/>
        <v>1.5551199159143905</v>
      </c>
      <c r="BJ31" s="10">
        <f t="shared" ca="1" si="16"/>
        <v>0.95134774579152392</v>
      </c>
      <c r="BK31" s="10">
        <f t="shared" ca="1" si="16"/>
        <v>0.87548772921446927</v>
      </c>
      <c r="BL31" s="10">
        <f t="shared" ca="1" si="16"/>
        <v>1.047828017493696</v>
      </c>
      <c r="BM31" s="10">
        <f t="shared" ca="1" si="16"/>
        <v>0</v>
      </c>
    </row>
    <row r="32" spans="1:65" x14ac:dyDescent="0.2">
      <c r="A32" s="84"/>
      <c r="B32" s="85"/>
      <c r="D32" s="86"/>
      <c r="E32" s="86"/>
      <c r="F32" s="86"/>
      <c r="G32" s="87"/>
      <c r="H32" s="87"/>
      <c r="I32" s="87"/>
      <c r="J32" s="87"/>
      <c r="K32" s="87"/>
      <c r="N32" s="51">
        <v>2</v>
      </c>
      <c r="O32" s="52">
        <v>10</v>
      </c>
      <c r="S32" s="36"/>
      <c r="T32" s="36"/>
      <c r="U32" s="36"/>
      <c r="V32" s="36"/>
      <c r="W32" s="36"/>
      <c r="X32" s="36"/>
      <c r="Y32" s="36"/>
      <c r="Z32" s="36"/>
      <c r="AA32" s="36"/>
      <c r="AB32" s="36"/>
      <c r="AN32" s="10" t="s">
        <v>40</v>
      </c>
      <c r="AO32" s="36"/>
      <c r="AP32" s="62">
        <f>IF(DIAG!$T$22,$L$26,-1)</f>
        <v>-1</v>
      </c>
      <c r="AQ32" s="63">
        <f>AP32+(AY32-AP32)/9</f>
        <v>-1</v>
      </c>
      <c r="AR32" s="63">
        <f>AQ32+(AY32-AQ32)/8</f>
        <v>-1</v>
      </c>
      <c r="AS32" s="63">
        <f>AR32+(AY32-AR32)/7</f>
        <v>-1</v>
      </c>
      <c r="AT32" s="63">
        <f>AS32+(AY32-AS32)/6</f>
        <v>-1</v>
      </c>
      <c r="AU32" s="63">
        <f>AT32+(AY32-AT32)/5</f>
        <v>-1</v>
      </c>
      <c r="AV32" s="63">
        <f>AU32+(AY32-AU32)/4</f>
        <v>-1</v>
      </c>
      <c r="AW32" s="63">
        <f>AV32+(AY32-AV32)/3</f>
        <v>-1</v>
      </c>
      <c r="AX32" s="63">
        <f>AW32+(AY32-AW32)/2</f>
        <v>-1</v>
      </c>
      <c r="AY32" s="64">
        <f>IF(DIAG!$T$22,$C$26,-1)</f>
        <v>-1</v>
      </c>
      <c r="BB32" s="18"/>
    </row>
    <row r="33" spans="1:73" x14ac:dyDescent="0.2">
      <c r="B33" s="85"/>
      <c r="D33" s="86"/>
      <c r="E33" s="86"/>
      <c r="F33" s="86"/>
      <c r="G33" s="87"/>
      <c r="H33" s="87"/>
      <c r="I33" s="87"/>
      <c r="J33" s="87"/>
      <c r="K33" s="87"/>
      <c r="N33" s="55">
        <v>5</v>
      </c>
      <c r="O33" s="56">
        <v>1</v>
      </c>
      <c r="S33" s="36"/>
      <c r="T33" s="36"/>
      <c r="U33" s="36"/>
      <c r="V33" s="36"/>
      <c r="W33" s="36"/>
      <c r="X33" s="36"/>
      <c r="Y33" s="36"/>
      <c r="Z33" s="36"/>
      <c r="AA33" s="36"/>
      <c r="AB33" s="36"/>
      <c r="AO33" s="36"/>
      <c r="AP33" s="68">
        <f>IF(DIAG!$T$22,$L$27,-1)</f>
        <v>-1</v>
      </c>
      <c r="AQ33" s="69">
        <f>AP33+(AY33-AP33)/9</f>
        <v>-1</v>
      </c>
      <c r="AR33" s="69">
        <f>AQ33+(AY33-AQ33)/8</f>
        <v>-1</v>
      </c>
      <c r="AS33" s="69">
        <f>AR33+(AY33-AR33)/7</f>
        <v>-1</v>
      </c>
      <c r="AT33" s="69">
        <f>AS33+(AY33-AS33)/6</f>
        <v>-1</v>
      </c>
      <c r="AU33" s="69">
        <f>AT33+(AY33-AT33)/5</f>
        <v>-1</v>
      </c>
      <c r="AV33" s="69">
        <f>AU33+(AY33-AU33)/4</f>
        <v>-1</v>
      </c>
      <c r="AW33" s="69">
        <f>AV33+(AY33-AV33)/3</f>
        <v>-1</v>
      </c>
      <c r="AX33" s="69">
        <f>AW33+(AY33-AW33)/2</f>
        <v>-1</v>
      </c>
      <c r="AY33" s="70">
        <f>IF(DIAG!$T$22,$C$27,-1)</f>
        <v>-1</v>
      </c>
      <c r="BA33" s="10" t="s">
        <v>88</v>
      </c>
      <c r="BB33" s="15">
        <f ca="1">IF(OR(BB29=0,BB30=BB31),1,LOG(BB30/BB31,10))</f>
        <v>1.6716307280755205</v>
      </c>
      <c r="BD33" s="15">
        <f t="shared" ref="BD33:BM33" ca="1" si="17">BD31/$BB$33</f>
        <v>0.32376245272834397</v>
      </c>
      <c r="BE33" s="10">
        <f t="shared" ca="1" si="17"/>
        <v>0.25889910018112378</v>
      </c>
      <c r="BF33" s="15">
        <f t="shared" ca="1" si="17"/>
        <v>0.86637185382056736</v>
      </c>
      <c r="BG33" s="10">
        <f t="shared" ca="1" si="17"/>
        <v>0.11405390219371016</v>
      </c>
      <c r="BH33" s="10">
        <f t="shared" ca="1" si="17"/>
        <v>1</v>
      </c>
      <c r="BI33" s="10">
        <f t="shared" ca="1" si="17"/>
        <v>0.93030110645593111</v>
      </c>
      <c r="BJ33" s="10">
        <f t="shared" ca="1" si="17"/>
        <v>0.56911357862317558</v>
      </c>
      <c r="BK33" s="10">
        <f t="shared" ca="1" si="17"/>
        <v>0.52373273266062903</v>
      </c>
      <c r="BL33" s="10">
        <f t="shared" ca="1" si="17"/>
        <v>0.62682983741272646</v>
      </c>
      <c r="BM33" s="10">
        <f t="shared" ca="1" si="17"/>
        <v>0</v>
      </c>
    </row>
    <row r="34" spans="1:73" x14ac:dyDescent="0.2">
      <c r="A34" s="88" t="s">
        <v>43</v>
      </c>
      <c r="B34" s="89"/>
      <c r="C34" s="89"/>
      <c r="D34" s="89"/>
      <c r="E34" s="89"/>
      <c r="F34" s="90"/>
      <c r="G34" s="91"/>
      <c r="H34" s="91"/>
      <c r="I34" s="91"/>
      <c r="J34" s="91"/>
      <c r="K34" s="91"/>
      <c r="L34" s="92"/>
      <c r="M34" s="92"/>
      <c r="N34" s="92"/>
      <c r="O34" s="92">
        <v>0</v>
      </c>
      <c r="P34" s="6">
        <v>1</v>
      </c>
      <c r="Q34" s="6">
        <v>2</v>
      </c>
      <c r="R34" s="6">
        <v>3</v>
      </c>
      <c r="S34" s="6">
        <v>4</v>
      </c>
      <c r="T34" s="6">
        <v>7</v>
      </c>
      <c r="U34" s="6">
        <v>7</v>
      </c>
      <c r="V34" s="6">
        <v>7</v>
      </c>
      <c r="W34" s="6">
        <v>8</v>
      </c>
      <c r="X34" s="6">
        <v>9</v>
      </c>
      <c r="Y34" s="92">
        <v>10</v>
      </c>
      <c r="Z34" s="6">
        <v>9</v>
      </c>
      <c r="AA34" s="6">
        <v>8</v>
      </c>
      <c r="AB34" s="6">
        <v>7</v>
      </c>
      <c r="AC34" s="6">
        <v>6</v>
      </c>
      <c r="AD34" s="6">
        <v>5</v>
      </c>
      <c r="AE34" s="6">
        <v>4</v>
      </c>
      <c r="AF34" s="6">
        <v>3</v>
      </c>
      <c r="AG34" s="6">
        <v>2</v>
      </c>
      <c r="AH34" s="6">
        <v>1</v>
      </c>
      <c r="AI34" s="93">
        <v>0</v>
      </c>
      <c r="AO34" s="36"/>
      <c r="AS34" s="36"/>
      <c r="AT34" s="36"/>
      <c r="AU34" s="36"/>
    </row>
    <row r="35" spans="1:73" x14ac:dyDescent="0.2">
      <c r="A35" s="94" t="s">
        <v>44</v>
      </c>
      <c r="B35" s="95"/>
      <c r="C35" s="95"/>
      <c r="D35" s="95" t="s">
        <v>45</v>
      </c>
      <c r="E35" s="96">
        <f>-1/SQRT(3)</f>
        <v>-0.57735026918962584</v>
      </c>
      <c r="F35" s="96">
        <v>0</v>
      </c>
      <c r="G35" s="97">
        <f>1/SQRT(3)</f>
        <v>0.57735026918962584</v>
      </c>
      <c r="H35" s="97"/>
      <c r="I35" s="97"/>
      <c r="J35" s="97"/>
      <c r="K35" s="97"/>
      <c r="O35" s="36">
        <f>-1/SQRT(3)</f>
        <v>-0.57735026918962584</v>
      </c>
      <c r="P35" s="98">
        <f t="shared" ref="P35:X35" si="18">-1/SQRT(3)+P34*(1/SQRT(3)/10)</f>
        <v>-0.51961524227066325</v>
      </c>
      <c r="Q35" s="98">
        <f t="shared" si="18"/>
        <v>-0.46188021535170065</v>
      </c>
      <c r="R35" s="98">
        <f t="shared" si="18"/>
        <v>-0.40414518843273811</v>
      </c>
      <c r="S35" s="98">
        <f t="shared" si="18"/>
        <v>-0.34641016151377552</v>
      </c>
      <c r="T35" s="98">
        <f>-1/SQRT(3)+T34*(1/SQRT(3)/10)</f>
        <v>-0.17320508075688779</v>
      </c>
      <c r="U35" s="98">
        <f>-1/SQRT(3)+U34*(1/SQRT(3)/10)</f>
        <v>-0.17320508075688779</v>
      </c>
      <c r="V35" s="98">
        <f t="shared" si="18"/>
        <v>-0.17320508075688779</v>
      </c>
      <c r="W35" s="98">
        <f t="shared" si="18"/>
        <v>-0.11547005383792519</v>
      </c>
      <c r="X35" s="98">
        <f t="shared" si="18"/>
        <v>-5.7735026918962595E-2</v>
      </c>
      <c r="Y35" s="36">
        <f>-1/SQRT(3)+Y34*(1/SQRT(3)/10)</f>
        <v>0</v>
      </c>
      <c r="Z35" s="98">
        <f t="shared" ref="Z35:AH35" si="19">1/SQRT(3)-Z34*1/SQRT(3)/10</f>
        <v>5.7735026918962595E-2</v>
      </c>
      <c r="AA35" s="98">
        <f t="shared" si="19"/>
        <v>0.11547005383792519</v>
      </c>
      <c r="AB35" s="98">
        <f t="shared" si="19"/>
        <v>0.17320508075688779</v>
      </c>
      <c r="AC35" s="98">
        <f t="shared" si="19"/>
        <v>0.23094010767585038</v>
      </c>
      <c r="AD35" s="98">
        <f t="shared" si="19"/>
        <v>0.28867513459481292</v>
      </c>
      <c r="AE35" s="98">
        <f t="shared" si="19"/>
        <v>0.34641016151377552</v>
      </c>
      <c r="AF35" s="98">
        <f t="shared" si="19"/>
        <v>0.40414518843273811</v>
      </c>
      <c r="AG35" s="98">
        <f t="shared" si="19"/>
        <v>0.46188021535170065</v>
      </c>
      <c r="AH35" s="98">
        <f t="shared" si="19"/>
        <v>0.51961524227066325</v>
      </c>
      <c r="AI35" s="99">
        <f>1/SQRT(3)</f>
        <v>0.57735026918962584</v>
      </c>
      <c r="AN35" s="10" t="s">
        <v>42</v>
      </c>
      <c r="AO35" s="36"/>
      <c r="AP35" s="62">
        <f>IF(DIAG!$T$23,$L$26,-1)</f>
        <v>-1</v>
      </c>
      <c r="AQ35" s="63">
        <f>AP35+(AY35-AP35)/9</f>
        <v>-1</v>
      </c>
      <c r="AR35" s="63">
        <f>AQ35+(AY35-AQ35)/8</f>
        <v>-1</v>
      </c>
      <c r="AS35" s="63">
        <f>AR35+(AY35-AR35)/7</f>
        <v>-1</v>
      </c>
      <c r="AT35" s="63">
        <f>AS35+(AY35-AS35)/6</f>
        <v>-1</v>
      </c>
      <c r="AU35" s="63">
        <f>AT35+(AY35-AT35)/5</f>
        <v>-1</v>
      </c>
      <c r="AV35" s="63">
        <f>AU35+(AY35-AU35)/4</f>
        <v>-1</v>
      </c>
      <c r="AW35" s="63">
        <f>AV35+(AY35-AV35)/3</f>
        <v>-1</v>
      </c>
      <c r="AX35" s="63">
        <f>AW35+(AY35-AW35)/2</f>
        <v>-1</v>
      </c>
      <c r="AY35" s="64">
        <f>IF(DIAG!$T$23,$D$26,-1)</f>
        <v>-1</v>
      </c>
      <c r="BA35" s="10" t="s">
        <v>11</v>
      </c>
      <c r="BD35" s="10">
        <f ca="1">ROUND(10*BD33,0)</f>
        <v>3</v>
      </c>
      <c r="BE35" s="10">
        <f t="shared" ref="BE35:BM35" ca="1" si="20">ROUND(10*BE33,0)</f>
        <v>3</v>
      </c>
      <c r="BF35" s="10">
        <f ca="1">ROUND(10*BF33,0)</f>
        <v>9</v>
      </c>
      <c r="BG35" s="10">
        <f t="shared" ref="BG35" ca="1" si="21">ROUND(10*BG33,0)</f>
        <v>1</v>
      </c>
      <c r="BH35" s="10">
        <f t="shared" ca="1" si="20"/>
        <v>10</v>
      </c>
      <c r="BI35" s="10">
        <f t="shared" ca="1" si="20"/>
        <v>9</v>
      </c>
      <c r="BJ35" s="10">
        <f t="shared" ca="1" si="20"/>
        <v>6</v>
      </c>
      <c r="BK35" s="10">
        <f t="shared" ca="1" si="20"/>
        <v>5</v>
      </c>
      <c r="BL35" s="10">
        <f t="shared" ca="1" si="20"/>
        <v>6</v>
      </c>
      <c r="BM35" s="10">
        <f t="shared" ca="1" si="20"/>
        <v>0</v>
      </c>
      <c r="BN35" s="18"/>
    </row>
    <row r="36" spans="1:73" x14ac:dyDescent="0.2">
      <c r="A36" s="94" t="s">
        <v>47</v>
      </c>
      <c r="B36" s="95"/>
      <c r="C36" s="95"/>
      <c r="D36" s="95"/>
      <c r="E36" s="96">
        <v>0</v>
      </c>
      <c r="F36" s="96">
        <v>0</v>
      </c>
      <c r="G36" s="97">
        <v>0</v>
      </c>
      <c r="H36" s="97"/>
      <c r="I36" s="97"/>
      <c r="J36" s="97"/>
      <c r="K36" s="97"/>
      <c r="O36" s="36">
        <v>0</v>
      </c>
      <c r="P36" s="98">
        <v>0</v>
      </c>
      <c r="Q36" s="98">
        <v>0</v>
      </c>
      <c r="R36" s="98">
        <v>0</v>
      </c>
      <c r="S36" s="98">
        <v>0</v>
      </c>
      <c r="T36" s="98">
        <v>0</v>
      </c>
      <c r="U36" s="98">
        <v>0</v>
      </c>
      <c r="V36" s="98">
        <v>0</v>
      </c>
      <c r="W36" s="98">
        <v>0</v>
      </c>
      <c r="X36" s="98">
        <v>0</v>
      </c>
      <c r="Y36" s="36">
        <v>0</v>
      </c>
      <c r="Z36" s="98">
        <v>0</v>
      </c>
      <c r="AA36" s="98">
        <v>0</v>
      </c>
      <c r="AB36" s="98">
        <v>0</v>
      </c>
      <c r="AC36" s="98">
        <v>0</v>
      </c>
      <c r="AD36" s="98">
        <v>0</v>
      </c>
      <c r="AE36" s="98">
        <v>0</v>
      </c>
      <c r="AF36" s="98">
        <v>0</v>
      </c>
      <c r="AG36" s="98">
        <v>0</v>
      </c>
      <c r="AH36" s="98">
        <v>0</v>
      </c>
      <c r="AI36" s="99">
        <v>0</v>
      </c>
      <c r="AJ36" s="36"/>
      <c r="AK36" s="11"/>
      <c r="AL36" s="11"/>
      <c r="AM36" s="11"/>
      <c r="AO36" s="36"/>
      <c r="AP36" s="68">
        <f>IF(DIAG!$T$23,$L$27,-1)</f>
        <v>-1</v>
      </c>
      <c r="AQ36" s="69">
        <f>AP36+(AY36-AP36)/9</f>
        <v>-1</v>
      </c>
      <c r="AR36" s="69">
        <f>AQ36+(AY36-AQ36)/8</f>
        <v>-1</v>
      </c>
      <c r="AS36" s="69">
        <f>AR36+(AY36-AR36)/7</f>
        <v>-1</v>
      </c>
      <c r="AT36" s="69">
        <f>AS36+(AY36-AS36)/6</f>
        <v>-1</v>
      </c>
      <c r="AU36" s="69">
        <f>AT36+(AY36-AT36)/5</f>
        <v>-1</v>
      </c>
      <c r="AV36" s="69">
        <f>AU36+(AY36-AU36)/4</f>
        <v>-1</v>
      </c>
      <c r="AW36" s="69">
        <f>AV36+(AY36-AV36)/3</f>
        <v>-1</v>
      </c>
      <c r="AX36" s="69">
        <f>AW36+(AY36-AW36)/2</f>
        <v>-1</v>
      </c>
      <c r="AY36" s="70">
        <f>IF(DIAG!$T$23,$D$27,-1)</f>
        <v>-1</v>
      </c>
    </row>
    <row r="37" spans="1:73" x14ac:dyDescent="0.2">
      <c r="A37" s="100" t="s">
        <v>48</v>
      </c>
      <c r="B37" s="101"/>
      <c r="C37" s="101"/>
      <c r="D37" s="101"/>
      <c r="E37" s="102">
        <v>0</v>
      </c>
      <c r="F37" s="102">
        <v>1</v>
      </c>
      <c r="G37" s="103">
        <v>0</v>
      </c>
      <c r="H37" s="103"/>
      <c r="I37" s="103"/>
      <c r="J37" s="103"/>
      <c r="K37" s="103"/>
      <c r="L37" s="35"/>
      <c r="M37" s="35"/>
      <c r="N37" s="35"/>
      <c r="O37" s="35">
        <f>SQRT(3)*O35+1</f>
        <v>0</v>
      </c>
      <c r="P37" s="7">
        <f t="shared" ref="P37:X37" si="22">SQRT(3)*P35+1</f>
        <v>9.9999999999999978E-2</v>
      </c>
      <c r="Q37" s="7">
        <f t="shared" si="22"/>
        <v>0.19999999999999996</v>
      </c>
      <c r="R37" s="7">
        <f t="shared" si="22"/>
        <v>0.29999999999999993</v>
      </c>
      <c r="S37" s="7">
        <f t="shared" si="22"/>
        <v>0.39999999999999991</v>
      </c>
      <c r="T37" s="7">
        <f>SQRT(3)*T35+1</f>
        <v>0.7</v>
      </c>
      <c r="U37" s="7">
        <f>SQRT(3)*U35+1</f>
        <v>0.7</v>
      </c>
      <c r="V37" s="7">
        <f t="shared" si="22"/>
        <v>0.7</v>
      </c>
      <c r="W37" s="7">
        <f t="shared" si="22"/>
        <v>0.79999999999999993</v>
      </c>
      <c r="X37" s="7">
        <f t="shared" si="22"/>
        <v>0.89999999999999991</v>
      </c>
      <c r="Y37" s="35">
        <f>SQRT(3)*Y35+1</f>
        <v>1</v>
      </c>
      <c r="Z37" s="7">
        <f t="shared" ref="Z37:AH37" si="23">1-SQRT(3)*Z35</f>
        <v>0.89999999999999991</v>
      </c>
      <c r="AA37" s="7">
        <f t="shared" si="23"/>
        <v>0.79999999999999993</v>
      </c>
      <c r="AB37" s="7">
        <f t="shared" si="23"/>
        <v>0.7</v>
      </c>
      <c r="AC37" s="7">
        <f t="shared" si="23"/>
        <v>0.59999999999999987</v>
      </c>
      <c r="AD37" s="7">
        <f t="shared" si="23"/>
        <v>0.5</v>
      </c>
      <c r="AE37" s="7">
        <f t="shared" si="23"/>
        <v>0.39999999999999991</v>
      </c>
      <c r="AF37" s="7">
        <f t="shared" si="23"/>
        <v>0.29999999999999993</v>
      </c>
      <c r="AG37" s="7">
        <f t="shared" si="23"/>
        <v>0.19999999999999996</v>
      </c>
      <c r="AH37" s="7">
        <f t="shared" si="23"/>
        <v>9.9999999999999978E-2</v>
      </c>
      <c r="AI37" s="104">
        <f>1-SQRT(3)*AI35</f>
        <v>0</v>
      </c>
      <c r="AK37" s="11"/>
      <c r="AL37" s="11"/>
      <c r="AM37" s="11"/>
    </row>
    <row r="38" spans="1:73" x14ac:dyDescent="0.2">
      <c r="A38" s="84"/>
      <c r="B38" s="85"/>
      <c r="D38" s="86"/>
      <c r="E38" s="86"/>
      <c r="F38" s="86"/>
      <c r="G38" s="87"/>
      <c r="H38" s="87"/>
      <c r="I38" s="87"/>
      <c r="J38" s="87"/>
      <c r="K38" s="87"/>
      <c r="S38" s="36"/>
      <c r="T38" s="36"/>
      <c r="U38" s="36"/>
      <c r="V38" s="36"/>
      <c r="W38" s="36"/>
      <c r="X38" s="36"/>
      <c r="Y38" s="36"/>
      <c r="Z38" s="36"/>
      <c r="AA38" s="36"/>
      <c r="AB38" s="36"/>
      <c r="AK38" s="11"/>
      <c r="AL38" s="11"/>
      <c r="AM38" s="11"/>
      <c r="AN38" s="10" t="s">
        <v>46</v>
      </c>
      <c r="AP38" s="62">
        <f>IF(DIAG!$T$24,$L$26,-1)</f>
        <v>-1</v>
      </c>
      <c r="AQ38" s="63">
        <f>AP38+(AY38-AP38)/9</f>
        <v>-1</v>
      </c>
      <c r="AR38" s="63">
        <f>AQ38+(AY38-AQ38)/8</f>
        <v>-1</v>
      </c>
      <c r="AS38" s="63">
        <f>AR38+(AY38-AR38)/7</f>
        <v>-1</v>
      </c>
      <c r="AT38" s="63">
        <f>AS38+(AY38-AS38)/6</f>
        <v>-1</v>
      </c>
      <c r="AU38" s="63">
        <f>AT38+(AY38-AT38)/5</f>
        <v>-1</v>
      </c>
      <c r="AV38" s="63">
        <f>AU38+(AY38-AU38)/4</f>
        <v>-1</v>
      </c>
      <c r="AW38" s="63">
        <f>AV38+(AY38-AV38)/3</f>
        <v>-1</v>
      </c>
      <c r="AX38" s="63">
        <f>AW38+(AY38-AW38)/2</f>
        <v>-1</v>
      </c>
      <c r="AY38" s="64">
        <f>IF(DIAG!$T$24,$E$26,-1)</f>
        <v>-1</v>
      </c>
    </row>
    <row r="39" spans="1:73" x14ac:dyDescent="0.2">
      <c r="A39" s="105" t="s">
        <v>50</v>
      </c>
      <c r="B39" s="106"/>
      <c r="C39" s="106"/>
      <c r="D39" s="107"/>
      <c r="E39" s="107"/>
      <c r="F39" s="107"/>
      <c r="G39" s="108"/>
      <c r="H39" s="108"/>
      <c r="I39" s="108"/>
      <c r="J39" s="108"/>
      <c r="K39" s="108"/>
      <c r="L39" s="92"/>
      <c r="M39" s="92"/>
      <c r="N39" s="90" t="s">
        <v>45</v>
      </c>
      <c r="O39" s="91">
        <v>0</v>
      </c>
      <c r="P39" s="109">
        <f>AI35</f>
        <v>0.57735026918962584</v>
      </c>
      <c r="Q39" s="110">
        <f>O35</f>
        <v>-0.57735026918962584</v>
      </c>
      <c r="S39" s="36"/>
      <c r="T39" s="36"/>
      <c r="U39" s="36"/>
      <c r="V39" s="36"/>
      <c r="W39" s="36"/>
      <c r="X39" s="36"/>
      <c r="Y39" s="36"/>
      <c r="Z39" s="36"/>
      <c r="AA39" s="36"/>
      <c r="AB39" s="36"/>
      <c r="AK39" s="11"/>
      <c r="AL39" s="11"/>
      <c r="AM39" s="11"/>
      <c r="AP39" s="68">
        <f>IF(DIAG!$T$24,$L$27,-1)</f>
        <v>-1</v>
      </c>
      <c r="AQ39" s="69">
        <f>AP39+(AY39-AP39)/9</f>
        <v>-1</v>
      </c>
      <c r="AR39" s="69">
        <f>AQ39+(AY39-AQ39)/8</f>
        <v>-1</v>
      </c>
      <c r="AS39" s="69">
        <f>AR39+(AY39-AR39)/7</f>
        <v>-1</v>
      </c>
      <c r="AT39" s="69">
        <f>AS39+(AY39-AS39)/6</f>
        <v>-1</v>
      </c>
      <c r="AU39" s="69">
        <f>AT39+(AY39-AT39)/5</f>
        <v>-1</v>
      </c>
      <c r="AV39" s="69">
        <f>AU39+(AY39-AU39)/4</f>
        <v>-1</v>
      </c>
      <c r="AW39" s="69">
        <f>AV39+(AY39-AV39)/3</f>
        <v>-1</v>
      </c>
      <c r="AX39" s="69">
        <f>AW39+(AY39-AW39)/2</f>
        <v>-1</v>
      </c>
      <c r="AY39" s="70">
        <f>IF(DIAG!$T$24,$E$27,-1)</f>
        <v>-1</v>
      </c>
      <c r="BF39" s="10" t="s">
        <v>96</v>
      </c>
      <c r="BG39" s="10" t="s">
        <v>96</v>
      </c>
      <c r="BH39" s="10" t="s">
        <v>96</v>
      </c>
      <c r="BK39" s="11" t="s">
        <v>104</v>
      </c>
      <c r="BL39" s="11" t="s">
        <v>105</v>
      </c>
      <c r="BM39" s="11" t="s">
        <v>106</v>
      </c>
    </row>
    <row r="40" spans="1:73" x14ac:dyDescent="0.2">
      <c r="A40" s="111"/>
      <c r="N40" s="95" t="s">
        <v>5</v>
      </c>
      <c r="O40" s="112">
        <v>1</v>
      </c>
      <c r="P40" s="112"/>
      <c r="Q40" s="113"/>
      <c r="BE40" s="10" t="s">
        <v>45</v>
      </c>
      <c r="BF40" s="31">
        <f t="shared" ref="BF40:BJ41" si="24">BF43*$BK$40+BF45*$BL$40+BF47*$BM$40</f>
        <v>-0.57999999999999996</v>
      </c>
      <c r="BG40" s="31">
        <f t="shared" si="24"/>
        <v>0.57999999999999996</v>
      </c>
      <c r="BH40" s="31">
        <f t="shared" si="24"/>
        <v>0.57999999999999996</v>
      </c>
      <c r="BI40" s="31">
        <f t="shared" si="24"/>
        <v>-0.57999999999999996</v>
      </c>
      <c r="BJ40" s="31">
        <f t="shared" si="24"/>
        <v>-0.57999999999999996</v>
      </c>
      <c r="BK40" s="32" t="b">
        <v>1</v>
      </c>
      <c r="BL40" s="32" t="b">
        <v>0</v>
      </c>
      <c r="BM40" s="32" t="b">
        <v>0</v>
      </c>
    </row>
    <row r="41" spans="1:73" x14ac:dyDescent="0.2">
      <c r="A41" s="111"/>
      <c r="N41" s="95" t="s">
        <v>7</v>
      </c>
      <c r="O41" s="112"/>
      <c r="P41" s="112">
        <v>0</v>
      </c>
      <c r="Q41" s="113"/>
      <c r="S41" s="10" t="s">
        <v>94</v>
      </c>
      <c r="Z41" s="10" t="s">
        <v>95</v>
      </c>
      <c r="AN41" s="10" t="s">
        <v>49</v>
      </c>
      <c r="AP41" s="62">
        <f>IF(DIAG!$T$25,$L$26,-1)</f>
        <v>-1</v>
      </c>
      <c r="AQ41" s="63">
        <f>AP41+(AY41-AP41)/9</f>
        <v>-1</v>
      </c>
      <c r="AR41" s="63">
        <f>AQ41+(AY41-AQ41)/8</f>
        <v>-1</v>
      </c>
      <c r="AS41" s="63">
        <f>AR41+(AY41-AR41)/7</f>
        <v>-1</v>
      </c>
      <c r="AT41" s="63">
        <f>AS41+(AY41-AS41)/6</f>
        <v>-1</v>
      </c>
      <c r="AU41" s="63">
        <f>AT41+(AY41-AT41)/5</f>
        <v>-1</v>
      </c>
      <c r="AV41" s="63">
        <f>AU41+(AY41-AU41)/4</f>
        <v>-1</v>
      </c>
      <c r="AW41" s="63">
        <f>AV41+(AY41-AV41)/3</f>
        <v>-1</v>
      </c>
      <c r="AX41" s="63">
        <f>AW41+(AY41-AW41)/2</f>
        <v>-1</v>
      </c>
      <c r="AY41" s="64">
        <f>IF(DIAG!$T$25,$F$26,-1)</f>
        <v>-1</v>
      </c>
      <c r="BE41" s="10" t="s">
        <v>54</v>
      </c>
      <c r="BF41" s="31">
        <f t="shared" si="24"/>
        <v>-0.1</v>
      </c>
      <c r="BG41" s="31">
        <f t="shared" si="24"/>
        <v>-0.1</v>
      </c>
      <c r="BH41" s="31">
        <f t="shared" si="24"/>
        <v>1.1000000000000001</v>
      </c>
      <c r="BI41" s="31">
        <f t="shared" si="24"/>
        <v>1.1000000000000001</v>
      </c>
      <c r="BJ41" s="31">
        <f t="shared" si="24"/>
        <v>-0.1</v>
      </c>
    </row>
    <row r="42" spans="1:73" x14ac:dyDescent="0.2">
      <c r="A42" s="114"/>
      <c r="B42" s="35"/>
      <c r="C42" s="35"/>
      <c r="D42" s="35"/>
      <c r="E42" s="35"/>
      <c r="F42" s="35"/>
      <c r="G42" s="115"/>
      <c r="H42" s="115"/>
      <c r="I42" s="115"/>
      <c r="J42" s="115"/>
      <c r="K42" s="115"/>
      <c r="L42" s="35"/>
      <c r="M42" s="35"/>
      <c r="N42" s="101" t="s">
        <v>6</v>
      </c>
      <c r="O42" s="116"/>
      <c r="P42" s="116"/>
      <c r="Q42" s="117">
        <v>0</v>
      </c>
      <c r="S42" s="118">
        <v>-0.35799999999999998</v>
      </c>
      <c r="T42" s="118"/>
      <c r="Z42" s="10">
        <v>0</v>
      </c>
      <c r="AA42" s="10">
        <v>0</v>
      </c>
      <c r="AP42" s="68">
        <f>IF(DIAG!$T$25,$L$27,-1)</f>
        <v>-1</v>
      </c>
      <c r="AQ42" s="69">
        <f>AP42+(AY42-AP42)/9</f>
        <v>-1</v>
      </c>
      <c r="AR42" s="69">
        <f>AQ42+(AY42-AQ42)/8</f>
        <v>-1</v>
      </c>
      <c r="AS42" s="69">
        <f>AR42+(AY42-AR42)/7</f>
        <v>-1</v>
      </c>
      <c r="AT42" s="69">
        <f>AS42+(AY42-AS42)/6</f>
        <v>-1</v>
      </c>
      <c r="AU42" s="69">
        <f>AT42+(AY42-AT42)/5</f>
        <v>-1</v>
      </c>
      <c r="AV42" s="69">
        <f>AU42+(AY42-AU42)/4</f>
        <v>-1</v>
      </c>
      <c r="AW42" s="69">
        <f>AV42+(AY42-AV42)/3</f>
        <v>-1</v>
      </c>
      <c r="AX42" s="69">
        <f>AW42+(AY42-AW42)/2</f>
        <v>-1</v>
      </c>
      <c r="AY42" s="70">
        <f>IF(DIAG!$T$25,$F$27,-1)</f>
        <v>-1</v>
      </c>
      <c r="BK42" s="35"/>
      <c r="BL42" s="35" t="s">
        <v>103</v>
      </c>
      <c r="BM42" s="35"/>
      <c r="BN42" s="35"/>
      <c r="BO42" s="35"/>
      <c r="BU42" s="11"/>
    </row>
    <row r="43" spans="1:73" x14ac:dyDescent="0.2">
      <c r="A43" s="84"/>
      <c r="B43" s="85"/>
      <c r="D43" s="86"/>
      <c r="E43" s="86"/>
      <c r="F43" s="86"/>
      <c r="G43" s="87"/>
      <c r="H43" s="87"/>
      <c r="I43" s="87"/>
      <c r="J43" s="87"/>
      <c r="K43" s="87"/>
      <c r="S43" s="36">
        <f>IF(DIAG!$X$42,0.5,-1)</f>
        <v>-1</v>
      </c>
      <c r="T43" s="36"/>
      <c r="U43" s="36"/>
      <c r="V43" s="36"/>
      <c r="W43" s="36"/>
      <c r="X43" s="36"/>
      <c r="Y43" s="36"/>
      <c r="Z43" s="118">
        <f>IF(DIAG!$X$42,-0.027,-1)</f>
        <v>-1</v>
      </c>
      <c r="AA43" s="118">
        <f>IF(DIAG!$X$42,1.02,-1)</f>
        <v>-1</v>
      </c>
      <c r="AB43" s="36"/>
      <c r="AC43" s="36"/>
      <c r="AD43" s="36"/>
      <c r="AE43" s="36"/>
      <c r="BE43" s="10" t="s">
        <v>98</v>
      </c>
      <c r="BF43" s="31">
        <v>-0.57999999999999996</v>
      </c>
      <c r="BG43" s="31">
        <v>0.57999999999999996</v>
      </c>
      <c r="BH43" s="31">
        <v>0.57999999999999996</v>
      </c>
      <c r="BI43" s="31">
        <v>-0.57999999999999996</v>
      </c>
      <c r="BJ43" s="31">
        <v>-0.57999999999999996</v>
      </c>
      <c r="BK43" s="31">
        <v>-0.57999999999999996</v>
      </c>
      <c r="BL43" s="31">
        <v>0.57999999999999996</v>
      </c>
      <c r="BM43" s="31">
        <v>0.57999999999999996</v>
      </c>
      <c r="BN43" s="31">
        <v>-0.57999999999999996</v>
      </c>
      <c r="BO43" s="31">
        <v>-0.57999999999999996</v>
      </c>
    </row>
    <row r="44" spans="1:73" x14ac:dyDescent="0.2">
      <c r="A44" s="84"/>
      <c r="B44" s="85"/>
      <c r="D44" s="86"/>
      <c r="E44" s="86"/>
      <c r="F44" s="86"/>
      <c r="G44" s="87"/>
      <c r="H44" s="87"/>
      <c r="I44" s="87" t="str">
        <f>CONCATENATE("texto1",CHAR(10),"texto2")</f>
        <v>texto1
texto2</v>
      </c>
      <c r="J44" s="87"/>
      <c r="K44" s="87"/>
      <c r="N44" s="35"/>
      <c r="S44" s="36"/>
      <c r="T44" s="36"/>
      <c r="U44" s="36"/>
      <c r="V44" s="36"/>
      <c r="W44" s="36"/>
      <c r="X44" s="36"/>
      <c r="Y44" s="36"/>
      <c r="Z44" s="36"/>
      <c r="AA44" s="36"/>
      <c r="AB44" s="36"/>
      <c r="AN44" s="10" t="s">
        <v>51</v>
      </c>
      <c r="AP44" s="62">
        <f>IF(DIAG!$T$26,$L$26,-1)</f>
        <v>-1</v>
      </c>
      <c r="AQ44" s="63">
        <f>AP44+(AY44-AP44)/9</f>
        <v>-1</v>
      </c>
      <c r="AR44" s="63">
        <f>AQ44+(AY44-AQ44)/8</f>
        <v>-1</v>
      </c>
      <c r="AS44" s="63">
        <f>AR44+(AY44-AR44)/7</f>
        <v>-1</v>
      </c>
      <c r="AT44" s="63">
        <f>AS44+(AY44-AS44)/6</f>
        <v>-1</v>
      </c>
      <c r="AU44" s="63">
        <f>AT44+(AY44-AT44)/5</f>
        <v>-1</v>
      </c>
      <c r="AV44" s="63">
        <f>AU44+(AY44-AU44)/4</f>
        <v>-1</v>
      </c>
      <c r="AW44" s="63">
        <f>AV44+(AY44-AV44)/3</f>
        <v>-1</v>
      </c>
      <c r="AX44" s="63">
        <f>AW44+(AY44-AW44)/2</f>
        <v>-1</v>
      </c>
      <c r="AY44" s="64">
        <f>IF(DIAG!$T$26,$G$26,-1)</f>
        <v>-1</v>
      </c>
      <c r="BE44" s="10" t="s">
        <v>99</v>
      </c>
      <c r="BF44" s="31">
        <v>-0.1</v>
      </c>
      <c r="BG44" s="31">
        <v>-0.1</v>
      </c>
      <c r="BH44" s="31">
        <v>1.1000000000000001</v>
      </c>
      <c r="BI44" s="31">
        <v>1.1000000000000001</v>
      </c>
      <c r="BJ44" s="31">
        <v>-0.1</v>
      </c>
      <c r="BK44" s="31">
        <v>-0.1</v>
      </c>
      <c r="BL44" s="31">
        <v>-0.1</v>
      </c>
      <c r="BM44" s="31">
        <v>1.1000000000000001</v>
      </c>
      <c r="BN44" s="31">
        <v>1.1000000000000001</v>
      </c>
      <c r="BO44" s="31">
        <v>-0.1</v>
      </c>
    </row>
    <row r="45" spans="1:73" x14ac:dyDescent="0.2">
      <c r="A45" s="119" t="s">
        <v>52</v>
      </c>
      <c r="B45" s="120"/>
      <c r="C45" s="120"/>
      <c r="D45" s="120"/>
      <c r="E45" s="120"/>
      <c r="F45" s="92" t="s">
        <v>6</v>
      </c>
      <c r="G45" s="121"/>
      <c r="H45" s="121"/>
      <c r="I45" s="121"/>
      <c r="J45" s="121"/>
      <c r="K45" s="121"/>
      <c r="L45" s="122">
        <f>DIAG!$T$46*2/100</f>
        <v>0.2</v>
      </c>
      <c r="M45" s="90"/>
      <c r="N45" s="95" t="str">
        <f>IF(DIAG!$T$43,CONCATENATE("N=",TRUNC(L45/2,2)),"")</f>
        <v/>
      </c>
      <c r="O45" s="90">
        <f>IF(DIAG!$T$43,IF(1-$L$45-SQRT(3)*(O35)&gt;1,1,1-$L$45-SQRT(3)*(O35)),-1)</f>
        <v>-1</v>
      </c>
      <c r="P45" s="90">
        <f>IF(DIAG!$T$43,IF(1-$L$45-SQRT(3)*(P35)&gt;1,1,1-$L$45-SQRT(3)*(P35)),-1)</f>
        <v>-1</v>
      </c>
      <c r="Q45" s="90">
        <f>IF(DIAG!$T$43,IF(1-$L$45-SQRT(3)*(Q35)&gt;1,1,1-$L$45-SQRT(3)*(Q35)),-1)</f>
        <v>-1</v>
      </c>
      <c r="R45" s="90">
        <f>IF(DIAG!$T$43,IF(1-$L$45-SQRT(3)*(R35)&gt;1,1,1-$L$45-SQRT(3)*(R35)),-1)</f>
        <v>-1</v>
      </c>
      <c r="S45" s="90">
        <f>IF(DIAG!$T$43,IF(1-$L$45-SQRT(3)*(S35)&gt;1,1,1-$L$45-SQRT(3)*(S35)),-1)</f>
        <v>-1</v>
      </c>
      <c r="T45" s="90">
        <f>IF(DIAG!$T$43,IF(1-$L$45-SQRT(3)*(T35)&gt;1,1,1-$L$45-SQRT(3)*(T35)),-1)</f>
        <v>-1</v>
      </c>
      <c r="U45" s="90">
        <f>IF(DIAG!$T$43,IF(1-$L$45-SQRT(3)*(U35)&gt;1,1,1-$L$45-SQRT(3)*(U35)),-1)</f>
        <v>-1</v>
      </c>
      <c r="V45" s="90">
        <f>IF(DIAG!$T$43,IF(1-$L$45-SQRT(3)*(V35)&gt;1,1,1-$L$45-SQRT(3)*(V35)),-1)</f>
        <v>-1</v>
      </c>
      <c r="W45" s="90">
        <f>IF(DIAG!$T$43,IF(1-$L$45-SQRT(3)*(W35)&gt;1,1,1-$L$45-SQRT(3)*(W35)),-1)</f>
        <v>-1</v>
      </c>
      <c r="X45" s="90">
        <f>IF(DIAG!$T$43,IF(1-$L$45-SQRT(3)*(X35)&gt;1,1,1-$L$45-SQRT(3)*(X35)),-1)</f>
        <v>-1</v>
      </c>
      <c r="Y45" s="90">
        <f>IF(DIAG!$T$43,IF(1-$L$45-SQRT(3)*(Y35)&gt;1,1,1-$L$45-SQRT(3)*(Y35)),-1)</f>
        <v>-1</v>
      </c>
      <c r="Z45" s="90">
        <f>IF(DIAG!$T$43,IF(1-$L$45-SQRT(3)*(Z35)&gt;1,1,1-$L$45-SQRT(3)*(Z35)),-1)</f>
        <v>-1</v>
      </c>
      <c r="AA45" s="90">
        <f>IF(DIAG!$T$43,IF(1-$L$45-SQRT(3)*(AA35)&gt;1,1,1-$L$45-SQRT(3)*(AA35)),-1)</f>
        <v>-1</v>
      </c>
      <c r="AB45" s="90">
        <f>IF(DIAG!$T$43,IF(1-$L$45-SQRT(3)*(AB35)&gt;1,1,1-$L$45-SQRT(3)*(AB35)),-1)</f>
        <v>-1</v>
      </c>
      <c r="AC45" s="90">
        <f>IF(DIAG!$T$43,IF(1-$L$45-SQRT(3)*(AC35)&gt;1,1,1-$L$45-SQRT(3)*(AC35)),-1)</f>
        <v>-1</v>
      </c>
      <c r="AD45" s="90">
        <f>IF(DIAG!$T$43,IF(1-$L$45-SQRT(3)*(AD35)&gt;1,1,1-$L$45-SQRT(3)*(AD35)),-1)</f>
        <v>-1</v>
      </c>
      <c r="AE45" s="90">
        <f>IF(DIAG!$T$43,IF(1-$L$45-SQRT(3)*(AE35)&gt;1,1,1-$L$45-SQRT(3)*(AE35)),-1)</f>
        <v>-1</v>
      </c>
      <c r="AF45" s="90">
        <f>IF(DIAG!$T$43,IF(1-$L$45-SQRT(3)*(AF35)&gt;1,1,1-$L$45-SQRT(3)*(AF35)),-1)</f>
        <v>-1</v>
      </c>
      <c r="AG45" s="90">
        <f>IF(DIAG!$T$43,IF(1-$L$45-SQRT(3)*(AG35)&gt;1,1,1-$L$45-SQRT(3)*(AG35)),-1)</f>
        <v>-1</v>
      </c>
      <c r="AH45" s="90">
        <f>IF(DIAG!$T$43,IF(1-$L$45-SQRT(3)*(AH35)&gt;1,1,1-$L$45-SQRT(3)*(AH35)),-1)</f>
        <v>-1</v>
      </c>
      <c r="AI45" s="123">
        <f>IF(DIAG!$T$43,IF(1-$L$45-SQRT(3)*(AI35)&gt;1,1,1-$L$45-SQRT(3)*(AI35)),-1)</f>
        <v>-1</v>
      </c>
      <c r="AP45" s="68">
        <f>IF(DIAG!$T$26,$L$27,-1)</f>
        <v>-1</v>
      </c>
      <c r="AQ45" s="69">
        <f>AP45+(AY45-AP45)/9</f>
        <v>-1</v>
      </c>
      <c r="AR45" s="69">
        <f>AQ45+(AY45-AQ45)/8</f>
        <v>-1</v>
      </c>
      <c r="AS45" s="69">
        <f>AR45+(AY45-AR45)/7</f>
        <v>-1</v>
      </c>
      <c r="AT45" s="69">
        <f>AS45+(AY45-AS45)/6</f>
        <v>-1</v>
      </c>
      <c r="AU45" s="69">
        <f>AT45+(AY45-AT45)/5</f>
        <v>-1</v>
      </c>
      <c r="AV45" s="69">
        <f>AU45+(AY45-AU45)/4</f>
        <v>-1</v>
      </c>
      <c r="AW45" s="69">
        <f>AV45+(AY45-AV45)/3</f>
        <v>-1</v>
      </c>
      <c r="AX45" s="69">
        <f>AW45+(AY45-AW45)/2</f>
        <v>-1</v>
      </c>
      <c r="AY45" s="70">
        <f>IF(DIAG!$T$26,$G$27,-1)</f>
        <v>-1</v>
      </c>
      <c r="BE45" s="10" t="s">
        <v>97</v>
      </c>
      <c r="BF45" s="31">
        <v>-0.57999999999999996</v>
      </c>
      <c r="BG45" s="31">
        <v>0</v>
      </c>
      <c r="BH45" s="31">
        <v>0</v>
      </c>
      <c r="BI45" s="31">
        <v>-0.57999999999999996</v>
      </c>
      <c r="BJ45" s="31">
        <v>-0.57999999999999996</v>
      </c>
      <c r="BK45" s="31">
        <v>-0.57999999999999996</v>
      </c>
      <c r="BL45" s="31">
        <v>0</v>
      </c>
      <c r="BM45" s="31">
        <v>0</v>
      </c>
      <c r="BN45" s="31">
        <v>-0.57999999999999996</v>
      </c>
      <c r="BO45" s="31">
        <v>-0.57999999999999996</v>
      </c>
    </row>
    <row r="46" spans="1:73" x14ac:dyDescent="0.2">
      <c r="A46" s="111"/>
      <c r="F46" s="10" t="s">
        <v>7</v>
      </c>
      <c r="L46" s="124">
        <f>DIAG!$T$47*2/100</f>
        <v>0.2</v>
      </c>
      <c r="M46" s="95"/>
      <c r="N46" s="95" t="str">
        <f>IF(DIAG!$T$44,CONCATENATE("F=",TRUNC(L46/2,2),CHAR(10),"EYR=",TRUNC(2/L46,2),CHAR(10),"EIR= ",TRUNC(L46/(2*(1-L46/2)),2)),"")</f>
        <v/>
      </c>
      <c r="O46" s="95">
        <f>IF(DIAG!$T$44,IF(1-$L$46+SQRT(3)*(O35)&gt;1,1,1-$L$46+SQRT(3)*(O35)),-1)</f>
        <v>-1</v>
      </c>
      <c r="P46" s="95">
        <f>IF(DIAG!$T$44,IF(1-$L$46+SQRT(3)*(P35)&gt;1,1,1-$L$46+SQRT(3)*(P35)),-1)</f>
        <v>-1</v>
      </c>
      <c r="Q46" s="95">
        <f>IF(DIAG!$T$44,IF(1-$L$46+SQRT(3)*(Q35)&gt;1,1,1-$L$46+SQRT(3)*(Q35)),-1)</f>
        <v>-1</v>
      </c>
      <c r="R46" s="95">
        <f>IF(DIAG!$T$44,IF(1-$L$46+SQRT(3)*(R35)&gt;1,1,1-$L$46+SQRT(3)*(R35)),-1)</f>
        <v>-1</v>
      </c>
      <c r="S46" s="95">
        <f>IF(DIAG!$T$44,IF(1-$L$46+SQRT(3)*(S35)&gt;1,1,1-$L$46+SQRT(3)*(S35)),-1)</f>
        <v>-1</v>
      </c>
      <c r="T46" s="95">
        <f>IF(DIAG!$T$44,IF(1-$L$46+SQRT(3)*(T35)&gt;1,1,1-$L$46+SQRT(3)*(T35)),-1)</f>
        <v>-1</v>
      </c>
      <c r="U46" s="95">
        <f>IF(DIAG!$T$44,IF(1-$L$46+SQRT(3)*(U35)&gt;1,1,1-$L$46+SQRT(3)*(U35)),-1)</f>
        <v>-1</v>
      </c>
      <c r="V46" s="95">
        <f>IF(DIAG!$T$44,IF(1-$L$46+SQRT(3)*(V35)&gt;1,1,1-$L$46+SQRT(3)*(V35)),-1)</f>
        <v>-1</v>
      </c>
      <c r="W46" s="95">
        <f>IF(DIAG!$T$44,IF(1-$L$46+SQRT(3)*(W35)&gt;1,1,1-$L$46+SQRT(3)*(W35)),-1)</f>
        <v>-1</v>
      </c>
      <c r="X46" s="95">
        <f>IF(DIAG!$T$44,IF(1-$L$46+SQRT(3)*(X35)&gt;1,1,1-$L$46+SQRT(3)*(X35)),-1)</f>
        <v>-1</v>
      </c>
      <c r="Y46" s="95">
        <f>IF(DIAG!$T$44,IF(1-$L$46+SQRT(3)*(Y35)&gt;1,1,1-$L$46+SQRT(3)*(Y35)),-1)</f>
        <v>-1</v>
      </c>
      <c r="Z46" s="95">
        <f>IF(DIAG!$T$44,IF(1-$L$46+SQRT(3)*(Z35)&gt;1,1,1-$L$46+SQRT(3)*(Z35)),-1)</f>
        <v>-1</v>
      </c>
      <c r="AA46" s="95">
        <f>IF(DIAG!$T$44,IF(1-$L$46+SQRT(3)*(AA35)&gt;1,1,1-$L$46+SQRT(3)*(AA35)),-1)</f>
        <v>-1</v>
      </c>
      <c r="AB46" s="95">
        <f>IF(DIAG!$T$44,IF(1-$L$46+SQRT(3)*(AB35)&gt;1,1,1-$L$46+SQRT(3)*(AB35)),-1)</f>
        <v>-1</v>
      </c>
      <c r="AC46" s="95">
        <f>IF(DIAG!$T$44,IF(1-$L$46+SQRT(3)*(AC35)&gt;1,1,1-$L$46+SQRT(3)*(AC35)),-1)</f>
        <v>-1</v>
      </c>
      <c r="AD46" s="95">
        <f>IF(DIAG!$T$44,IF(1-$L$46+SQRT(3)*(AD35)&gt;1,1,1-$L$46+SQRT(3)*(AD35)),-1)</f>
        <v>-1</v>
      </c>
      <c r="AE46" s="95">
        <f>IF(DIAG!$T$44,IF(1-$L$46+SQRT(3)*(AE35)&gt;1,1,1-$L$46+SQRT(3)*(AE35)),-1)</f>
        <v>-1</v>
      </c>
      <c r="AF46" s="95">
        <f>IF(DIAG!$T$44,IF(1-$L$46+SQRT(3)*(AF35)&gt;1,1,1-$L$46+SQRT(3)*(AF35)),-1)</f>
        <v>-1</v>
      </c>
      <c r="AG46" s="95">
        <f>IF(DIAG!$T$44,IF(1-$L$46+SQRT(3)*(AG35)&gt;1,1,1-$L$46+SQRT(3)*(AG35)),-1)</f>
        <v>-1</v>
      </c>
      <c r="AH46" s="95">
        <f>IF(DIAG!$T$44,IF(1-$L$46+SQRT(3)*(AH35)&gt;1,1,1-$L$46+SQRT(3)*(AH35)),-1)</f>
        <v>-1</v>
      </c>
      <c r="AI46" s="125">
        <f>IF(DIAG!$T$44,IF(1-$L$46+SQRT(3)*(AI35)&gt;1,1,1-$L$46+SQRT(3)*(AI35)),-1)</f>
        <v>-1</v>
      </c>
      <c r="BE46" s="10" t="s">
        <v>100</v>
      </c>
      <c r="BF46" s="31">
        <v>0</v>
      </c>
      <c r="BG46" s="31">
        <v>0</v>
      </c>
      <c r="BH46" s="31">
        <v>0.5</v>
      </c>
      <c r="BI46" s="31">
        <v>0.5</v>
      </c>
      <c r="BJ46" s="31">
        <v>0</v>
      </c>
      <c r="BK46" s="31">
        <v>0</v>
      </c>
      <c r="BL46" s="31">
        <v>0</v>
      </c>
      <c r="BM46" s="31">
        <v>0.5</v>
      </c>
      <c r="BN46" s="31">
        <v>0.5</v>
      </c>
      <c r="BO46" s="31">
        <v>0</v>
      </c>
    </row>
    <row r="47" spans="1:73" x14ac:dyDescent="0.2">
      <c r="A47" s="114"/>
      <c r="B47" s="35"/>
      <c r="C47" s="35"/>
      <c r="D47" s="35"/>
      <c r="E47" s="35"/>
      <c r="F47" s="35" t="s">
        <v>5</v>
      </c>
      <c r="G47" s="115"/>
      <c r="H47" s="115"/>
      <c r="I47" s="115"/>
      <c r="J47" s="115"/>
      <c r="K47" s="115"/>
      <c r="L47" s="126">
        <f>DIAG!$T$45/100</f>
        <v>0.1</v>
      </c>
      <c r="M47" s="101"/>
      <c r="N47" s="101" t="str">
        <f>IF(DIAG!$T$42,CONCATENATE("R = ",L47,CHAR(10),"ELR=",TRUNC((1-L47)/(L47),2)),"")</f>
        <v/>
      </c>
      <c r="O47" s="101">
        <f>IF(DIAG!$T$42,$L$47,-1)</f>
        <v>-1</v>
      </c>
      <c r="P47" s="101">
        <f>IF(DIAG!$T$42,$L$47,-1)</f>
        <v>-1</v>
      </c>
      <c r="Q47" s="101">
        <f>IF(DIAG!$T$42,$L$47,-1)</f>
        <v>-1</v>
      </c>
      <c r="R47" s="101">
        <f>IF(DIAG!$T$42,$L$47,-1)</f>
        <v>-1</v>
      </c>
      <c r="S47" s="101">
        <f>IF(DIAG!$T$42,$L$47,-1)</f>
        <v>-1</v>
      </c>
      <c r="T47" s="101">
        <f>IF(DIAG!$T$42,$L$47,-1)</f>
        <v>-1</v>
      </c>
      <c r="U47" s="101">
        <f>IF(DIAG!$T$42,$L$47,-1)</f>
        <v>-1</v>
      </c>
      <c r="V47" s="101">
        <f>IF(DIAG!$T$42,$L$47,-1)</f>
        <v>-1</v>
      </c>
      <c r="W47" s="101">
        <f>IF(DIAG!$T$42,$L$47,-1)</f>
        <v>-1</v>
      </c>
      <c r="X47" s="101">
        <f>IF(DIAG!$T$42,$L$47,-1)</f>
        <v>-1</v>
      </c>
      <c r="Y47" s="101">
        <f>IF(DIAG!$T$42,$L$47,-1)</f>
        <v>-1</v>
      </c>
      <c r="Z47" s="101">
        <f>IF(DIAG!$T$42,$L$47,-1)</f>
        <v>-1</v>
      </c>
      <c r="AA47" s="101">
        <f>IF(DIAG!$T$42,$L$47,-1)</f>
        <v>-1</v>
      </c>
      <c r="AB47" s="101">
        <f>IF(DIAG!$T$42,$L$47,-1)</f>
        <v>-1</v>
      </c>
      <c r="AC47" s="101">
        <f>IF(DIAG!$T$42,$L$47,-1)</f>
        <v>-1</v>
      </c>
      <c r="AD47" s="101">
        <f>IF(DIAG!$T$42,$L$47,-1)</f>
        <v>-1</v>
      </c>
      <c r="AE47" s="101">
        <f>IF(DIAG!$T$42,$L$47,-1)</f>
        <v>-1</v>
      </c>
      <c r="AF47" s="101">
        <f>IF(DIAG!$T$42,$L$47,-1)</f>
        <v>-1</v>
      </c>
      <c r="AG47" s="101">
        <f>IF(DIAG!$T$42,$L$47,-1)</f>
        <v>-1</v>
      </c>
      <c r="AH47" s="101">
        <f>IF(DIAG!$T$42,$L$47,-1)</f>
        <v>-1</v>
      </c>
      <c r="AI47" s="127">
        <f>IF(DIAG!$T$42,$L$47,-1)</f>
        <v>-1</v>
      </c>
      <c r="AN47" s="10" t="s">
        <v>76</v>
      </c>
      <c r="AP47" s="62">
        <f>IF(DIAG!$T$27,$L$26,-1)</f>
        <v>-1</v>
      </c>
      <c r="AQ47" s="63">
        <f>AP47+(AY47-AP47)/9</f>
        <v>-1</v>
      </c>
      <c r="AR47" s="63">
        <f>AQ47+(AY47-AQ47)/8</f>
        <v>-1</v>
      </c>
      <c r="AS47" s="63">
        <f>AR47+(AY47-AR47)/7</f>
        <v>-1</v>
      </c>
      <c r="AT47" s="63">
        <f>AS47+(AY47-AS47)/6</f>
        <v>-1</v>
      </c>
      <c r="AU47" s="63">
        <f>AT47+(AY47-AT47)/5</f>
        <v>-1</v>
      </c>
      <c r="AV47" s="63">
        <f>AU47+(AY47-AU47)/4</f>
        <v>-1</v>
      </c>
      <c r="AW47" s="63">
        <f>AV47+(AY47-AV47)/3</f>
        <v>-1</v>
      </c>
      <c r="AX47" s="63">
        <f>AW47+(AY47-AW47)/2</f>
        <v>-1</v>
      </c>
      <c r="AY47" s="64">
        <f>IF(DIAG!$T$27,$H$26,-1)</f>
        <v>-1</v>
      </c>
      <c r="BE47" s="10" t="s">
        <v>101</v>
      </c>
      <c r="BF47" s="31">
        <v>-7.2499999999999912E-2</v>
      </c>
      <c r="BG47" s="31">
        <v>0.21750000000000003</v>
      </c>
      <c r="BH47" s="31">
        <v>0.21750000000000003</v>
      </c>
      <c r="BI47" s="31">
        <v>-7.2499999999999912E-2</v>
      </c>
      <c r="BJ47" s="31">
        <v>-7.2499999999999912E-2</v>
      </c>
      <c r="BK47" s="31">
        <v>-0.57999999999999996</v>
      </c>
      <c r="BL47" s="31">
        <v>-0.28999999999999998</v>
      </c>
      <c r="BM47" s="31">
        <v>-0.28999999999999998</v>
      </c>
      <c r="BN47" s="31">
        <v>-0.57999999999999996</v>
      </c>
      <c r="BO47" s="31">
        <v>-0.57999999999999996</v>
      </c>
    </row>
    <row r="48" spans="1:73" x14ac:dyDescent="0.2">
      <c r="A48" s="84"/>
      <c r="B48" s="85"/>
      <c r="D48" s="86"/>
      <c r="E48" s="86"/>
      <c r="F48" s="86"/>
      <c r="G48" s="87"/>
      <c r="H48" s="87"/>
      <c r="I48" s="87"/>
      <c r="J48" s="87"/>
      <c r="K48" s="87"/>
      <c r="S48" s="36"/>
      <c r="T48" s="36"/>
      <c r="U48" s="36"/>
      <c r="V48" s="36"/>
      <c r="W48" s="36"/>
      <c r="X48" s="36"/>
      <c r="Y48" s="36"/>
      <c r="Z48" s="36"/>
      <c r="AA48" s="36"/>
      <c r="AB48" s="36"/>
      <c r="AP48" s="68">
        <f>IF(DIAG!$T$27,$L$27,-1)</f>
        <v>-1</v>
      </c>
      <c r="AQ48" s="69">
        <f>AP48+(AY48-AP48)/9</f>
        <v>-1</v>
      </c>
      <c r="AR48" s="69">
        <f>AQ48+(AY48-AQ48)/8</f>
        <v>-1</v>
      </c>
      <c r="AS48" s="69">
        <f>AR48+(AY48-AR48)/7</f>
        <v>-1</v>
      </c>
      <c r="AT48" s="69">
        <f>AS48+(AY48-AS48)/6</f>
        <v>-1</v>
      </c>
      <c r="AU48" s="69">
        <f>AT48+(AY48-AT48)/5</f>
        <v>-1</v>
      </c>
      <c r="AV48" s="69">
        <f>AU48+(AY48-AU48)/4</f>
        <v>-1</v>
      </c>
      <c r="AW48" s="69">
        <f>AV48+(AY48-AV48)/3</f>
        <v>-1</v>
      </c>
      <c r="AX48" s="69">
        <f>AW48+(AY48-AW48)/2</f>
        <v>-1</v>
      </c>
      <c r="AY48" s="70">
        <f>IF(DIAG!$T$27,$H$27,-1)</f>
        <v>-1</v>
      </c>
      <c r="BE48" s="10" t="s">
        <v>102</v>
      </c>
      <c r="BF48" s="31">
        <v>0.125</v>
      </c>
      <c r="BG48" s="31">
        <v>0.125</v>
      </c>
      <c r="BH48" s="31">
        <v>0.375</v>
      </c>
      <c r="BI48" s="31">
        <v>0.375</v>
      </c>
      <c r="BJ48" s="31">
        <v>0.125</v>
      </c>
      <c r="BK48" s="31">
        <v>0</v>
      </c>
      <c r="BL48" s="31">
        <v>0</v>
      </c>
      <c r="BM48" s="31">
        <v>0.25</v>
      </c>
      <c r="BN48" s="31">
        <v>0.25</v>
      </c>
      <c r="BO48" s="31">
        <v>0</v>
      </c>
    </row>
    <row r="49" spans="1:59" x14ac:dyDescent="0.2">
      <c r="A49" s="84"/>
      <c r="B49" s="85"/>
      <c r="D49" s="86"/>
      <c r="E49" s="86"/>
      <c r="F49" s="86"/>
      <c r="G49" s="87"/>
      <c r="H49" s="87"/>
      <c r="I49" s="87"/>
      <c r="J49" s="87"/>
      <c r="K49" s="87"/>
      <c r="S49" s="36"/>
      <c r="T49" s="36"/>
      <c r="U49" s="36"/>
      <c r="V49" s="36"/>
      <c r="W49" s="36"/>
      <c r="X49" s="36"/>
      <c r="Y49" s="36"/>
      <c r="Z49" s="36"/>
      <c r="AA49" s="36"/>
      <c r="AB49" s="36"/>
    </row>
    <row r="50" spans="1:59" x14ac:dyDescent="0.2">
      <c r="A50" s="105" t="s">
        <v>80</v>
      </c>
      <c r="B50" s="106"/>
      <c r="C50" s="106"/>
      <c r="D50" s="106"/>
      <c r="E50" s="107"/>
      <c r="F50" s="107"/>
      <c r="G50" s="108"/>
      <c r="H50" s="108"/>
      <c r="I50" s="108"/>
      <c r="J50" s="108"/>
      <c r="K50" s="108"/>
      <c r="L50" s="92"/>
      <c r="M50" s="92"/>
      <c r="N50" s="90"/>
      <c r="O50" s="90"/>
      <c r="P50" s="128">
        <f t="shared" ref="P50:S50" si="25">B26</f>
        <v>0.53291988700628756</v>
      </c>
      <c r="Q50" s="128">
        <f t="shared" si="25"/>
        <v>0.55478034726513814</v>
      </c>
      <c r="R50" s="128">
        <f t="shared" si="25"/>
        <v>3.7498150020865914E-3</v>
      </c>
      <c r="S50" s="128">
        <f t="shared" si="25"/>
        <v>8.6195072761755193E-4</v>
      </c>
      <c r="T50" s="128">
        <f t="shared" ref="T50:Y50" si="26">F26</f>
        <v>0.56251329150824048</v>
      </c>
      <c r="U50" s="128">
        <f t="shared" si="26"/>
        <v>0.13391438647665083</v>
      </c>
      <c r="V50" s="128">
        <f t="shared" si="26"/>
        <v>0.33832622448038058</v>
      </c>
      <c r="W50" s="128">
        <f t="shared" si="26"/>
        <v>6.8485463787777033E-3</v>
      </c>
      <c r="X50" s="128">
        <f t="shared" si="26"/>
        <v>-0.49425886329757934</v>
      </c>
      <c r="Y50" s="129">
        <f t="shared" si="26"/>
        <v>-5.22653927897977E-2</v>
      </c>
      <c r="Z50" s="36"/>
      <c r="AA50" s="36"/>
      <c r="AB50" s="36"/>
      <c r="AN50" s="10" t="s">
        <v>77</v>
      </c>
      <c r="AP50" s="62">
        <f>IF(DIAG!$T$28,$L$26,-1)</f>
        <v>-1</v>
      </c>
      <c r="AQ50" s="63">
        <f>AP50+(AY50-AP50)/9</f>
        <v>-1</v>
      </c>
      <c r="AR50" s="63">
        <f>AQ50+(AY50-AQ50)/8</f>
        <v>-1</v>
      </c>
      <c r="AS50" s="63">
        <f>AR50+(AY50-AR50)/7</f>
        <v>-1</v>
      </c>
      <c r="AT50" s="63">
        <f>AS50+(AY50-AS50)/6</f>
        <v>-1</v>
      </c>
      <c r="AU50" s="63">
        <f>AT50+(AY50-AT50)/5</f>
        <v>-1</v>
      </c>
      <c r="AV50" s="63">
        <f>AU50+(AY50-AU50)/4</f>
        <v>-1</v>
      </c>
      <c r="AW50" s="63">
        <f>AV50+(AY50-AV50)/3</f>
        <v>-1</v>
      </c>
      <c r="AX50" s="63">
        <f>AW50+(AY50-AW50)/2</f>
        <v>-1</v>
      </c>
      <c r="AY50" s="64">
        <f>IF(DIAG!$T$28,$I$26,-1)</f>
        <v>-1</v>
      </c>
    </row>
    <row r="51" spans="1:59" x14ac:dyDescent="0.2">
      <c r="A51" s="111"/>
      <c r="N51" s="95" t="str">
        <f>B5</f>
        <v xml:space="preserve"> 1-Thayna</v>
      </c>
      <c r="O51" s="95"/>
      <c r="P51" s="96">
        <f>B27</f>
        <v>7.477597481230322E-2</v>
      </c>
      <c r="Q51" s="95"/>
      <c r="R51" s="95"/>
      <c r="S51" s="95"/>
      <c r="T51" s="95"/>
      <c r="U51" s="95"/>
      <c r="V51" s="95"/>
      <c r="W51" s="95"/>
      <c r="X51" s="95"/>
      <c r="Y51" s="125"/>
      <c r="AP51" s="68">
        <f>IF(DIAG!$T$28,$L$27,-1)</f>
        <v>-1</v>
      </c>
      <c r="AQ51" s="69">
        <f>AP51+(AY51-AP51)/9</f>
        <v>-1</v>
      </c>
      <c r="AR51" s="69">
        <f>AQ51+(AY51-AQ51)/8</f>
        <v>-1</v>
      </c>
      <c r="AS51" s="69">
        <f>AR51+(AY51-AR51)/7</f>
        <v>-1</v>
      </c>
      <c r="AT51" s="69">
        <f>AS51+(AY51-AS51)/6</f>
        <v>-1</v>
      </c>
      <c r="AU51" s="69">
        <f>AT51+(AY51-AT51)/5</f>
        <v>-1</v>
      </c>
      <c r="AV51" s="69">
        <f>AU51+(AY51-AU51)/4</f>
        <v>-1</v>
      </c>
      <c r="AW51" s="69">
        <f>AV51+(AY51-AV51)/3</f>
        <v>-1</v>
      </c>
      <c r="AX51" s="69">
        <f>AW51+(AY51-AW51)/2</f>
        <v>-1</v>
      </c>
      <c r="AY51" s="70">
        <f>IF(DIAG!$T$28,$I$27,-1)</f>
        <v>-1</v>
      </c>
    </row>
    <row r="52" spans="1:59" x14ac:dyDescent="0.2">
      <c r="A52" s="111"/>
      <c r="N52" s="95" t="str">
        <f>C5</f>
        <v xml:space="preserve"> 2-Henrique</v>
      </c>
      <c r="O52" s="95"/>
      <c r="P52" s="95"/>
      <c r="Q52" s="96">
        <f>C27</f>
        <v>1.1269138105230435E-2</v>
      </c>
      <c r="R52" s="95"/>
      <c r="S52" s="95"/>
      <c r="T52" s="95"/>
      <c r="U52" s="95"/>
      <c r="V52" s="95"/>
      <c r="W52" s="95"/>
      <c r="X52" s="95"/>
      <c r="Y52" s="125"/>
    </row>
    <row r="53" spans="1:59" x14ac:dyDescent="0.2">
      <c r="A53" s="111"/>
      <c r="N53" s="95" t="str">
        <f>D5</f>
        <v xml:space="preserve"> 3-</v>
      </c>
      <c r="O53" s="95"/>
      <c r="P53" s="95"/>
      <c r="Q53" s="95"/>
      <c r="R53" s="96">
        <f>D27</f>
        <v>0.97405051898962025</v>
      </c>
      <c r="S53" s="95"/>
      <c r="T53" s="95"/>
      <c r="U53" s="95"/>
      <c r="V53" s="95"/>
      <c r="W53" s="95"/>
      <c r="X53" s="95"/>
      <c r="Y53" s="125"/>
      <c r="AN53" s="10" t="s">
        <v>78</v>
      </c>
      <c r="AP53" s="62">
        <f>IF(DIAG!$T$29,$L$26,-1)</f>
        <v>-1</v>
      </c>
      <c r="AQ53" s="63">
        <f>AP53+(AY53-AP53)/9</f>
        <v>-1</v>
      </c>
      <c r="AR53" s="63">
        <f>AQ53+(AY53-AQ53)/8</f>
        <v>-1</v>
      </c>
      <c r="AS53" s="63">
        <f>AR53+(AY53-AR53)/7</f>
        <v>-1</v>
      </c>
      <c r="AT53" s="63">
        <f>AS53+(AY53-AS53)/6</f>
        <v>-1</v>
      </c>
      <c r="AU53" s="63">
        <f>AT53+(AY53-AT53)/5</f>
        <v>-1</v>
      </c>
      <c r="AV53" s="63">
        <f>AU53+(AY53-AU53)/4</f>
        <v>-1</v>
      </c>
      <c r="AW53" s="63">
        <f>AV53+(AY53-AV53)/3</f>
        <v>-1</v>
      </c>
      <c r="AX53" s="63">
        <f>AW53+(AY53-AW53)/2</f>
        <v>-1</v>
      </c>
      <c r="AY53" s="64">
        <f>IF(DIAG!$T$29,$J$26,-1)</f>
        <v>-1</v>
      </c>
    </row>
    <row r="54" spans="1:59" x14ac:dyDescent="0.2">
      <c r="A54" s="111"/>
      <c r="N54" s="95" t="str">
        <f>E5</f>
        <v xml:space="preserve"> 4-Bianca</v>
      </c>
      <c r="O54" s="95"/>
      <c r="P54" s="95"/>
      <c r="Q54" s="95"/>
      <c r="R54" s="95"/>
      <c r="S54" s="96">
        <f>E27</f>
        <v>0.40540173724212814</v>
      </c>
      <c r="T54" s="95"/>
      <c r="U54" s="95"/>
      <c r="V54" s="95"/>
      <c r="W54" s="95"/>
      <c r="X54" s="95"/>
      <c r="Y54" s="125"/>
      <c r="AP54" s="68">
        <f>IF(DIAG!$T$29,$L$27,-1)</f>
        <v>-1</v>
      </c>
      <c r="AQ54" s="69">
        <f>AP54+(AY54-AP54)/9</f>
        <v>-1</v>
      </c>
      <c r="AR54" s="69">
        <f>AQ54+(AY54-AQ54)/8</f>
        <v>-1</v>
      </c>
      <c r="AS54" s="69">
        <f>AR54+(AY54-AR54)/7</f>
        <v>-1</v>
      </c>
      <c r="AT54" s="69">
        <f>AS54+(AY54-AS54)/6</f>
        <v>-1</v>
      </c>
      <c r="AU54" s="69">
        <f>AT54+(AY54-AT54)/5</f>
        <v>-1</v>
      </c>
      <c r="AV54" s="69">
        <f>AU54+(AY54-AU54)/4</f>
        <v>-1</v>
      </c>
      <c r="AW54" s="69">
        <f>AV54+(AY54-AV54)/3</f>
        <v>-1</v>
      </c>
      <c r="AX54" s="69">
        <f>AW54+(AY54-AW54)/2</f>
        <v>-1</v>
      </c>
      <c r="AY54" s="70">
        <f>IF(DIAG!$T$29,$J$27,-1)</f>
        <v>-1</v>
      </c>
    </row>
    <row r="55" spans="1:59" x14ac:dyDescent="0.2">
      <c r="A55" s="111"/>
      <c r="N55" s="95" t="str">
        <f>F5</f>
        <v xml:space="preserve"> 5-</v>
      </c>
      <c r="O55" s="95"/>
      <c r="P55" s="95"/>
      <c r="Q55" s="95"/>
      <c r="R55" s="95"/>
      <c r="S55" s="95"/>
      <c r="T55" s="96"/>
      <c r="U55" s="95"/>
      <c r="V55" s="95"/>
      <c r="W55" s="95"/>
      <c r="X55" s="95"/>
      <c r="Y55" s="125"/>
    </row>
    <row r="56" spans="1:59" x14ac:dyDescent="0.2">
      <c r="A56" s="111"/>
      <c r="B56" s="11">
        <v>1</v>
      </c>
      <c r="C56" s="11">
        <v>2</v>
      </c>
      <c r="D56" s="11">
        <v>3</v>
      </c>
      <c r="E56" s="11">
        <v>4</v>
      </c>
      <c r="F56" s="11">
        <v>5</v>
      </c>
      <c r="G56" s="11">
        <v>6</v>
      </c>
      <c r="N56" s="95" t="str">
        <f>G5</f>
        <v xml:space="preserve"> 6-Biagio</v>
      </c>
      <c r="O56" s="95"/>
      <c r="P56" s="95"/>
      <c r="Q56" s="95"/>
      <c r="R56" s="95"/>
      <c r="S56" s="95"/>
      <c r="T56" s="95"/>
      <c r="U56" s="96"/>
      <c r="V56" s="95"/>
      <c r="W56" s="95"/>
      <c r="X56" s="95"/>
      <c r="Y56" s="125"/>
      <c r="AN56" s="10" t="s">
        <v>79</v>
      </c>
      <c r="AP56" s="62">
        <f>IF(DIAG!$T$30,$L$26,-1)</f>
        <v>-1</v>
      </c>
      <c r="AQ56" s="63">
        <f>AP56+(AY56-AP56)/9</f>
        <v>-1</v>
      </c>
      <c r="AR56" s="63">
        <f>AQ56+(AY56-AQ56)/8</f>
        <v>-1</v>
      </c>
      <c r="AS56" s="63">
        <v>-0.5</v>
      </c>
      <c r="AT56" s="63">
        <v>-1</v>
      </c>
      <c r="AU56" s="63"/>
      <c r="AV56" s="63"/>
      <c r="AW56" s="63"/>
      <c r="AX56" s="63">
        <f>AW56+(AY56-AW56)/2</f>
        <v>-0.5</v>
      </c>
      <c r="AY56" s="64">
        <f>IF(DIAG!$T$30,$K$26,-1)</f>
        <v>-1</v>
      </c>
    </row>
    <row r="57" spans="1:59" x14ac:dyDescent="0.2">
      <c r="A57" s="111"/>
      <c r="B57" s="11"/>
      <c r="C57" s="11"/>
      <c r="D57" s="11"/>
      <c r="E57" s="11"/>
      <c r="F57" s="11"/>
      <c r="N57" s="95" t="str">
        <f>H5</f>
        <v xml:space="preserve"> 7-Cecilia</v>
      </c>
      <c r="O57" s="95"/>
      <c r="P57" s="95"/>
      <c r="Q57" s="95"/>
      <c r="R57" s="95"/>
      <c r="S57" s="95"/>
      <c r="T57" s="96">
        <f>F27</f>
        <v>2.375229810322407E-2</v>
      </c>
      <c r="U57" s="96">
        <v>0.74762365496818795</v>
      </c>
      <c r="V57" s="96">
        <f>H27</f>
        <v>0.41042245561154805</v>
      </c>
      <c r="W57" s="95"/>
      <c r="X57" s="95"/>
      <c r="Y57" s="125"/>
      <c r="AP57" s="68">
        <f>IF(DIAG!$T$30,$L$27,-1)</f>
        <v>-1</v>
      </c>
      <c r="AQ57" s="69">
        <f>AP57+(AY57-AP57)/9</f>
        <v>-1</v>
      </c>
      <c r="AR57" s="69">
        <f>AQ57+(AY57-AQ57)/8</f>
        <v>-1</v>
      </c>
      <c r="AS57" s="69">
        <v>-0.5</v>
      </c>
      <c r="AT57" s="69">
        <v>-1</v>
      </c>
      <c r="AU57" s="69"/>
      <c r="AV57" s="69"/>
      <c r="AW57" s="69"/>
      <c r="AX57" s="69">
        <f>AW57+(AY57-AW57)/2</f>
        <v>-0.5</v>
      </c>
      <c r="AY57" s="70">
        <f>IF(DIAG!$T$30,$K$27,-1)</f>
        <v>-1</v>
      </c>
    </row>
    <row r="58" spans="1:59" x14ac:dyDescent="0.2">
      <c r="A58" s="111"/>
      <c r="B58" s="11"/>
      <c r="C58" s="11"/>
      <c r="D58" s="11"/>
      <c r="E58" s="11"/>
      <c r="F58" s="11"/>
      <c r="N58" s="95" t="str">
        <f>I5</f>
        <v xml:space="preserve"> 8-</v>
      </c>
      <c r="O58" s="95"/>
      <c r="P58" s="95"/>
      <c r="Q58" s="95"/>
      <c r="R58" s="95"/>
      <c r="S58" s="95"/>
      <c r="T58" s="95"/>
      <c r="U58" s="96"/>
      <c r="V58" s="95"/>
      <c r="W58" s="96">
        <f>I27</f>
        <v>5.0196298373527759E-3</v>
      </c>
      <c r="X58" s="95"/>
      <c r="Y58" s="125"/>
    </row>
    <row r="59" spans="1:59" x14ac:dyDescent="0.2">
      <c r="A59" s="111"/>
      <c r="B59" s="11"/>
      <c r="C59" s="11"/>
      <c r="D59" s="11"/>
      <c r="E59" s="11"/>
      <c r="F59" s="11"/>
      <c r="N59" s="95" t="str">
        <f>J5</f>
        <v xml:space="preserve"> 9-Antunes</v>
      </c>
      <c r="O59" s="95"/>
      <c r="P59" s="95"/>
      <c r="Q59" s="95"/>
      <c r="R59" s="95"/>
      <c r="S59" s="95"/>
      <c r="T59" s="95"/>
      <c r="U59" s="96"/>
      <c r="V59" s="95"/>
      <c r="W59" s="95"/>
      <c r="X59" s="96">
        <f>J27</f>
        <v>7.8747878559306053E-2</v>
      </c>
      <c r="Y59" s="125"/>
    </row>
    <row r="60" spans="1:59" x14ac:dyDescent="0.2">
      <c r="A60" s="114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35"/>
      <c r="M60" s="35"/>
      <c r="N60" s="101" t="str">
        <f>K5</f>
        <v>10-</v>
      </c>
      <c r="O60" s="101"/>
      <c r="P60" s="101"/>
      <c r="Q60" s="101"/>
      <c r="R60" s="101"/>
      <c r="S60" s="101"/>
      <c r="T60" s="101"/>
      <c r="U60" s="102"/>
      <c r="V60" s="101"/>
      <c r="W60" s="101"/>
      <c r="X60" s="101"/>
      <c r="Y60" s="130">
        <f>K27</f>
        <v>0.36378947368421055</v>
      </c>
    </row>
    <row r="61" spans="1:59" x14ac:dyDescent="0.2">
      <c r="A61" s="84"/>
      <c r="B61" s="85"/>
      <c r="D61" s="86"/>
      <c r="E61" s="86"/>
      <c r="F61" s="86"/>
      <c r="G61" s="87"/>
      <c r="H61" s="87"/>
      <c r="I61" s="87"/>
      <c r="J61" s="87"/>
      <c r="K61" s="87"/>
      <c r="S61" s="36"/>
      <c r="T61" s="36"/>
      <c r="U61" s="36"/>
      <c r="V61" s="36"/>
      <c r="W61" s="36"/>
      <c r="X61" s="36"/>
      <c r="Y61" s="36"/>
      <c r="Z61" s="36"/>
      <c r="AA61" s="36"/>
      <c r="AB61" s="36"/>
      <c r="AM61" s="10" t="s">
        <v>109</v>
      </c>
    </row>
    <row r="62" spans="1:59" x14ac:dyDescent="0.2">
      <c r="A62" s="84"/>
      <c r="B62" s="85"/>
      <c r="D62" s="86"/>
      <c r="E62" s="86"/>
      <c r="F62" s="86"/>
      <c r="G62" s="87"/>
      <c r="H62" s="87"/>
      <c r="I62" s="87"/>
      <c r="J62" s="87"/>
      <c r="K62" s="87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59" x14ac:dyDescent="0.2">
      <c r="A63" s="84"/>
      <c r="B63" s="85"/>
      <c r="D63" s="86"/>
      <c r="E63" s="86"/>
      <c r="F63" s="86"/>
      <c r="G63" s="87"/>
      <c r="H63" s="87"/>
      <c r="I63" s="87"/>
      <c r="J63" s="87"/>
      <c r="K63" s="87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59" x14ac:dyDescent="0.2">
      <c r="A64" s="105" t="s">
        <v>4</v>
      </c>
      <c r="B64" s="106"/>
      <c r="C64" s="106"/>
      <c r="D64" s="107"/>
      <c r="E64" s="107"/>
      <c r="F64" s="86"/>
      <c r="G64" s="87"/>
      <c r="H64" s="87"/>
      <c r="I64" s="87"/>
      <c r="J64" s="87"/>
      <c r="K64" s="87"/>
      <c r="M64" s="95"/>
      <c r="N64" s="95" t="s">
        <v>81</v>
      </c>
      <c r="O64" s="112">
        <f>DIAG!$T$51</f>
        <v>1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6"/>
      <c r="AA64" s="96"/>
      <c r="AB64" s="96"/>
      <c r="AC64" s="95"/>
      <c r="AD64" s="95"/>
      <c r="AE64" s="95"/>
      <c r="AF64" s="95"/>
      <c r="AG64" s="95"/>
      <c r="AM64" s="95"/>
      <c r="AN64" s="95" t="s">
        <v>81</v>
      </c>
      <c r="AO64" s="112">
        <v>1</v>
      </c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6"/>
      <c r="BA64" s="96"/>
      <c r="BB64" s="96"/>
      <c r="BC64" s="95"/>
      <c r="BD64" s="95"/>
      <c r="BE64" s="95"/>
      <c r="BF64" s="95"/>
      <c r="BG64" s="95"/>
    </row>
    <row r="65" spans="1:59" x14ac:dyDescent="0.2">
      <c r="A65" s="84"/>
      <c r="B65" s="85"/>
      <c r="D65" s="86"/>
      <c r="E65" s="86"/>
      <c r="F65" s="86"/>
      <c r="G65" s="87"/>
      <c r="H65" s="87"/>
      <c r="I65" s="87"/>
      <c r="J65" s="87"/>
      <c r="K65" s="87"/>
      <c r="M65" s="59">
        <f>O64</f>
        <v>1</v>
      </c>
      <c r="N65" s="90" t="s">
        <v>53</v>
      </c>
      <c r="O65" s="91">
        <f t="shared" ref="O65:AG65" si="27">(2*O66*($M65+1)-$M65-$M65*O66^2)/(SQRT(3)*$M65*(1-O66))</f>
        <v>-1.7320508075688774</v>
      </c>
      <c r="P65" s="91">
        <f t="shared" si="27"/>
        <v>-1.7320508075688774</v>
      </c>
      <c r="Q65" s="91">
        <f t="shared" si="27"/>
        <v>-1.7320508075688774</v>
      </c>
      <c r="R65" s="91">
        <f t="shared" si="27"/>
        <v>-1.7320508075688774</v>
      </c>
      <c r="S65" s="91">
        <f t="shared" si="27"/>
        <v>-1.7320508075688774</v>
      </c>
      <c r="T65" s="91">
        <f>(2*T66*($M65+1)-$M65-$M65*T66^2)/(SQRT(3)*$M65*(1-T66))</f>
        <v>-1.7320508075688774</v>
      </c>
      <c r="U65" s="91">
        <f>(2*U66*($M65+1)-$M65-$M65*U66^2)/(SQRT(3)*$M65*(1-U66))</f>
        <v>-1.7320508075688774</v>
      </c>
      <c r="V65" s="91">
        <f t="shared" si="27"/>
        <v>-1.7320508075688774</v>
      </c>
      <c r="W65" s="91">
        <f t="shared" si="27"/>
        <v>-1.7320508075688774</v>
      </c>
      <c r="X65" s="91">
        <f t="shared" si="27"/>
        <v>-1.7320508075688774</v>
      </c>
      <c r="Y65" s="91">
        <f t="shared" si="27"/>
        <v>-1.7320508075688774</v>
      </c>
      <c r="Z65" s="91">
        <f t="shared" si="27"/>
        <v>-1.7320508075688774</v>
      </c>
      <c r="AA65" s="91">
        <f t="shared" si="27"/>
        <v>-1.7320508075688774</v>
      </c>
      <c r="AB65" s="91">
        <f t="shared" si="27"/>
        <v>-1.7320508075688774</v>
      </c>
      <c r="AC65" s="91">
        <f t="shared" si="27"/>
        <v>-1.7320508075688774</v>
      </c>
      <c r="AD65" s="91">
        <f t="shared" si="27"/>
        <v>-1.7320508075688774</v>
      </c>
      <c r="AE65" s="91">
        <f t="shared" si="27"/>
        <v>-1.7320508075688774</v>
      </c>
      <c r="AF65" s="91">
        <f t="shared" si="27"/>
        <v>-1.7320508075688774</v>
      </c>
      <c r="AG65" s="131">
        <f t="shared" si="27"/>
        <v>-1.7320508075688774</v>
      </c>
      <c r="AM65" s="59">
        <f>AO64</f>
        <v>1</v>
      </c>
      <c r="AN65" s="90" t="s">
        <v>53</v>
      </c>
      <c r="AO65" s="91">
        <f t="shared" ref="AO65:BG65" si="28">(2*AO66*($M65+1)-$M65-$M65*AO66^2)/(SQRT(3)*$M65*(1-AO66))</f>
        <v>-1.7320508075688774</v>
      </c>
      <c r="AP65" s="91">
        <f t="shared" si="28"/>
        <v>-1.7320508075688774</v>
      </c>
      <c r="AQ65" s="91">
        <f t="shared" si="28"/>
        <v>-1.7320508075688774</v>
      </c>
      <c r="AR65" s="91">
        <f t="shared" si="28"/>
        <v>-1.7320508075688774</v>
      </c>
      <c r="AS65" s="91">
        <f t="shared" si="28"/>
        <v>-1.7320508075688774</v>
      </c>
      <c r="AT65" s="91">
        <f t="shared" si="28"/>
        <v>-1.7320508075688774</v>
      </c>
      <c r="AU65" s="91">
        <f t="shared" si="28"/>
        <v>-1.7320508075688774</v>
      </c>
      <c r="AV65" s="91">
        <f t="shared" si="28"/>
        <v>-1.7320508075688774</v>
      </c>
      <c r="AW65" s="91">
        <f t="shared" si="28"/>
        <v>-1.7320508075688774</v>
      </c>
      <c r="AX65" s="91">
        <f t="shared" si="28"/>
        <v>-1.7320508075688774</v>
      </c>
      <c r="AY65" s="91">
        <f t="shared" si="28"/>
        <v>-1.7320508075688774</v>
      </c>
      <c r="AZ65" s="91">
        <f t="shared" si="28"/>
        <v>-1.7320508075688774</v>
      </c>
      <c r="BA65" s="91">
        <f t="shared" si="28"/>
        <v>-1.7320508075688774</v>
      </c>
      <c r="BB65" s="91">
        <f t="shared" si="28"/>
        <v>-1.7320508075688774</v>
      </c>
      <c r="BC65" s="91">
        <f t="shared" si="28"/>
        <v>-1.7320508075688774</v>
      </c>
      <c r="BD65" s="91">
        <f t="shared" si="28"/>
        <v>-1.7320508075688774</v>
      </c>
      <c r="BE65" s="91">
        <f t="shared" si="28"/>
        <v>-1.7320508075688774</v>
      </c>
      <c r="BF65" s="91">
        <f t="shared" si="28"/>
        <v>-1.7320508075688774</v>
      </c>
      <c r="BG65" s="131">
        <f t="shared" si="28"/>
        <v>-1.7320508075688774</v>
      </c>
    </row>
    <row r="66" spans="1:59" x14ac:dyDescent="0.2">
      <c r="A66" s="84"/>
      <c r="B66" s="85"/>
      <c r="D66" s="86"/>
      <c r="E66" s="86"/>
      <c r="F66" s="86"/>
      <c r="G66" s="87"/>
      <c r="H66" s="87"/>
      <c r="I66" s="87"/>
      <c r="J66" s="87"/>
      <c r="K66" s="87"/>
      <c r="M66" s="100" t="str">
        <f>CONCATENATE("SI=",O64)</f>
        <v>SI=1</v>
      </c>
      <c r="N66" s="101" t="s">
        <v>54</v>
      </c>
      <c r="O66" s="116">
        <f>IF(DIAG!T48,0,-1)</f>
        <v>-1</v>
      </c>
      <c r="P66" s="116">
        <f>IF(DIAG!$T$48,$AG$67*P75,-1)</f>
        <v>-1</v>
      </c>
      <c r="Q66" s="116">
        <f>IF(DIAG!$T$48,$AG$67*Q75,-1)</f>
        <v>-1</v>
      </c>
      <c r="R66" s="116">
        <f>IF(DIAG!$T$48,$AG$67*R75,-1)</f>
        <v>-1</v>
      </c>
      <c r="S66" s="116">
        <f>IF(DIAG!$T$48,$AG$67*S75,-1)</f>
        <v>-1</v>
      </c>
      <c r="T66" s="116">
        <f>IF(DIAG!$T$48,$AG$67*T75,-1)</f>
        <v>-1</v>
      </c>
      <c r="U66" s="116">
        <f>IF(DIAG!$T$48,$AG$67*U75,-1)</f>
        <v>-1</v>
      </c>
      <c r="V66" s="116">
        <f>IF(DIAG!$T$48,$AG$67*V75,-1)</f>
        <v>-1</v>
      </c>
      <c r="W66" s="116">
        <f>IF(DIAG!$T$48,$AG$67*W75,-1)</f>
        <v>-1</v>
      </c>
      <c r="X66" s="116">
        <f>IF(DIAG!$T$48,$AG$67*X75,-1)</f>
        <v>-1</v>
      </c>
      <c r="Y66" s="116">
        <f>IF(DIAG!$T$48,$AG$67*Y75,-1)</f>
        <v>-1</v>
      </c>
      <c r="Z66" s="116">
        <f>IF(DIAG!$T$48,$AG$67*Z75,-1)</f>
        <v>-1</v>
      </c>
      <c r="AA66" s="116">
        <f>IF(DIAG!$T$48,$AG$67*AA75,-1)</f>
        <v>-1</v>
      </c>
      <c r="AB66" s="116">
        <f>IF(DIAG!$T$48,$AG$67*AB75,-1)</f>
        <v>-1</v>
      </c>
      <c r="AC66" s="116">
        <f>IF(DIAG!$T$48,$AG$67*AC75,-1)</f>
        <v>-1</v>
      </c>
      <c r="AD66" s="116">
        <f>IF(DIAG!$T$48,$AG$67*AD75,-1)</f>
        <v>-1</v>
      </c>
      <c r="AE66" s="116">
        <f>IF(DIAG!$T$48,$AG$67*AE75,-1)</f>
        <v>-1</v>
      </c>
      <c r="AF66" s="116">
        <f>IF(DIAG!$T$48,$AG$67*AF75,-1)</f>
        <v>-1</v>
      </c>
      <c r="AG66" s="132">
        <f>IF(DIAG!T48,((2*$M$65+1-SQRT(4*$M$65+1))/($M$65*2))*DIAG!$T$48,-1)</f>
        <v>-1</v>
      </c>
      <c r="AM66" s="100" t="str">
        <f>CONCATENATE("SI=",AO64)</f>
        <v>SI=1</v>
      </c>
      <c r="AN66" s="101" t="s">
        <v>54</v>
      </c>
      <c r="AO66" s="103">
        <f>IF(DIAG!X44,0,-1)</f>
        <v>-1</v>
      </c>
      <c r="AP66" s="103">
        <f>IF(DIAG!$X44,$BG$67*AP73,-1)</f>
        <v>-1</v>
      </c>
      <c r="AQ66" s="103">
        <f>IF(DIAG!$X44,$BG$67*AQ73,-1)</f>
        <v>-1</v>
      </c>
      <c r="AR66" s="103">
        <f>IF(DIAG!$X44,$BG$67*AR73,-1)</f>
        <v>-1</v>
      </c>
      <c r="AS66" s="103">
        <f>IF(DIAG!$X44,$BG$67*AS73,-1)</f>
        <v>-1</v>
      </c>
      <c r="AT66" s="103">
        <f>IF(DIAG!$X44,$BG$67*AT73,-1)</f>
        <v>-1</v>
      </c>
      <c r="AU66" s="103">
        <f>IF(DIAG!$X44,$BG$67*AU73,-1)</f>
        <v>-1</v>
      </c>
      <c r="AV66" s="103">
        <f>IF(DIAG!$X44,$BG$67*AV73,-1)</f>
        <v>-1</v>
      </c>
      <c r="AW66" s="103">
        <f>IF(DIAG!$X44,$BG$67*AW73,-1)</f>
        <v>-1</v>
      </c>
      <c r="AX66" s="103">
        <f>IF(DIAG!$X44,$BG$67*AX73,-1)</f>
        <v>-1</v>
      </c>
      <c r="AY66" s="103">
        <f>IF(DIAG!$X44,$BG$67*AY73,-1)</f>
        <v>-1</v>
      </c>
      <c r="AZ66" s="103">
        <f>IF(DIAG!$X44,$BG$67*AZ73,-1)</f>
        <v>-1</v>
      </c>
      <c r="BA66" s="103">
        <f>IF(DIAG!$X44,$BG$67*BA73,-1)</f>
        <v>-1</v>
      </c>
      <c r="BB66" s="103">
        <f>IF(DIAG!$X44,$BG$67*BB73,-1)</f>
        <v>-1</v>
      </c>
      <c r="BC66" s="103">
        <f>IF(DIAG!$X44,$BG$67*BC73,-1)</f>
        <v>-1</v>
      </c>
      <c r="BD66" s="103">
        <f>IF(DIAG!$X44,$BG$67*BD73,-1)</f>
        <v>-1</v>
      </c>
      <c r="BE66" s="103">
        <f>IF(DIAG!$X44,$BG$67*BE73,-1)</f>
        <v>-1</v>
      </c>
      <c r="BF66" s="103">
        <f>IF(DIAG!$X44,$BG$67*BF73,-1)</f>
        <v>-1</v>
      </c>
      <c r="BG66" s="133">
        <f>IF(DIAG!X44,((2*$M$65+1-SQRT(4*$M$65+1))/($M$65*2))*DIAG!$X44,-1)</f>
        <v>-1</v>
      </c>
    </row>
    <row r="67" spans="1:59" x14ac:dyDescent="0.2">
      <c r="A67" s="84"/>
      <c r="B67" s="85"/>
      <c r="D67" s="86"/>
      <c r="E67" s="86"/>
      <c r="F67" s="86"/>
      <c r="G67" s="87"/>
      <c r="H67" s="87"/>
      <c r="I67" s="87"/>
      <c r="J67" s="87"/>
      <c r="K67" s="87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34">
        <f>(AG66-O66)/18</f>
        <v>0</v>
      </c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34">
        <f>(BG66-AO66)/18</f>
        <v>0</v>
      </c>
    </row>
    <row r="68" spans="1:59" x14ac:dyDescent="0.2">
      <c r="A68" s="84"/>
      <c r="B68" s="85"/>
      <c r="D68" s="86"/>
      <c r="E68" s="86"/>
      <c r="F68" s="86"/>
      <c r="G68" s="87"/>
      <c r="H68" s="87"/>
      <c r="I68" s="87"/>
      <c r="J68" s="87"/>
      <c r="K68" s="87"/>
      <c r="M68" s="95"/>
      <c r="N68" s="95" t="s">
        <v>83</v>
      </c>
      <c r="O68" s="112">
        <f>DIAG!$T$52</f>
        <v>5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6"/>
      <c r="AA68" s="96"/>
      <c r="AB68" s="96"/>
      <c r="AC68" s="95"/>
      <c r="AD68" s="95"/>
      <c r="AE68" s="95"/>
      <c r="AF68" s="95"/>
      <c r="AG68" s="95"/>
      <c r="AM68" s="95"/>
      <c r="AN68" s="95" t="s">
        <v>82</v>
      </c>
      <c r="AO68" s="112">
        <v>5</v>
      </c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6"/>
      <c r="BA68" s="96"/>
      <c r="BB68" s="96"/>
      <c r="BC68" s="95"/>
      <c r="BD68" s="95"/>
      <c r="BE68" s="95"/>
      <c r="BF68" s="95"/>
      <c r="BG68" s="95"/>
    </row>
    <row r="69" spans="1:59" x14ac:dyDescent="0.2">
      <c r="A69" s="84"/>
      <c r="B69" s="85"/>
      <c r="D69" s="86"/>
      <c r="E69" s="86"/>
      <c r="F69" s="86"/>
      <c r="G69" s="87"/>
      <c r="H69" s="87"/>
      <c r="I69" s="87"/>
      <c r="J69" s="87"/>
      <c r="K69" s="87"/>
      <c r="M69" s="59">
        <f>O68</f>
        <v>5</v>
      </c>
      <c r="N69" s="90" t="s">
        <v>53</v>
      </c>
      <c r="O69" s="91">
        <f t="shared" ref="O69:AG69" si="29">(2*O70*($M69+1)-$M69-$M69*O70^2)/(SQRT(3)*$M69*(1-O70))</f>
        <v>-1.2701705922171769</v>
      </c>
      <c r="P69" s="91">
        <f t="shared" si="29"/>
        <v>-1.2701705922171769</v>
      </c>
      <c r="Q69" s="91">
        <f t="shared" si="29"/>
        <v>-1.2701705922171769</v>
      </c>
      <c r="R69" s="91">
        <f t="shared" si="29"/>
        <v>-1.2701705922171769</v>
      </c>
      <c r="S69" s="91">
        <f t="shared" si="29"/>
        <v>-1.2701705922171769</v>
      </c>
      <c r="T69" s="91">
        <f t="shared" si="29"/>
        <v>-1.2701705922171769</v>
      </c>
      <c r="U69" s="91">
        <f t="shared" si="29"/>
        <v>-1.2701705922171769</v>
      </c>
      <c r="V69" s="91">
        <f t="shared" si="29"/>
        <v>-1.2701705922171769</v>
      </c>
      <c r="W69" s="91">
        <f t="shared" si="29"/>
        <v>-1.2701705922171769</v>
      </c>
      <c r="X69" s="91">
        <f t="shared" si="29"/>
        <v>-1.2701705922171769</v>
      </c>
      <c r="Y69" s="91">
        <f t="shared" si="29"/>
        <v>-1.2701705922171769</v>
      </c>
      <c r="Z69" s="91">
        <f t="shared" si="29"/>
        <v>-1.2701705922171769</v>
      </c>
      <c r="AA69" s="91">
        <f t="shared" si="29"/>
        <v>-1.2701705922171769</v>
      </c>
      <c r="AB69" s="91">
        <f t="shared" si="29"/>
        <v>-1.2701705922171769</v>
      </c>
      <c r="AC69" s="91">
        <f t="shared" si="29"/>
        <v>-1.2701705922171769</v>
      </c>
      <c r="AD69" s="91">
        <f t="shared" si="29"/>
        <v>-1.2701705922171769</v>
      </c>
      <c r="AE69" s="91">
        <f t="shared" si="29"/>
        <v>-1.2701705922171769</v>
      </c>
      <c r="AF69" s="91">
        <f t="shared" si="29"/>
        <v>-1.2701705922171769</v>
      </c>
      <c r="AG69" s="131">
        <f t="shared" si="29"/>
        <v>-1.2701705922171769</v>
      </c>
      <c r="AM69" s="59">
        <f>AO68</f>
        <v>5</v>
      </c>
      <c r="AN69" s="90" t="s">
        <v>53</v>
      </c>
      <c r="AO69" s="91">
        <f t="shared" ref="AO69:BG69" si="30">(2*AO70*($M69+1)-$M69-$M69*AO70^2)/(SQRT(3)*$M69*(1-AO70))</f>
        <v>-1.2701705922171769</v>
      </c>
      <c r="AP69" s="91">
        <f t="shared" si="30"/>
        <v>-1.2701705922171769</v>
      </c>
      <c r="AQ69" s="91">
        <f t="shared" si="30"/>
        <v>-1.2701705922171769</v>
      </c>
      <c r="AR69" s="91">
        <f t="shared" si="30"/>
        <v>-1.2701705922171769</v>
      </c>
      <c r="AS69" s="91">
        <f t="shared" si="30"/>
        <v>-1.2701705922171769</v>
      </c>
      <c r="AT69" s="91">
        <f t="shared" si="30"/>
        <v>-1.2701705922171769</v>
      </c>
      <c r="AU69" s="91">
        <f t="shared" si="30"/>
        <v>-1.2701705922171769</v>
      </c>
      <c r="AV69" s="91">
        <f t="shared" si="30"/>
        <v>-1.2701705922171769</v>
      </c>
      <c r="AW69" s="91">
        <f t="shared" si="30"/>
        <v>-1.2701705922171769</v>
      </c>
      <c r="AX69" s="91">
        <f t="shared" si="30"/>
        <v>-1.2701705922171769</v>
      </c>
      <c r="AY69" s="91">
        <f t="shared" si="30"/>
        <v>-1.2701705922171769</v>
      </c>
      <c r="AZ69" s="91">
        <f t="shared" si="30"/>
        <v>-1.2701705922171769</v>
      </c>
      <c r="BA69" s="91">
        <f t="shared" si="30"/>
        <v>-1.2701705922171769</v>
      </c>
      <c r="BB69" s="91">
        <f t="shared" si="30"/>
        <v>-1.2701705922171769</v>
      </c>
      <c r="BC69" s="91">
        <f t="shared" si="30"/>
        <v>-1.2701705922171769</v>
      </c>
      <c r="BD69" s="91">
        <f t="shared" si="30"/>
        <v>-1.2701705922171769</v>
      </c>
      <c r="BE69" s="91">
        <f t="shared" si="30"/>
        <v>-1.2701705922171769</v>
      </c>
      <c r="BF69" s="91">
        <f t="shared" si="30"/>
        <v>-1.2701705922171769</v>
      </c>
      <c r="BG69" s="131">
        <f t="shared" si="30"/>
        <v>-1.2701705922171769</v>
      </c>
    </row>
    <row r="70" spans="1:59" x14ac:dyDescent="0.2">
      <c r="A70" s="84"/>
      <c r="B70" s="85"/>
      <c r="D70" s="86"/>
      <c r="E70" s="86"/>
      <c r="F70" s="86"/>
      <c r="G70" s="87"/>
      <c r="H70" s="87"/>
      <c r="I70" s="87"/>
      <c r="J70" s="87"/>
      <c r="K70" s="87"/>
      <c r="M70" s="100" t="str">
        <f>CONCATENATE("SI=",O68)</f>
        <v>SI=5</v>
      </c>
      <c r="N70" s="101" t="s">
        <v>54</v>
      </c>
      <c r="O70" s="116">
        <f>IF(DIAG!T49,0,-1)</f>
        <v>-1</v>
      </c>
      <c r="P70" s="116">
        <f>IF(DIAG!$T$49,$AG$71*P75,-1)</f>
        <v>-1</v>
      </c>
      <c r="Q70" s="116">
        <f>IF(DIAG!$T$49,$AG$71*Q75,-1)</f>
        <v>-1</v>
      </c>
      <c r="R70" s="116">
        <f>IF(DIAG!$T$49,$AG$71*R75,-1)</f>
        <v>-1</v>
      </c>
      <c r="S70" s="116">
        <f>IF(DIAG!$T$49,$AG$71*S75,-1)</f>
        <v>-1</v>
      </c>
      <c r="T70" s="116">
        <f>IF(DIAG!$T$49,$AG$71*T75,-1)</f>
        <v>-1</v>
      </c>
      <c r="U70" s="116">
        <f>IF(DIAG!$T$49,$AG$71*U75,-1)</f>
        <v>-1</v>
      </c>
      <c r="V70" s="116">
        <f>IF(DIAG!$T$49,$AG$71*V75,-1)</f>
        <v>-1</v>
      </c>
      <c r="W70" s="116">
        <f>IF(DIAG!$T$49,$AG$71*W75,-1)</f>
        <v>-1</v>
      </c>
      <c r="X70" s="116">
        <f>IF(DIAG!$T$49,$AG$71*X75,-1)</f>
        <v>-1</v>
      </c>
      <c r="Y70" s="116">
        <f>IF(DIAG!$T$49,$AG$71*Y75,-1)</f>
        <v>-1</v>
      </c>
      <c r="Z70" s="116">
        <f>IF(DIAG!$T$49,$AG$71*Z75,-1)</f>
        <v>-1</v>
      </c>
      <c r="AA70" s="116">
        <f>IF(DIAG!$T$49,$AG$71*AA75,-1)</f>
        <v>-1</v>
      </c>
      <c r="AB70" s="116">
        <f>IF(DIAG!$T$49,$AG$71*AB75,-1)</f>
        <v>-1</v>
      </c>
      <c r="AC70" s="116">
        <f>IF(DIAG!$T$49,$AG$71*AC75,-1)</f>
        <v>-1</v>
      </c>
      <c r="AD70" s="116">
        <f>IF(DIAG!$T$49,$AG$71*AD75,-1)</f>
        <v>-1</v>
      </c>
      <c r="AE70" s="116">
        <f>IF(DIAG!$T$49,$AG$71*AE75,-1)</f>
        <v>-1</v>
      </c>
      <c r="AF70" s="116">
        <f>IF(DIAG!$T$49,$AG$71*AF75,-1)</f>
        <v>-1</v>
      </c>
      <c r="AG70" s="132">
        <f>IF(DIAG!T49,((2*$M$69+1-SQRT(4*$M$69+1))/($M$69*2))*DIAG!$T$49,-1)</f>
        <v>-1</v>
      </c>
      <c r="AM70" s="100" t="str">
        <f>CONCATENATE("SI=",AO68)</f>
        <v>SI=5</v>
      </c>
      <c r="AN70" s="101" t="s">
        <v>54</v>
      </c>
      <c r="AO70" s="103">
        <f>IF(DIAG!X44,0,-1)</f>
        <v>-1</v>
      </c>
      <c r="AP70" s="103">
        <f>IF(DIAG!$X44,$BG$71*AP73,-1)</f>
        <v>-1</v>
      </c>
      <c r="AQ70" s="103">
        <f>IF(DIAG!$X44,$BG$71*AQ73,-1)</f>
        <v>-1</v>
      </c>
      <c r="AR70" s="103">
        <f>IF(DIAG!$X44,$BG$71*AR73,-1)</f>
        <v>-1</v>
      </c>
      <c r="AS70" s="103">
        <f>IF(DIAG!$X44,$BG$71*AS73,-1)</f>
        <v>-1</v>
      </c>
      <c r="AT70" s="103">
        <f>IF(DIAG!$X44,$BG$71*AT73,-1)</f>
        <v>-1</v>
      </c>
      <c r="AU70" s="103">
        <f>IF(DIAG!$X44,$BG$71*AU73,-1)</f>
        <v>-1</v>
      </c>
      <c r="AV70" s="103">
        <f>IF(DIAG!$X44,$BG$71*AV73,-1)</f>
        <v>-1</v>
      </c>
      <c r="AW70" s="103">
        <f>IF(DIAG!$X44,$BG$71*AW73,-1)</f>
        <v>-1</v>
      </c>
      <c r="AX70" s="103">
        <f>IF(DIAG!$X44,$BG$71*AX73,-1)</f>
        <v>-1</v>
      </c>
      <c r="AY70" s="103">
        <f>IF(DIAG!$X44,$BG$71*AY73,-1)</f>
        <v>-1</v>
      </c>
      <c r="AZ70" s="103">
        <f>IF(DIAG!$X44,$BG$71*AZ73,-1)</f>
        <v>-1</v>
      </c>
      <c r="BA70" s="103">
        <f>IF(DIAG!$X44,$BG$71*BA73,-1)</f>
        <v>-1</v>
      </c>
      <c r="BB70" s="103">
        <f>IF(DIAG!$X44,$BG$71*BB73,-1)</f>
        <v>-1</v>
      </c>
      <c r="BC70" s="103">
        <f>IF(DIAG!$X44,$BG$71*BC73,-1)</f>
        <v>-1</v>
      </c>
      <c r="BD70" s="103">
        <f>IF(DIAG!$X44,$BG$71*BD73,-1)</f>
        <v>-1</v>
      </c>
      <c r="BE70" s="103">
        <f>IF(DIAG!$X44,$BG$71*BE73,-1)</f>
        <v>-1</v>
      </c>
      <c r="BF70" s="103">
        <f>IF(DIAG!$X44,$BG$71*BF73,-1)</f>
        <v>-1</v>
      </c>
      <c r="BG70" s="133">
        <f>IF(DIAG!X44,((2*$M$69+1-SQRT(4*$M$69+1))/($M$69*2))*DIAG!$X44,-1)</f>
        <v>-1</v>
      </c>
    </row>
    <row r="71" spans="1:59" x14ac:dyDescent="0.2">
      <c r="A71" s="84"/>
      <c r="B71" s="85"/>
      <c r="D71" s="86"/>
      <c r="E71" s="86"/>
      <c r="F71" s="86"/>
      <c r="G71" s="87"/>
      <c r="H71" s="87"/>
      <c r="I71" s="87"/>
      <c r="J71" s="87"/>
      <c r="K71" s="87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34">
        <f>(AG70-O70)/18</f>
        <v>0</v>
      </c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34">
        <f>(BG70-AO70)/18</f>
        <v>0</v>
      </c>
    </row>
    <row r="72" spans="1:59" x14ac:dyDescent="0.2">
      <c r="A72" s="84"/>
      <c r="B72" s="85"/>
      <c r="D72" s="86"/>
      <c r="E72" s="86"/>
      <c r="F72" s="86"/>
      <c r="G72" s="87"/>
      <c r="H72" s="87"/>
      <c r="I72" s="87"/>
      <c r="J72" s="87"/>
      <c r="K72" s="87"/>
      <c r="M72" s="95"/>
      <c r="N72" s="112" t="s">
        <v>124</v>
      </c>
      <c r="O72" s="112">
        <f>DIAG!$T$53</f>
        <v>2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6"/>
      <c r="AA72" s="96"/>
      <c r="AB72" s="96"/>
      <c r="AC72" s="95"/>
      <c r="AD72" s="95"/>
      <c r="AE72" s="95"/>
      <c r="AF72" s="95"/>
      <c r="AG72" s="95"/>
    </row>
    <row r="73" spans="1:59" x14ac:dyDescent="0.2">
      <c r="A73" s="84"/>
      <c r="B73" s="85"/>
      <c r="D73" s="86"/>
      <c r="E73" s="86"/>
      <c r="F73" s="86"/>
      <c r="G73" s="87"/>
      <c r="H73" s="87"/>
      <c r="I73" s="87"/>
      <c r="J73" s="87"/>
      <c r="K73" s="87"/>
      <c r="M73" s="59">
        <f>O72</f>
        <v>2</v>
      </c>
      <c r="N73" s="90" t="s">
        <v>53</v>
      </c>
      <c r="O73" s="91">
        <f>(2*O74*($M73+1)-$M73-$M73*O74^2)/(SQRT(3)*$M73*(1-O74))</f>
        <v>-1.4433756729740645</v>
      </c>
      <c r="P73" s="91">
        <f t="shared" ref="P73:AG73" si="31">(2*P74*($M73+1)-$M73-$M73*P74^2)/(SQRT(3)*$M73*(1-P74))</f>
        <v>-1.4433756729740645</v>
      </c>
      <c r="Q73" s="91">
        <f t="shared" si="31"/>
        <v>-1.4433756729740645</v>
      </c>
      <c r="R73" s="91">
        <f t="shared" si="31"/>
        <v>-1.4433756729740645</v>
      </c>
      <c r="S73" s="91">
        <f t="shared" si="31"/>
        <v>-1.4433756729740645</v>
      </c>
      <c r="T73" s="91">
        <f t="shared" si="31"/>
        <v>-1.4433756729740645</v>
      </c>
      <c r="U73" s="91">
        <f t="shared" si="31"/>
        <v>-1.4433756729740645</v>
      </c>
      <c r="V73" s="91">
        <f>(2*V74*($M73+1)-$M73-$M73*V74^2)/(SQRT(3)*$M73*(1-V74))</f>
        <v>-1.4433756729740645</v>
      </c>
      <c r="W73" s="91">
        <f>(2*W74*($M73+1)-$M73-$M73*W74^2)/(SQRT(3)*$M73*(1-W74))</f>
        <v>-1.4433756729740645</v>
      </c>
      <c r="X73" s="91">
        <f>(2*X74*($M73+1)-$M73-$M73*X74^2)/(SQRT(3)*$M73*(1-X74))</f>
        <v>-1.4433756729740645</v>
      </c>
      <c r="Y73" s="91">
        <f>(2*Y74*($M73+1)-$M73-$M73*Y74^2)/(SQRT(3)*$M73*(1-Y74))</f>
        <v>-1.4433756729740645</v>
      </c>
      <c r="Z73" s="91">
        <f t="shared" si="31"/>
        <v>-1.4433756729740645</v>
      </c>
      <c r="AA73" s="91">
        <f>(2*AA74*($M73+1)-$M73-$M73*AA74^2)/(SQRT(3)*$M73*(1-AA74))</f>
        <v>-1.4433756729740645</v>
      </c>
      <c r="AB73" s="91">
        <f>(2*AB74*($M73+1)-$M73-$M73*AB74^2)/(SQRT(3)*$M73*(1-AB74))</f>
        <v>-1.4433756729740645</v>
      </c>
      <c r="AC73" s="91">
        <f>(2*AC74*($M73+1)-$M73-$M73*AC74^2)/(SQRT(3)*$M73*(1-AC74))</f>
        <v>-1.4433756729740645</v>
      </c>
      <c r="AD73" s="91">
        <f>(2*AD74*($M73+1)-$M73-$M73*AD74^2)/(SQRT(3)*$M73*(1-AD74))</f>
        <v>-1.4433756729740645</v>
      </c>
      <c r="AE73" s="91">
        <f t="shared" si="31"/>
        <v>-1.4433756729740645</v>
      </c>
      <c r="AF73" s="91">
        <f t="shared" si="31"/>
        <v>-1.4433756729740645</v>
      </c>
      <c r="AG73" s="131">
        <f t="shared" si="31"/>
        <v>-1.4433756729740645</v>
      </c>
      <c r="AH73" s="36"/>
      <c r="AI73" s="36"/>
      <c r="AJ73" s="36"/>
      <c r="AP73" s="116">
        <v>1</v>
      </c>
      <c r="AQ73" s="116">
        <v>2</v>
      </c>
      <c r="AR73" s="116">
        <v>3</v>
      </c>
      <c r="AS73" s="116">
        <v>4</v>
      </c>
      <c r="AT73" s="116">
        <v>5</v>
      </c>
      <c r="AU73" s="116">
        <v>6</v>
      </c>
      <c r="AV73" s="116">
        <v>7</v>
      </c>
      <c r="AW73" s="116">
        <v>8</v>
      </c>
      <c r="AX73" s="116">
        <v>9</v>
      </c>
      <c r="AY73" s="116">
        <v>10</v>
      </c>
      <c r="AZ73" s="116">
        <v>11</v>
      </c>
      <c r="BA73" s="116">
        <v>12</v>
      </c>
      <c r="BB73" s="116">
        <v>13</v>
      </c>
      <c r="BC73" s="116">
        <v>14</v>
      </c>
      <c r="BD73" s="116">
        <v>15</v>
      </c>
      <c r="BE73" s="116">
        <v>16</v>
      </c>
      <c r="BF73" s="116">
        <v>17</v>
      </c>
      <c r="BG73" s="134">
        <f>(BG74-AO74)/18</f>
        <v>0</v>
      </c>
    </row>
    <row r="74" spans="1:59" x14ac:dyDescent="0.2">
      <c r="A74" s="135"/>
      <c r="B74" s="136"/>
      <c r="C74" s="35"/>
      <c r="D74" s="137"/>
      <c r="E74" s="137"/>
      <c r="F74" s="86"/>
      <c r="G74" s="87"/>
      <c r="H74" s="87"/>
      <c r="I74" s="87"/>
      <c r="J74" s="87"/>
      <c r="K74" s="87"/>
      <c r="M74" s="100" t="str">
        <f>CONCATENATE("SI=",O72)</f>
        <v>SI=2</v>
      </c>
      <c r="N74" s="95" t="s">
        <v>54</v>
      </c>
      <c r="O74" s="112">
        <f>IF(DIAG!T50,0,-1)</f>
        <v>-1</v>
      </c>
      <c r="P74" s="112">
        <f>IF(DIAG!$T$50,$AG$75*P75,-1)</f>
        <v>-1</v>
      </c>
      <c r="Q74" s="112">
        <f>IF(DIAG!$T$50,$AG$75*Q75,-1)</f>
        <v>-1</v>
      </c>
      <c r="R74" s="112">
        <f>IF(DIAG!$T$50,$AG$75*R75,-1)</f>
        <v>-1</v>
      </c>
      <c r="S74" s="112">
        <f>IF(DIAG!$T$50,$AG$75*S75,-1)</f>
        <v>-1</v>
      </c>
      <c r="T74" s="112">
        <f>IF(DIAG!$T$50,$AG$75*T75,-1)</f>
        <v>-1</v>
      </c>
      <c r="U74" s="112">
        <f>IF(DIAG!$T$50,$AG$75*U75,-1)</f>
        <v>-1</v>
      </c>
      <c r="V74" s="112">
        <f>IF(DIAG!$T$50,$AG$75*V75,-1)</f>
        <v>-1</v>
      </c>
      <c r="W74" s="112">
        <f>IF(DIAG!$T$50,$AG$75*W75,-1)</f>
        <v>-1</v>
      </c>
      <c r="X74" s="112">
        <f>IF(DIAG!$T$50,$AG$75*X75,-1)</f>
        <v>-1</v>
      </c>
      <c r="Y74" s="112">
        <f>IF(DIAG!$T$50,$AG$75*Y75,-1)</f>
        <v>-1</v>
      </c>
      <c r="Z74" s="112">
        <f>IF(DIAG!$T$50,$AG$75*Z75,-1)</f>
        <v>-1</v>
      </c>
      <c r="AA74" s="112">
        <f>IF(DIAG!$T$50,$AG$75*AA75,-1)</f>
        <v>-1</v>
      </c>
      <c r="AB74" s="112">
        <f>IF(DIAG!$T$50,$AG$75*AB75,-1)</f>
        <v>-1</v>
      </c>
      <c r="AC74" s="112">
        <f>IF(DIAG!$T$50,$AG$75*AC75,-1)</f>
        <v>-1</v>
      </c>
      <c r="AD74" s="112">
        <f>IF(DIAG!$T$50,$AG$75*AD75,-1)</f>
        <v>-1</v>
      </c>
      <c r="AE74" s="112">
        <f>IF(DIAG!$T$50,$AG$75*AE75,-1)</f>
        <v>-1</v>
      </c>
      <c r="AF74" s="112">
        <f>IF(DIAG!$T$50,$AG$75*AF75,-1)</f>
        <v>-1</v>
      </c>
      <c r="AG74" s="132">
        <f>IF(DIAG!T50,((2*$M$73+1-SQRT(4*$M$73+1))/($M$73*2))*DIAG!$T$50,-1)</f>
        <v>-1</v>
      </c>
      <c r="AH74" s="36"/>
      <c r="AI74" s="36"/>
      <c r="AJ74" s="36"/>
    </row>
    <row r="75" spans="1:59" x14ac:dyDescent="0.2">
      <c r="A75" s="84"/>
      <c r="B75" s="85"/>
      <c r="D75" s="86"/>
      <c r="E75" s="86"/>
      <c r="F75" s="86"/>
      <c r="G75" s="87"/>
      <c r="H75" s="87"/>
      <c r="I75" s="87"/>
      <c r="J75" s="87"/>
      <c r="K75" s="87"/>
      <c r="M75" s="100"/>
      <c r="N75" s="101"/>
      <c r="O75" s="116"/>
      <c r="P75" s="116">
        <v>1</v>
      </c>
      <c r="Q75" s="116">
        <v>2</v>
      </c>
      <c r="R75" s="116">
        <v>3</v>
      </c>
      <c r="S75" s="116">
        <v>4</v>
      </c>
      <c r="T75" s="116">
        <v>5</v>
      </c>
      <c r="U75" s="116">
        <v>6</v>
      </c>
      <c r="V75" s="116">
        <v>7</v>
      </c>
      <c r="W75" s="116">
        <v>8</v>
      </c>
      <c r="X75" s="116">
        <v>9</v>
      </c>
      <c r="Y75" s="116">
        <v>10</v>
      </c>
      <c r="Z75" s="116">
        <v>11</v>
      </c>
      <c r="AA75" s="116">
        <v>12</v>
      </c>
      <c r="AB75" s="116">
        <v>13</v>
      </c>
      <c r="AC75" s="116">
        <v>14</v>
      </c>
      <c r="AD75" s="116">
        <v>15</v>
      </c>
      <c r="AE75" s="116">
        <v>16</v>
      </c>
      <c r="AF75" s="116">
        <v>17</v>
      </c>
      <c r="AG75" s="134">
        <f>(AG74-O74)/18</f>
        <v>0</v>
      </c>
    </row>
    <row r="76" spans="1:59" x14ac:dyDescent="0.2">
      <c r="A76" s="84" t="s">
        <v>6</v>
      </c>
      <c r="B76" s="85"/>
      <c r="D76" s="86"/>
      <c r="E76" s="86"/>
      <c r="F76" s="86" t="s">
        <v>5</v>
      </c>
      <c r="G76" s="87"/>
      <c r="H76" s="138" t="s">
        <v>7</v>
      </c>
      <c r="I76" s="87"/>
      <c r="J76" s="87"/>
      <c r="K76" s="87"/>
      <c r="Z76" s="36"/>
      <c r="AA76" s="36"/>
      <c r="AB76" s="36"/>
      <c r="AO76" s="10" t="s">
        <v>45</v>
      </c>
      <c r="AP76" s="139">
        <v>-0.52500000000000002</v>
      </c>
      <c r="AQ76" s="139">
        <v>0.52500000000000002</v>
      </c>
      <c r="AR76" s="98">
        <v>-0.38700000000000001</v>
      </c>
      <c r="AS76" s="98">
        <v>0.38700000000000001</v>
      </c>
      <c r="AT76" s="98">
        <v>0</v>
      </c>
      <c r="AU76" s="98">
        <v>0.28999999999999998</v>
      </c>
      <c r="AV76" s="98">
        <v>-0.34639999999999999</v>
      </c>
      <c r="AW76" s="98">
        <v>0.11700000000000001</v>
      </c>
    </row>
    <row r="77" spans="1:59" x14ac:dyDescent="0.2">
      <c r="A77" s="105" t="s">
        <v>55</v>
      </c>
      <c r="B77" s="106"/>
      <c r="C77" s="106"/>
      <c r="D77" s="106"/>
      <c r="E77" s="106"/>
      <c r="F77" s="107"/>
      <c r="G77" s="108"/>
      <c r="H77" s="108"/>
      <c r="I77" s="108"/>
      <c r="J77" s="108"/>
      <c r="K77" s="108"/>
      <c r="L77" s="92"/>
      <c r="M77" s="92"/>
      <c r="N77" s="92"/>
      <c r="O77" s="92"/>
      <c r="P77" s="92"/>
      <c r="Q77" s="92"/>
      <c r="R77" s="92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92"/>
      <c r="AD77" s="92"/>
      <c r="AE77" s="92"/>
      <c r="AF77" s="92"/>
      <c r="AG77" s="92"/>
      <c r="AH77" s="92"/>
      <c r="AI77" s="93"/>
      <c r="AM77" s="124">
        <v>1</v>
      </c>
      <c r="AN77" s="95"/>
      <c r="AO77" s="95" t="str">
        <f>IF(DIAG!X44,CONCATENATE("F=",TRUNC(AM77/2,2)),"")</f>
        <v/>
      </c>
      <c r="AP77" s="95"/>
      <c r="AQ77" s="95"/>
      <c r="AR77" s="95"/>
      <c r="AS77" s="95"/>
      <c r="AT77" s="95">
        <f>IF(DIAG!X44,IF(1-$AM$77+SQRT(3)*(AT76)&gt;1,1,1-$AM$77+SQRT(3)*(AT76)),-1)</f>
        <v>-1</v>
      </c>
      <c r="AU77" s="95">
        <f>IF(DIAG!X44,IF(1-$AM$77+SQRT(3)*(AU76)&gt;1,1,1-$AM$77+SQRT(3)*(AU76)),-1)</f>
        <v>-1</v>
      </c>
      <c r="AV77" s="95"/>
      <c r="AW77" s="95"/>
    </row>
    <row r="78" spans="1:59" ht="15.75" x14ac:dyDescent="0.3">
      <c r="A78" s="37" t="s">
        <v>110</v>
      </c>
      <c r="B78" s="141" t="s">
        <v>111</v>
      </c>
      <c r="C78" s="11" t="s">
        <v>56</v>
      </c>
      <c r="D78" s="11" t="s">
        <v>57</v>
      </c>
      <c r="E78" s="37" t="s">
        <v>110</v>
      </c>
      <c r="F78" s="141" t="s">
        <v>111</v>
      </c>
      <c r="G78" s="37" t="s">
        <v>110</v>
      </c>
      <c r="H78" s="141" t="s">
        <v>111</v>
      </c>
      <c r="N78" s="11" t="s">
        <v>45</v>
      </c>
      <c r="O78" s="31">
        <f>O35</f>
        <v>-0.57735026918962584</v>
      </c>
      <c r="P78" s="31">
        <f>P35</f>
        <v>-0.51961524227066325</v>
      </c>
      <c r="Q78" s="31">
        <f t="shared" ref="Q78:AI78" si="32">Q35</f>
        <v>-0.46188021535170065</v>
      </c>
      <c r="R78" s="31">
        <f t="shared" si="32"/>
        <v>-0.40414518843273811</v>
      </c>
      <c r="S78" s="31">
        <f t="shared" si="32"/>
        <v>-0.34641016151377552</v>
      </c>
      <c r="T78" s="31">
        <f t="shared" si="32"/>
        <v>-0.17320508075688779</v>
      </c>
      <c r="U78" s="31">
        <f t="shared" si="32"/>
        <v>-0.17320508075688779</v>
      </c>
      <c r="V78" s="31">
        <f t="shared" si="32"/>
        <v>-0.17320508075688779</v>
      </c>
      <c r="W78" s="31">
        <f t="shared" si="32"/>
        <v>-0.11547005383792519</v>
      </c>
      <c r="X78" s="31">
        <f t="shared" si="32"/>
        <v>-5.7735026918962595E-2</v>
      </c>
      <c r="Y78" s="31">
        <f t="shared" si="32"/>
        <v>0</v>
      </c>
      <c r="Z78" s="31">
        <f t="shared" si="32"/>
        <v>5.7735026918962595E-2</v>
      </c>
      <c r="AA78" s="31">
        <f t="shared" si="32"/>
        <v>0.11547005383792519</v>
      </c>
      <c r="AB78" s="31">
        <f t="shared" si="32"/>
        <v>0.17320508075688779</v>
      </c>
      <c r="AC78" s="31">
        <f t="shared" si="32"/>
        <v>0.23094010767585038</v>
      </c>
      <c r="AD78" s="31">
        <f t="shared" si="32"/>
        <v>0.28867513459481292</v>
      </c>
      <c r="AE78" s="31">
        <f t="shared" si="32"/>
        <v>0.34641016151377552</v>
      </c>
      <c r="AF78" s="31">
        <f t="shared" si="32"/>
        <v>0.40414518843273811</v>
      </c>
      <c r="AG78" s="31">
        <f t="shared" si="32"/>
        <v>0.46188021535170065</v>
      </c>
      <c r="AH78" s="31">
        <f t="shared" si="32"/>
        <v>0.51961524227066325</v>
      </c>
      <c r="AI78" s="31">
        <f t="shared" si="32"/>
        <v>0.57735026918962584</v>
      </c>
      <c r="AM78" s="124">
        <v>0.4</v>
      </c>
      <c r="AN78" s="95"/>
      <c r="AO78" s="95" t="str">
        <f>IF(DIAG!X44,CONCATENATE("F=",TRUNC(AM78/2,2)),"")</f>
        <v/>
      </c>
      <c r="AP78" s="95"/>
      <c r="AQ78" s="95"/>
      <c r="AR78" s="95"/>
      <c r="AS78" s="95"/>
      <c r="AT78" s="95"/>
      <c r="AU78" s="95"/>
      <c r="AV78" s="95">
        <f>IF(DIAG!X44,IF(1-$AM$78+SQRT(3)*(AV76)&gt;1,1,1-$AM$78+SQRT(3)*(AV76)),-1)</f>
        <v>-1</v>
      </c>
      <c r="AW78" s="95">
        <f>IF(DIAG!X44,IF(1-$AM$78+SQRT(3)*(AW67)&gt;1,1,1-$AM$78+SQRT(3)*(AW76)),-1)</f>
        <v>-1</v>
      </c>
    </row>
    <row r="79" spans="1:59" x14ac:dyDescent="0.2">
      <c r="A79" s="143">
        <f>VLOOKUP(A78,A26:K26,DIAG!$T$58+1,0)</f>
        <v>0.53291988700628756</v>
      </c>
      <c r="B79" s="144">
        <f>VLOOKUP(B78,A27:K27,DIAG!$T$58+1,0)</f>
        <v>7.477597481230322E-2</v>
      </c>
      <c r="E79" s="143">
        <f>VLOOKUP(E78,A26:K26,DIAG!$W$56+1,0)</f>
        <v>0.53291988700628756</v>
      </c>
      <c r="F79" s="144">
        <f>VLOOKUP(F78,A27:K27,DIAG!$W$56+1,0)</f>
        <v>7.477597481230322E-2</v>
      </c>
      <c r="G79" s="143">
        <f>VLOOKUP(G78,A26:K26,DIAG!$W$58+1,0)</f>
        <v>3.7498150020865914E-3</v>
      </c>
      <c r="H79" s="144">
        <f>VLOOKUP(H78,A27:K27,DIAG!$W$58+1,0)</f>
        <v>0.97405051898962025</v>
      </c>
      <c r="N79" s="11" t="s">
        <v>123</v>
      </c>
      <c r="O79" s="31">
        <f>IF(A79&lt;&gt;0,O35,0)</f>
        <v>-0.57735026918962584</v>
      </c>
      <c r="P79" s="31">
        <f>IF(A79&lt;&gt;0,P35,0)</f>
        <v>-0.51961524227066325</v>
      </c>
      <c r="Q79" s="31">
        <f>IF(A79&lt;&gt;0,Q35,0)</f>
        <v>-0.46188021535170065</v>
      </c>
      <c r="R79" s="31">
        <f>IF(A79&lt;&gt;0,R35,0)</f>
        <v>-0.40414518843273811</v>
      </c>
      <c r="S79" s="31">
        <f>IF(A79&lt;&gt;0,S35,0)</f>
        <v>-0.34641016151377552</v>
      </c>
      <c r="T79" s="31">
        <f>IF(A79&lt;&gt;0,T35,0)</f>
        <v>-0.17320508075688779</v>
      </c>
      <c r="U79" s="31">
        <f>IF(A79&lt;&gt;0,U35,0)</f>
        <v>-0.17320508075688779</v>
      </c>
      <c r="V79" s="31">
        <f>IF(A79&lt;&gt;0,V35,0)</f>
        <v>-0.17320508075688779</v>
      </c>
      <c r="W79" s="31">
        <f>IF(A79&lt;&gt;0,W35,0)</f>
        <v>-0.11547005383792519</v>
      </c>
      <c r="X79" s="31">
        <f>IF(A79&lt;&gt;0,X35,0)</f>
        <v>-5.7735026918962595E-2</v>
      </c>
      <c r="Y79" s="31">
        <f>IF(A79&lt;&gt;0,Y35,0)</f>
        <v>0</v>
      </c>
      <c r="Z79" s="31">
        <f>IF(A79&lt;&gt;0,Z35,0)</f>
        <v>5.7735026918962595E-2</v>
      </c>
      <c r="AA79" s="31">
        <f>IF(A79&lt;&gt;0,AA35,0)</f>
        <v>0.11547005383792519</v>
      </c>
      <c r="AB79" s="31">
        <f>IF(A79&lt;&gt;0,AB35,0)</f>
        <v>0.17320508075688779</v>
      </c>
      <c r="AC79" s="31">
        <f>IF(A79&lt;&gt;0,AC35,0)</f>
        <v>0.23094010767585038</v>
      </c>
      <c r="AD79" s="31">
        <f>IF(A79&lt;&gt;0,AD35,0)</f>
        <v>0.28867513459481292</v>
      </c>
      <c r="AE79" s="31">
        <f>IF(A79&lt;&gt;0,AE35,0)</f>
        <v>0.34641016151377552</v>
      </c>
      <c r="AF79" s="31">
        <f>IF(A79&lt;&gt;0,AF35,0)</f>
        <v>0.40414518843273811</v>
      </c>
      <c r="AG79" s="31">
        <f>IF(A79&lt;&gt;0,AG35,0)</f>
        <v>0.46188021535170065</v>
      </c>
      <c r="AH79" s="31">
        <f>IF(A79&lt;&gt;0,AH35,0)</f>
        <v>0.51961524227066325</v>
      </c>
      <c r="AI79" s="142">
        <f>IF(A79&lt;&gt;0,AI35,0)</f>
        <v>0.57735026918962584</v>
      </c>
      <c r="AM79" s="126">
        <v>9.0909000000000004E-2</v>
      </c>
      <c r="AN79" s="101"/>
      <c r="AO79" s="101" t="str">
        <f>IF(DIAG!X44,CONCATENATE("R = ",TRUNC(AM79,2)),"")</f>
        <v/>
      </c>
      <c r="AP79" s="101">
        <f>IF(DIAG!X44,$AM$79,-1)</f>
        <v>-1</v>
      </c>
      <c r="AQ79" s="101">
        <f>IF(DIAG!X44,$AM$79,-1)</f>
        <v>-1</v>
      </c>
      <c r="AR79" s="101"/>
      <c r="AS79" s="101"/>
      <c r="AT79" s="101"/>
      <c r="AU79" s="101"/>
      <c r="AV79" s="101"/>
      <c r="AW79" s="101"/>
    </row>
    <row r="80" spans="1:59" ht="15.75" x14ac:dyDescent="0.3">
      <c r="A80" s="146">
        <f>-1/SQRT(3)</f>
        <v>-0.57735026918962584</v>
      </c>
      <c r="B80" s="133">
        <v>0</v>
      </c>
      <c r="C80" s="31">
        <f>(B80-$F$79)/(A80-$E$79)</f>
        <v>6.7349351322299772E-2</v>
      </c>
      <c r="D80" s="31">
        <f>(B80*(A80-$E$79)-A80*(B80-$F$79))/(A80-$E$79)</f>
        <v>3.8884166115676459E-2</v>
      </c>
      <c r="E80" s="31" t="s">
        <v>5</v>
      </c>
      <c r="F80" s="31"/>
      <c r="N80" s="11" t="s">
        <v>112</v>
      </c>
      <c r="O80" s="31">
        <f>IF(DIAG!$T$55,($C$80*O35+$D$80),-1)</f>
        <v>-1</v>
      </c>
      <c r="P80" s="31">
        <f>IF(DIAG!$T$55,($C$80*P35+$D$80),-1)</f>
        <v>-1</v>
      </c>
      <c r="Q80" s="31">
        <f>IF(DIAG!$T$55,($C$80*Q35+$D$80),-1)</f>
        <v>-1</v>
      </c>
      <c r="R80" s="31">
        <f>IF(DIAG!$T$55,($C$80*R35+$D$80),-1)</f>
        <v>-1</v>
      </c>
      <c r="S80" s="31">
        <f>IF(DIAG!$T$55,($C$80*S35+$D$80),-1)</f>
        <v>-1</v>
      </c>
      <c r="T80" s="31">
        <f>IF(DIAG!$T$55,($C$80*T35+$D$80),-1)</f>
        <v>-1</v>
      </c>
      <c r="U80" s="31">
        <f>IF(DIAG!$T$55,($C$80*U35+$D$80),-1)</f>
        <v>-1</v>
      </c>
      <c r="V80" s="31">
        <f>IF(DIAG!$T$55,($C$80*V35+$D$80),-1)</f>
        <v>-1</v>
      </c>
      <c r="W80" s="31">
        <f>IF(DIAG!$T$55,($C$80*W35+$D$80),-1)</f>
        <v>-1</v>
      </c>
      <c r="X80" s="31">
        <f>IF(DIAG!$T$55,($C$80*X35+$D$80),-1)</f>
        <v>-1</v>
      </c>
      <c r="Y80" s="31">
        <f>IF(DIAG!$T$55,($C$80*Y35+$D$80),-1)</f>
        <v>-1</v>
      </c>
      <c r="Z80" s="31">
        <f>IF(DIAG!$T$55,($C$80*Z35+$D$80),-1)</f>
        <v>-1</v>
      </c>
      <c r="AA80" s="31">
        <f>IF(DIAG!$T$55,($C$80*AA35+$D$80),-1)</f>
        <v>-1</v>
      </c>
      <c r="AB80" s="31">
        <f>IF(DIAG!$T$55,($C$80*AB35+$D$80),-1)</f>
        <v>-1</v>
      </c>
      <c r="AC80" s="31">
        <f>IF(DIAG!$T$55,($C$80*AC35+$D$80),-1)</f>
        <v>-1</v>
      </c>
      <c r="AD80" s="31">
        <f>IF(DIAG!$T$55,($C$80*AD35+$D$80),-1)</f>
        <v>-1</v>
      </c>
      <c r="AE80" s="31">
        <f>IF(DIAG!$T$55,($C$80*AE35+$D$80),-1)</f>
        <v>-1</v>
      </c>
      <c r="AF80" s="31">
        <f>IF(DIAG!$T$55,($C$80*AF35+$D$80),-1)</f>
        <v>-1</v>
      </c>
      <c r="AG80" s="31">
        <f>IF(DIAG!$T$55,($C$80*AG35+$D$80),-1)</f>
        <v>-1</v>
      </c>
      <c r="AH80" s="31">
        <f>IF(DIAG!$T$55,($C$80*AH35+$D$80),-1)</f>
        <v>-1</v>
      </c>
      <c r="AI80" s="142">
        <f>IF(DIAG!$T$55,($C$80*AI35+$D$80),-1)</f>
        <v>-1</v>
      </c>
      <c r="AM80" s="126">
        <v>0.33333000000000002</v>
      </c>
      <c r="AN80" s="101"/>
      <c r="AO80" s="101" t="str">
        <f>IF(DIAG!X44,CONCATENATE("R = ",TRUNC(AM80,2)),"")</f>
        <v/>
      </c>
      <c r="AP80" s="101"/>
      <c r="AQ80" s="101"/>
      <c r="AR80" s="101">
        <f>IF(DIAG!X44,$AM$80,-1)</f>
        <v>-1</v>
      </c>
      <c r="AS80" s="101">
        <f>IF(DIAG!X44,$AM$80,-1)</f>
        <v>-1</v>
      </c>
      <c r="AT80" s="101"/>
      <c r="AU80" s="101"/>
      <c r="AV80" s="101"/>
      <c r="AW80" s="101"/>
    </row>
    <row r="81" spans="1:35" ht="15.75" x14ac:dyDescent="0.3">
      <c r="A81" s="146">
        <f>1/SQRT(3)</f>
        <v>0.57735026918962584</v>
      </c>
      <c r="B81" s="133">
        <v>0</v>
      </c>
      <c r="C81" s="31">
        <f>(B81-$H$79)/(A81-$G$79)</f>
        <v>-1.6981341487417188</v>
      </c>
      <c r="D81" s="31">
        <f>(B81*(A81-$G$79)-A81*(B81-$H$79))/(A81-$G$79)</f>
        <v>0.98041820789612744</v>
      </c>
      <c r="E81" s="31" t="s">
        <v>7</v>
      </c>
      <c r="N81" s="11" t="s">
        <v>113</v>
      </c>
      <c r="O81" s="31">
        <f>IF(DIAG!$T$56,($C$81*O35+$D$81),-1)</f>
        <v>-1</v>
      </c>
      <c r="P81" s="31">
        <f>IF(DIAG!$T$56,($C$81*P35+$D$81),-1)</f>
        <v>-1</v>
      </c>
      <c r="Q81" s="31">
        <f>IF(DIAG!$T$56,($C$81*Q35+$D$81),-1)</f>
        <v>-1</v>
      </c>
      <c r="R81" s="31">
        <f>IF(DIAG!$T$56,($C$81*R35+$D$81),-1)</f>
        <v>-1</v>
      </c>
      <c r="S81" s="31">
        <f>IF(DIAG!$T$56,($C$81*S35+$D$81),-1)</f>
        <v>-1</v>
      </c>
      <c r="T81" s="31">
        <f>IF(DIAG!$T$56,($C$81*T35+$D$81),-1)</f>
        <v>-1</v>
      </c>
      <c r="U81" s="31">
        <f>IF(DIAG!$T$56,($C$81*U35+$D$81),-1)</f>
        <v>-1</v>
      </c>
      <c r="V81" s="31">
        <f>IF(DIAG!$T$56,($C$81*V35+$D$81),-1)</f>
        <v>-1</v>
      </c>
      <c r="W81" s="31">
        <f>IF(DIAG!$T$56,($C$81*W35+$D$81),-1)</f>
        <v>-1</v>
      </c>
      <c r="X81" s="31">
        <f>IF(DIAG!$T$56,($C$81*X35+$D$81),-1)</f>
        <v>-1</v>
      </c>
      <c r="Y81" s="31">
        <f>IF(DIAG!$T$56,($C$81*Y35+$D$81),-1)</f>
        <v>-1</v>
      </c>
      <c r="Z81" s="31">
        <f>IF(DIAG!$T$56,($C$81*Z35+$D$81),-1)</f>
        <v>-1</v>
      </c>
      <c r="AA81" s="31">
        <f>IF(DIAG!$T$56,($C$81*AA35+$D$81),-1)</f>
        <v>-1</v>
      </c>
      <c r="AB81" s="31">
        <f>IF(DIAG!$T$56,($C$81*AB35+$D$81),-1)</f>
        <v>-1</v>
      </c>
      <c r="AC81" s="31">
        <f>IF(DIAG!$T$56,($C$81*AC35+$D$81),-1)</f>
        <v>-1</v>
      </c>
      <c r="AD81" s="31">
        <f>IF(DIAG!$T$56,($C$81*AD35+$D$81),-1)</f>
        <v>-1</v>
      </c>
      <c r="AE81" s="31">
        <f>IF(DIAG!$T$56,($C$81*AE35+$D$81),-1)</f>
        <v>-1</v>
      </c>
      <c r="AF81" s="31">
        <f>IF(DIAG!$T$56,($C$81*AF35+$D$81),-1)</f>
        <v>-1</v>
      </c>
      <c r="AG81" s="31">
        <f>IF(DIAG!$T$56,($C$81*AG35+$D$81),-1)</f>
        <v>-1</v>
      </c>
      <c r="AH81" s="31">
        <f>IF(DIAG!$T$56,($C$81*AH35+$D$81),-1)</f>
        <v>-1</v>
      </c>
      <c r="AI81" s="142">
        <f>IF(DIAG!$T$56,($C$81*AI35+$D$81),-1)</f>
        <v>-1</v>
      </c>
    </row>
    <row r="82" spans="1:35" ht="15.75" x14ac:dyDescent="0.3">
      <c r="A82" s="147">
        <v>0</v>
      </c>
      <c r="B82" s="148">
        <v>1</v>
      </c>
      <c r="C82" s="31">
        <f>(B82-$B$79)/(A82-$A$79)</f>
        <v>-1.7361409242676296</v>
      </c>
      <c r="D82" s="31">
        <f>(B82*(A82-$A$79)-A82*(B82-$B$79))/(A82-$A$79)</f>
        <v>1</v>
      </c>
      <c r="E82" s="31" t="s">
        <v>6</v>
      </c>
      <c r="N82" s="11" t="s">
        <v>114</v>
      </c>
      <c r="O82" s="31">
        <f>IFERROR(IF(DIAG!$T$54,($C$82*O35+$D$82),-1),-3)</f>
        <v>-1</v>
      </c>
      <c r="P82" s="31">
        <f>IFERROR(IF(DIAG!$T$54,($C$82*P35+$D$82),-1),-2.66)</f>
        <v>-1</v>
      </c>
      <c r="Q82" s="31">
        <f>IFERROR(IF(DIAG!$T$54,($C$82*Q35+$D$82),-1),-2.33)</f>
        <v>-1</v>
      </c>
      <c r="R82" s="31">
        <f>IFERROR(IF(DIAG!$T$54,($C$82*R35+$D$82),-1),-2)</f>
        <v>-1</v>
      </c>
      <c r="S82" s="31">
        <f>IFERROR(IF(DIAG!$T$54,($C$82*S35+$D$82),-1),-1.66)</f>
        <v>-1</v>
      </c>
      <c r="T82" s="31">
        <f>IFERROR(IF(DIAG!$T$54,($C$82*T35+$D$82),-1),-1.33)</f>
        <v>-1</v>
      </c>
      <c r="U82" s="31">
        <f>IFERROR(IF(DIAG!$T$54,($C$82*U35+$D$82),-1),-1)</f>
        <v>-1</v>
      </c>
      <c r="V82" s="31">
        <f>IFERROR(IF(DIAG!$T$54,($C$82*V35+$D$82),-1),-0.66)</f>
        <v>-1</v>
      </c>
      <c r="W82" s="31">
        <f>IFERROR(IF(DIAG!$T$54,($C$82*W35+$D$82),-1),-0.33)</f>
        <v>-1</v>
      </c>
      <c r="X82" s="31">
        <f>IFERROR(IF(DIAG!$T$54,($C$82*X35+$D$82),-1),0)</f>
        <v>-1</v>
      </c>
      <c r="Y82" s="31">
        <f>IFERROR(IF(DIAG!$T$54,($C$82*Y35+$D$82),-1),1)</f>
        <v>-1</v>
      </c>
      <c r="Z82" s="31">
        <f>IFERROR(IF(DIAG!$T$54,($C$82*Z35+$D$82),-1),1.33)</f>
        <v>-1</v>
      </c>
      <c r="AA82" s="31">
        <f>IFERROR(IF(DIAG!$T$54,($C$82*AA35+$D$82),-1),1.66)</f>
        <v>-1</v>
      </c>
      <c r="AB82" s="31">
        <f>IFERROR(IF(DIAG!$T$54,($C$82*AB35+$D$82),-1),2)</f>
        <v>-1</v>
      </c>
      <c r="AC82" s="31">
        <f>IFERROR(IF(DIAG!$T$54,($C$82*AC35+$D$82),-1),2.33)</f>
        <v>-1</v>
      </c>
      <c r="AD82" s="31">
        <f>IFERROR(IF(DIAG!$T$54,($C$82*AD35+$D$82),-1),2.66)</f>
        <v>-1</v>
      </c>
      <c r="AE82" s="31">
        <f>IFERROR(IF(DIAG!$T$54,($C$82*AE35+$D$82),-1),3)</f>
        <v>-1</v>
      </c>
      <c r="AF82" s="31">
        <f>IFERROR(IF(DIAG!$T$54,($C$82*AF35+$D$82),-1),3.33)</f>
        <v>-1</v>
      </c>
      <c r="AG82" s="31">
        <f>IFERROR(IF(DIAG!$T$54,($C$82*AG35+$D$82),-1),3.66)</f>
        <v>-1</v>
      </c>
      <c r="AH82" s="31">
        <f>IFERROR(IF(DIAG!$T$54,($C$82*AH35+$D$82),-1),4)</f>
        <v>-1</v>
      </c>
      <c r="AI82" s="142">
        <f>IFERROR(IF(DIAG!$T$54,($C$82*AI35+$D$82),-1),4.33)</f>
        <v>-1</v>
      </c>
    </row>
    <row r="83" spans="1:35" x14ac:dyDescent="0.2">
      <c r="A83" s="149">
        <f>B83+1</f>
        <v>2</v>
      </c>
      <c r="B83" s="11">
        <v>1</v>
      </c>
      <c r="E83" s="31"/>
      <c r="AI83" s="145"/>
    </row>
    <row r="84" spans="1:35" x14ac:dyDescent="0.2">
      <c r="A84" s="111"/>
      <c r="B84" s="11">
        <v>2</v>
      </c>
      <c r="C84" s="11">
        <v>3</v>
      </c>
      <c r="D84" s="11">
        <v>4</v>
      </c>
      <c r="E84" s="11">
        <v>5</v>
      </c>
      <c r="F84" s="11">
        <v>6</v>
      </c>
      <c r="G84" s="11">
        <v>7</v>
      </c>
      <c r="L84" s="11">
        <v>8</v>
      </c>
      <c r="AI84" s="145"/>
    </row>
    <row r="85" spans="1:35" x14ac:dyDescent="0.2">
      <c r="A85" s="111"/>
      <c r="AI85" s="145"/>
    </row>
    <row r="86" spans="1:35" x14ac:dyDescent="0.2">
      <c r="A86" s="111"/>
      <c r="D86" s="10">
        <v>1</v>
      </c>
      <c r="E86" s="10">
        <v>2</v>
      </c>
      <c r="AI86" s="145"/>
    </row>
    <row r="87" spans="1:35" x14ac:dyDescent="0.2">
      <c r="A87" s="111"/>
      <c r="B87" s="150" t="s">
        <v>5</v>
      </c>
      <c r="C87" s="151" t="s">
        <v>53</v>
      </c>
      <c r="D87" s="152" t="e">
        <f ca="1">D90</f>
        <v>#DIV/0!</v>
      </c>
      <c r="E87" s="153" t="e">
        <f ca="1">E91</f>
        <v>#DIV/0!</v>
      </c>
      <c r="G87" s="150" t="s">
        <v>7</v>
      </c>
      <c r="H87" s="151"/>
      <c r="I87" s="151"/>
      <c r="J87" s="151"/>
      <c r="K87" s="151"/>
      <c r="L87" s="151" t="s">
        <v>53</v>
      </c>
      <c r="M87" s="152" t="e">
        <f ca="1">M90</f>
        <v>#DIV/0!</v>
      </c>
      <c r="N87" s="153" t="e">
        <f ca="1">N91</f>
        <v>#DIV/0!</v>
      </c>
      <c r="P87" s="154" t="s">
        <v>6</v>
      </c>
      <c r="Q87" s="92" t="s">
        <v>53</v>
      </c>
      <c r="R87" s="140" t="e">
        <f ca="1">R90</f>
        <v>#DIV/0!</v>
      </c>
      <c r="S87" s="64" t="e">
        <f ca="1">S91</f>
        <v>#DIV/0!</v>
      </c>
      <c r="AI87" s="145"/>
    </row>
    <row r="88" spans="1:35" x14ac:dyDescent="0.2">
      <c r="A88" s="111"/>
      <c r="B88" s="155"/>
      <c r="C88" s="156" t="s">
        <v>54</v>
      </c>
      <c r="D88" s="157" t="e">
        <f ca="1">C80*D87+D80</f>
        <v>#DIV/0!</v>
      </c>
      <c r="E88" s="158" t="e">
        <f ca="1">C80*E87+D80</f>
        <v>#DIV/0!</v>
      </c>
      <c r="G88" s="155"/>
      <c r="H88" s="156"/>
      <c r="I88" s="156"/>
      <c r="J88" s="156"/>
      <c r="K88" s="156"/>
      <c r="L88" s="156" t="s">
        <v>54</v>
      </c>
      <c r="M88" s="157" t="e">
        <f ca="1">C81*M87+D81</f>
        <v>#DIV/0!</v>
      </c>
      <c r="N88" s="158" t="e">
        <f ca="1">C81*N87+D81</f>
        <v>#DIV/0!</v>
      </c>
      <c r="P88" s="111"/>
      <c r="Q88" s="10" t="s">
        <v>54</v>
      </c>
      <c r="R88" s="36" t="e">
        <f ca="1">C82*R87+D82</f>
        <v>#DIV/0!</v>
      </c>
      <c r="S88" s="99" t="e">
        <f ca="1">C82*S87+D82</f>
        <v>#DIV/0!</v>
      </c>
      <c r="AI88" s="145"/>
    </row>
    <row r="89" spans="1:35" x14ac:dyDescent="0.2">
      <c r="A89" s="111"/>
      <c r="B89" s="155"/>
      <c r="C89" s="156"/>
      <c r="D89" s="157"/>
      <c r="E89" s="158"/>
      <c r="G89" s="155"/>
      <c r="H89" s="156"/>
      <c r="I89" s="156"/>
      <c r="J89" s="156"/>
      <c r="K89" s="156"/>
      <c r="L89" s="156"/>
      <c r="M89" s="157"/>
      <c r="N89" s="158"/>
      <c r="P89" s="111"/>
      <c r="S89" s="145"/>
      <c r="AI89" s="145"/>
    </row>
    <row r="90" spans="1:35" x14ac:dyDescent="0.2">
      <c r="A90" s="111"/>
      <c r="B90" s="155" t="s">
        <v>8</v>
      </c>
      <c r="C90" s="156" t="s">
        <v>58</v>
      </c>
      <c r="D90" s="157" t="e">
        <f ca="1">(SQRT(D88^2-2*D88+5)-2)/SQRT(3)</f>
        <v>#DIV/0!</v>
      </c>
      <c r="E90" s="158"/>
      <c r="G90" s="155" t="s">
        <v>8</v>
      </c>
      <c r="H90" s="156"/>
      <c r="I90" s="156"/>
      <c r="J90" s="156"/>
      <c r="K90" s="156"/>
      <c r="L90" s="156" t="s">
        <v>58</v>
      </c>
      <c r="M90" s="157" t="e">
        <f ca="1">(SQRT(M88^2-2*M88+5)-2)/SQRT(3)</f>
        <v>#DIV/0!</v>
      </c>
      <c r="N90" s="158"/>
      <c r="P90" s="111" t="s">
        <v>8</v>
      </c>
      <c r="Q90" s="10" t="s">
        <v>58</v>
      </c>
      <c r="R90" s="36" t="e">
        <f ca="1">(SQRT(R88^2-2*R88+5)-2)/SQRT(3)</f>
        <v>#DIV/0!</v>
      </c>
      <c r="S90" s="99"/>
      <c r="AI90" s="145"/>
    </row>
    <row r="91" spans="1:35" x14ac:dyDescent="0.2">
      <c r="A91" s="111"/>
      <c r="B91" s="155" t="s">
        <v>9</v>
      </c>
      <c r="C91" s="156" t="s">
        <v>59</v>
      </c>
      <c r="D91" s="157"/>
      <c r="E91" s="158" t="e">
        <f ca="1">(SQRT(25*E88^2-10*E88+21)-6)/(5*SQRT(3))</f>
        <v>#DIV/0!</v>
      </c>
      <c r="G91" s="155" t="s">
        <v>9</v>
      </c>
      <c r="H91" s="156"/>
      <c r="I91" s="156"/>
      <c r="J91" s="156"/>
      <c r="K91" s="156"/>
      <c r="L91" s="156" t="s">
        <v>59</v>
      </c>
      <c r="M91" s="157"/>
      <c r="N91" s="158" t="e">
        <f ca="1">(SQRT(25*N88*N88-10*N88+21)-6)/(5*SQRT(3))</f>
        <v>#DIV/0!</v>
      </c>
      <c r="P91" s="111" t="s">
        <v>9</v>
      </c>
      <c r="Q91" s="10" t="s">
        <v>59</v>
      </c>
      <c r="R91" s="36"/>
      <c r="S91" s="99" t="e">
        <f ca="1">(SQRT(25*S88*S88-10*S88+21)-6)/(5*SQRT(3))</f>
        <v>#DIV/0!</v>
      </c>
      <c r="AI91" s="145"/>
    </row>
    <row r="92" spans="1:35" x14ac:dyDescent="0.2">
      <c r="A92" s="111"/>
      <c r="B92" s="159" t="s">
        <v>60</v>
      </c>
      <c r="C92" s="160"/>
      <c r="D92" s="161" t="e">
        <f ca="1">SQRT((D87-E87)^2+(D88-E88)^2)</f>
        <v>#DIV/0!</v>
      </c>
      <c r="E92" s="162"/>
      <c r="G92" s="159" t="s">
        <v>60</v>
      </c>
      <c r="H92" s="160"/>
      <c r="I92" s="160"/>
      <c r="J92" s="160"/>
      <c r="K92" s="160"/>
      <c r="L92" s="160"/>
      <c r="M92" s="161" t="e">
        <f ca="1">SQRT((M87-N87)^2+(M88-N88)^2)</f>
        <v>#DIV/0!</v>
      </c>
      <c r="N92" s="162"/>
      <c r="P92" s="114" t="s">
        <v>60</v>
      </c>
      <c r="Q92" s="35"/>
      <c r="R92" s="163" t="e">
        <f ca="1">SQRT((R87-S87)^2+(R88-S88)^2)</f>
        <v>#DIV/0!</v>
      </c>
      <c r="S92" s="70"/>
      <c r="AI92" s="145"/>
    </row>
    <row r="93" spans="1:35" x14ac:dyDescent="0.2">
      <c r="A93" s="111"/>
      <c r="D93" s="10">
        <v>3</v>
      </c>
      <c r="E93" s="10">
        <v>0</v>
      </c>
      <c r="AI93" s="145"/>
    </row>
    <row r="94" spans="1:35" x14ac:dyDescent="0.2">
      <c r="A94" s="111"/>
      <c r="B94" s="150" t="s">
        <v>5</v>
      </c>
      <c r="C94" s="151" t="s">
        <v>53</v>
      </c>
      <c r="D94" s="152" t="e">
        <f ca="1">D97</f>
        <v>#DIV/0!</v>
      </c>
      <c r="E94" s="153">
        <f>-1/SQRT(3)</f>
        <v>-0.57735026918962584</v>
      </c>
      <c r="G94" s="150" t="s">
        <v>7</v>
      </c>
      <c r="H94" s="151"/>
      <c r="I94" s="151"/>
      <c r="J94" s="151"/>
      <c r="K94" s="151"/>
      <c r="L94" s="151" t="s">
        <v>53</v>
      </c>
      <c r="M94" s="152" t="e">
        <f ca="1">M97</f>
        <v>#DIV/0!</v>
      </c>
      <c r="N94" s="153">
        <f>1/SQRT(3)</f>
        <v>0.57735026918962584</v>
      </c>
      <c r="P94" s="154" t="s">
        <v>6</v>
      </c>
      <c r="Q94" s="92" t="s">
        <v>53</v>
      </c>
      <c r="R94" s="140">
        <f>(R95-D82)/C82</f>
        <v>0.57599010888003699</v>
      </c>
      <c r="S94" s="64">
        <v>0</v>
      </c>
      <c r="AI94" s="145"/>
    </row>
    <row r="95" spans="1:35" x14ac:dyDescent="0.2">
      <c r="A95" s="111"/>
      <c r="B95" s="155"/>
      <c r="C95" s="156" t="s">
        <v>54</v>
      </c>
      <c r="D95" s="157" t="e">
        <f ca="1">C80*D94+D80</f>
        <v>#DIV/0!</v>
      </c>
      <c r="E95" s="158">
        <v>0</v>
      </c>
      <c r="G95" s="155"/>
      <c r="H95" s="156"/>
      <c r="I95" s="156"/>
      <c r="J95" s="156"/>
      <c r="K95" s="156"/>
      <c r="L95" s="156" t="s">
        <v>54</v>
      </c>
      <c r="M95" s="157" t="e">
        <f ca="1">C81*M94+D81</f>
        <v>#DIV/0!</v>
      </c>
      <c r="N95" s="158">
        <v>0</v>
      </c>
      <c r="P95" s="111"/>
      <c r="Q95" s="10" t="s">
        <v>54</v>
      </c>
      <c r="R95" s="36">
        <f>R97</f>
        <v>0</v>
      </c>
      <c r="S95" s="99">
        <v>1</v>
      </c>
      <c r="AI95" s="145"/>
    </row>
    <row r="96" spans="1:35" x14ac:dyDescent="0.2">
      <c r="A96" s="111"/>
      <c r="B96" s="155"/>
      <c r="C96" s="156"/>
      <c r="D96" s="157"/>
      <c r="E96" s="158"/>
      <c r="G96" s="155"/>
      <c r="H96" s="156"/>
      <c r="I96" s="156"/>
      <c r="J96" s="156"/>
      <c r="K96" s="156"/>
      <c r="L96" s="156"/>
      <c r="M96" s="157"/>
      <c r="N96" s="158"/>
      <c r="P96" s="111"/>
      <c r="R96" s="36"/>
      <c r="S96" s="99"/>
      <c r="AI96" s="145"/>
    </row>
    <row r="97" spans="1:35" x14ac:dyDescent="0.2">
      <c r="A97" s="111"/>
      <c r="B97" s="155" t="s">
        <v>5</v>
      </c>
      <c r="C97" s="156" t="s">
        <v>58</v>
      </c>
      <c r="D97" s="157" t="e">
        <f ca="1">(1-D95)/SQRT(3)</f>
        <v>#DIV/0!</v>
      </c>
      <c r="E97" s="158"/>
      <c r="G97" s="155" t="s">
        <v>7</v>
      </c>
      <c r="H97" s="156"/>
      <c r="I97" s="156"/>
      <c r="J97" s="156"/>
      <c r="K97" s="156"/>
      <c r="L97" s="156" t="s">
        <v>58</v>
      </c>
      <c r="M97" s="157" t="e">
        <f ca="1">-(1-M95)/SQRT(3)</f>
        <v>#DIV/0!</v>
      </c>
      <c r="N97" s="158"/>
      <c r="P97" s="111" t="s">
        <v>6</v>
      </c>
      <c r="Q97" s="10" t="s">
        <v>61</v>
      </c>
      <c r="R97" s="36">
        <v>0</v>
      </c>
      <c r="S97" s="99"/>
      <c r="AI97" s="145"/>
    </row>
    <row r="98" spans="1:35" x14ac:dyDescent="0.2">
      <c r="A98" s="111"/>
      <c r="B98" s="159" t="s">
        <v>60</v>
      </c>
      <c r="C98" s="160"/>
      <c r="D98" s="161" t="e">
        <f ca="1">SQRT((D94-E94)^2+(D95-E95)^2)</f>
        <v>#DIV/0!</v>
      </c>
      <c r="E98" s="162"/>
      <c r="G98" s="159" t="s">
        <v>60</v>
      </c>
      <c r="H98" s="160"/>
      <c r="I98" s="160"/>
      <c r="J98" s="160"/>
      <c r="K98" s="160"/>
      <c r="L98" s="160"/>
      <c r="M98" s="161" t="e">
        <f ca="1">SQRT((M94-N94)^2+(M95-N95)^2)</f>
        <v>#DIV/0!</v>
      </c>
      <c r="N98" s="162"/>
      <c r="P98" s="114" t="s">
        <v>60</v>
      </c>
      <c r="Q98" s="35"/>
      <c r="R98" s="163">
        <f>SQRT((R94-S94)^2+(R95-S95)^2)</f>
        <v>1.1540210593952074</v>
      </c>
      <c r="S98" s="70"/>
      <c r="W98" s="10" t="e">
        <f ca="1">(SQRT(25*E88^2-10*E88+21)-6)/(5*SQRT(3))</f>
        <v>#DIV/0!</v>
      </c>
      <c r="AI98" s="145"/>
    </row>
    <row r="99" spans="1:35" x14ac:dyDescent="0.2">
      <c r="A99" s="111"/>
      <c r="G99" s="10"/>
      <c r="H99" s="10"/>
      <c r="I99" s="10"/>
      <c r="J99" s="10"/>
      <c r="K99" s="10"/>
      <c r="AI99" s="145"/>
    </row>
    <row r="100" spans="1:35" x14ac:dyDescent="0.2">
      <c r="A100" s="111"/>
      <c r="B100" s="150" t="s">
        <v>62</v>
      </c>
      <c r="C100" s="151"/>
      <c r="D100" s="164" t="e">
        <f ca="1">D92/D98</f>
        <v>#DIV/0!</v>
      </c>
      <c r="E100" s="165"/>
      <c r="G100" s="150" t="s">
        <v>63</v>
      </c>
      <c r="H100" s="151"/>
      <c r="I100" s="151"/>
      <c r="J100" s="151"/>
      <c r="K100" s="151"/>
      <c r="L100" s="151"/>
      <c r="M100" s="164" t="e">
        <f ca="1">M92/M98</f>
        <v>#DIV/0!</v>
      </c>
      <c r="N100" s="165"/>
      <c r="P100" s="10" t="s">
        <v>64</v>
      </c>
      <c r="R100" s="166" t="e">
        <f ca="1">R92/R98</f>
        <v>#DIV/0!</v>
      </c>
      <c r="AI100" s="145"/>
    </row>
    <row r="101" spans="1:35" x14ac:dyDescent="0.2">
      <c r="A101" s="111"/>
      <c r="B101" s="155"/>
      <c r="C101" s="156"/>
      <c r="D101" s="167" t="s">
        <v>36</v>
      </c>
      <c r="E101" s="168" t="s">
        <v>38</v>
      </c>
      <c r="G101" s="169"/>
      <c r="H101" s="167"/>
      <c r="I101" s="167"/>
      <c r="J101" s="167"/>
      <c r="K101" s="167"/>
      <c r="L101" s="156"/>
      <c r="M101" s="167" t="s">
        <v>38</v>
      </c>
      <c r="N101" s="168" t="s">
        <v>36</v>
      </c>
      <c r="R101" s="11"/>
      <c r="S101" s="11"/>
      <c r="AI101" s="145"/>
    </row>
    <row r="102" spans="1:35" x14ac:dyDescent="0.2">
      <c r="A102" s="111"/>
      <c r="B102" s="155"/>
      <c r="C102" s="156"/>
      <c r="D102" s="156" t="e">
        <f ca="1">SQRT((E87-E94)^2+(E88-E95)^2)</f>
        <v>#DIV/0!</v>
      </c>
      <c r="E102" s="170" t="e">
        <f ca="1">SQRT((D87-D94)^2+(D88-D95)^2)</f>
        <v>#DIV/0!</v>
      </c>
      <c r="G102" s="169"/>
      <c r="H102" s="167"/>
      <c r="I102" s="167"/>
      <c r="J102" s="167"/>
      <c r="K102" s="167"/>
      <c r="L102" s="156"/>
      <c r="M102" s="156" t="e">
        <f ca="1">SQRT((M87-N94)^2+(M88-N95)^2)</f>
        <v>#DIV/0!</v>
      </c>
      <c r="N102" s="170" t="e">
        <f ca="1">SQRT((N87-M94)^2+(N88-M95)^2)</f>
        <v>#DIV/0!</v>
      </c>
      <c r="AI102" s="145"/>
    </row>
    <row r="103" spans="1:35" x14ac:dyDescent="0.2">
      <c r="A103" s="111"/>
      <c r="B103" s="159"/>
      <c r="C103" s="160"/>
      <c r="D103" s="171" t="e">
        <f ca="1">D102/D98</f>
        <v>#DIV/0!</v>
      </c>
      <c r="E103" s="172" t="e">
        <f ca="1">E102/D98</f>
        <v>#DIV/0!</v>
      </c>
      <c r="G103" s="173"/>
      <c r="H103" s="174"/>
      <c r="I103" s="174"/>
      <c r="J103" s="174"/>
      <c r="K103" s="174"/>
      <c r="L103" s="160"/>
      <c r="M103" s="171" t="e">
        <f ca="1">M102/M98</f>
        <v>#DIV/0!</v>
      </c>
      <c r="N103" s="172" t="e">
        <f ca="1">N102/M98</f>
        <v>#DIV/0!</v>
      </c>
      <c r="R103" s="175"/>
      <c r="S103" s="175"/>
      <c r="AI103" s="145"/>
    </row>
    <row r="104" spans="1:35" x14ac:dyDescent="0.2">
      <c r="A104" s="111"/>
      <c r="AI104" s="145"/>
    </row>
    <row r="105" spans="1:35" x14ac:dyDescent="0.2">
      <c r="A105" s="111"/>
      <c r="D105" s="176" t="e">
        <f ca="1">D100+D103+E103</f>
        <v>#DIV/0!</v>
      </c>
      <c r="M105" s="176" t="e">
        <f ca="1">M100+M103+N103</f>
        <v>#DIV/0!</v>
      </c>
      <c r="R105" s="176"/>
      <c r="AI105" s="145"/>
    </row>
    <row r="106" spans="1:35" x14ac:dyDescent="0.2">
      <c r="A106" s="111"/>
      <c r="AI106" s="145"/>
    </row>
    <row r="107" spans="1:35" x14ac:dyDescent="0.2">
      <c r="A107" s="111"/>
      <c r="AI107" s="145"/>
    </row>
    <row r="108" spans="1:35" x14ac:dyDescent="0.2">
      <c r="A108" s="111"/>
      <c r="D108" s="118" t="e">
        <f ca="1">LOG(100*E103)</f>
        <v>#DIV/0!</v>
      </c>
      <c r="M108" s="118" t="e">
        <f ca="1">LOG(100*N103)</f>
        <v>#DIV/0!</v>
      </c>
      <c r="AI108" s="145"/>
    </row>
    <row r="109" spans="1:35" x14ac:dyDescent="0.2">
      <c r="A109" s="111"/>
      <c r="D109" s="118" t="e">
        <f ca="1">LOG(100*D100)</f>
        <v>#DIV/0!</v>
      </c>
      <c r="M109" s="118" t="e">
        <f ca="1">LOG(100*M100)</f>
        <v>#DIV/0!</v>
      </c>
      <c r="AI109" s="145"/>
    </row>
    <row r="110" spans="1:35" x14ac:dyDescent="0.2">
      <c r="A110" s="114"/>
      <c r="B110" s="35"/>
      <c r="C110" s="35"/>
      <c r="D110" s="177" t="e">
        <f ca="1">LOG(100*D103)</f>
        <v>#DIV/0!</v>
      </c>
      <c r="E110" s="35"/>
      <c r="F110" s="35"/>
      <c r="G110" s="115"/>
      <c r="H110" s="115"/>
      <c r="I110" s="115"/>
      <c r="J110" s="115"/>
      <c r="K110" s="115"/>
      <c r="L110" s="35"/>
      <c r="M110" s="177" t="e">
        <f ca="1">LOG(100*M103)</f>
        <v>#DIV/0!</v>
      </c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10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2023-04-25T22:53:19Z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