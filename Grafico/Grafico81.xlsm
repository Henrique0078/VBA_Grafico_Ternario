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E1715785-C54D-4A75-B91D-1CD1ED37B4B0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W74" i="1" l="1"/>
  <c r="W72" i="1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O69" i="6"/>
  <c r="AG69" i="6"/>
  <c r="P66" i="6" l="1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<sst xmlns="http://schemas.openxmlformats.org/spreadsheetml/2006/main" count="487" uniqueCount="162">
  <si>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</si>
  <si>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</si>
  <si>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</si>
  <si>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</si>
  <si>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</si>
  <si>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</si>
  <si>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</si>
  <si>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</si>
  <si>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</si>
  <si>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</si>
  <si>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</si>
  <si>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</si>
  <si>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</si>
  <si>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</si>
  <si>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</si>
  <si>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</si>
  <si>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</si>
  <si>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</si>
  <si>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</si>
  <si>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</si>
  <si>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</si>
  <si>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</si>
  <si>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</si>
  <si>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</si>
  <si>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</si>
  <si>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</si>
  <si>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</si>
  <si>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</si>
  <si>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</si>
  <si>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</si>
  <si>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</si>
  <si>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</si>
  <si>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</si>
  <si>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</si>
  <si>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</si>
  <si>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</si>
  <si>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</si>
  <si>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</si>
  <si>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</si>
  <si>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</si>
  <si>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</si>
  <si>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</si>
  <si>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</si>
  <si>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</si>
  <si>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</si>
  <si>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</si>
  <si>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</si>
  <si>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</si>
  <si>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</si>
  <si>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</si>
  <si>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</si>
  <si>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</si>
  <si>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</si>
  <si>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</si>
  <si>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</si>
  <si>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</si>
  <si>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</si>
  <si>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</si>
  <si>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</si>
  <si>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</si>
  <si>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</si>
  <si>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</si>
  <si>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</si>
  <si>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</si>
  <si>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</si>
  <si>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</si>
  <si>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</si>
  <si>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</si>
  <si>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</si>
  <si>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</si>
  <si>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</si>
  <si>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</si>
  <si>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</si>
  <si>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</si>
  <si>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</si>
  <si>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</si>
  <si>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</si>
  <si>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</si>
  <si>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</si>
  <si>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</si>
  <si>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</si>
  <si>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</si>
  <si>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</si>
  <si>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</si>
  <si>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</si>
  <si>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</si>
  <si>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</si>
  <si>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</si>
  <si>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</si>
  <si>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</si>
  <si>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</si>
  <si>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</si>
  <si>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</si>
  <si>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</si>
  <si>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</si>
  <si>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</si>
  <si>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</si>
  <si>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</si>
  <si>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</si>
  <si>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</si>
  <si>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</si>
  <si>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</si>
  <si>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</si>
  <si>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</si>
  <si>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</si>
  <si>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</si>
  <si>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</si>
  <si>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</si>
  <si>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</si>
  <si>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</si>
  <si>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</si>
  <si>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</si>
  <si>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</si>
  <si>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</si>
  <si>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</si>
  <si>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</si>
  <si>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</si>
  <si>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</si>
  <si>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</si>
  <si>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</si>
  <si>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</si>
  <si>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</si>
  <si>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</si>
  <si>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</si>
  <si>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</si>
  <si>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</si>
  <si>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</si>
  <si>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</si>
  <si>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</si>
  <si>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</si>
  <si>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</si>
  <si>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</si>
  <si>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</si>
  <si>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</si>
  <si>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</si>
  <si>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</si>
  <si>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</si>
  <si>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</si>
  <si>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</si>
  <si>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</si>
  <si>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</si>
  <si>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</si>
  <si>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</si>
  <si>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</si>
  <si>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</si>
  <si>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</si>
  <si>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</si>
  <si>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</si>
  <si>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</si>
  <si>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</si>
  <si>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</si>
  <si>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</si>
  <si>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</si>
  <si>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</si>
  <si>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</si>
  <si>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</si>
  <si>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</si>
  <si>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</si>
  <si>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</si>
  <si>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K:\André\testes\Novo\teste 20 pontos.eMe</t>
  </si>
  <si>
    <t>%</t>
  </si>
  <si>
    <t>Agregated emergy flows in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</si>
</sst>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169" fontId="17" fillId="0" borderId="4" xfId="0" applyNumberFormat="1" applyFont="1" applyBorder="1" applyAlignment="1">
      <alignment horizontal="center"/>
    </xf>
    <xf numFmtId="169" fontId="18" fillId="0" borderId="0" xfId="0" applyNumberFormat="1" applyFont="1" applyAlignment="1">
      <alignment horizontal="center"/>
    </xf>
    <xf numFmtId="169" fontId="17" fillId="0" borderId="4" xfId="0" applyNumberFormat="1" applyFont="1" applyBorder="1" applyAlignment="1">
      <alignment horizontal="center" wrapText="1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23" fillId="0" borderId="0" xfId="0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0" fontId="14" fillId="0" borderId="10" xfId="0" applyFont="1" applyBorder="1"/>
    <xf numFmtId="0" fontId="14" fillId="0" borderId="3" xfId="0" applyFont="1" applyBorder="1"/>
    <xf numFmtId="0" fontId="14" fillId="0" borderId="13" xfId="0" applyFont="1" applyBorder="1"/>
    <xf numFmtId="0" fontId="14" fillId="0" borderId="7" xfId="0" applyFont="1" applyBorder="1"/>
    <xf numFmtId="0" fontId="14" fillId="0" borderId="4" xfId="0" applyFont="1" applyBorder="1"/>
    <xf numFmtId="0" fontId="14" fillId="0" borderId="2" xfId="0" applyFont="1" applyBorder="1"/>
    <xf numFmtId="0" fontId="14" fillId="0" borderId="10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1" fontId="14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169" fontId="18" fillId="0" borderId="0" xfId="0" applyNumberFormat="1" applyFont="1" applyAlignment="1">
      <alignment horizontal="righ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8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fld id="{043CD7DE-B616-4DA3-9D26-C7A7790345FE}" type="SERIESNAME"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 algn="l">
                        <a:defRPr sz="1600">
                          <a:latin typeface="Times New Roman" panose="02020603050405020304" pitchFamily="18" charset="0"/>
                          <a:cs typeface="Times New Roman" panose="02020603050405020304" pitchFamily="18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Times New Roman" panose="02020603050405020304" pitchFamily="18" charset="0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600">
                        <a:latin typeface="Times New Roman" panose="02020603050405020304" pitchFamily="18" charset="0"/>
                        <a:cs typeface="Times New Roman" panose="02020603050405020304" pitchFamily="18" charset="0"/>
                      </a:defRPr>
                    </a:pPr>
                    <a:r>
                      <a:rPr lang="en-US" sz="1600">
                        <a:solidFill>
                          <a:srgbClr val="FF0000"/>
                        </a:solidFill>
                        <a:latin typeface="+mn-lt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6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5" zoomScaleNormal="75" workbookViewId="0">
      <selection activeCell="M14" sqref="M14"/>
    </sheetView>
  </sheetViews>
  <sheetFormatPr defaultRowHeight="12.75" x14ac:dyDescent="0.2"/>
  <cols>
    <col min="1" max="1" width="8.875" style="225" customWidth="1"/>
    <col min="2" max="6" width="9" style="225"/>
    <col min="7" max="7" width="11.875" style="225" customWidth="1"/>
    <col min="8" max="8" width="13" style="225" customWidth="1"/>
    <col min="9" max="9" width="13.125" style="225" customWidth="1"/>
    <col min="10" max="10" width="11.875" style="225" customWidth="1"/>
    <col min="11" max="11" width="9" style="225"/>
    <col min="12" max="12" width="11.125" style="225" bestFit="1" customWidth="1"/>
    <col min="13" max="14" width="12.5" style="225" customWidth="1"/>
    <col min="15" max="15" width="12.625" style="225" customWidth="1"/>
    <col min="16" max="16" width="15.375" style="225" customWidth="1"/>
    <col min="17" max="17" width="7" style="225" customWidth="1"/>
    <col min="18" max="18" width="15.25" style="225" bestFit="1" customWidth="1"/>
    <col min="19" max="19" width="12.25" style="226" customWidth="1"/>
    <col min="20" max="22" width="13.25" style="226" customWidth="1"/>
    <col min="23" max="23" width="13" style="225" customWidth="1"/>
    <col min="24" max="24" width="13.75" style="225" customWidth="1"/>
    <col min="25" max="25" width="12.75" style="225" customWidth="1"/>
    <col min="26" max="26" width="12.625" style="225" customWidth="1"/>
    <col min="27" max="27" width="13.5" style="225" customWidth="1"/>
    <col min="28" max="28" width="12.5" style="225" customWidth="1"/>
    <col min="29" max="29" width="9.75" style="225" customWidth="1"/>
    <col min="30" max="30" width="10.25" style="225" customWidth="1"/>
    <col min="31" max="31" width="11.375" style="225" customWidth="1"/>
    <col min="32" max="32" width="11.25" style="225" customWidth="1"/>
    <col min="33" max="33" width="9.625" style="225" customWidth="1"/>
    <col min="34" max="34" width="10.25" style="225" customWidth="1"/>
    <col min="35" max="35" width="7.75" style="225" customWidth="1"/>
    <col min="36" max="37" width="7.125" style="225" customWidth="1"/>
    <col min="38" max="38" width="8.375" style="225" customWidth="1"/>
    <col min="39" max="39" width="8.625" style="225" customWidth="1"/>
    <col min="40" max="40" width="16.125" style="225" customWidth="1"/>
    <col min="41" max="41" width="12.875" style="225" customWidth="1"/>
    <col min="42" max="42" width="13.375" style="225" customWidth="1"/>
    <col min="43" max="43" width="8.5" style="225" customWidth="1"/>
    <col min="44" max="44" width="9" style="225" customWidth="1"/>
    <col min="45" max="45" width="8.875" style="225" customWidth="1"/>
    <col min="46" max="46" width="11.875" style="225" customWidth="1"/>
    <col min="47" max="16384" width="9" style="225"/>
  </cols>
  <sheetData>
    <row r="1" spans="8:46" ht="30" customHeight="1" x14ac:dyDescent="0.2">
      <c r="P1" s="225" t="s">
        <v>65</v>
      </c>
      <c r="Q1" s="225" t="s">
        <v>0</v>
      </c>
      <c r="W1" s="225">
        <v>0</v>
      </c>
      <c r="X1" s="227"/>
      <c r="Y1" s="227"/>
      <c r="AA1" s="225">
        <f>N5+O5+P5</f>
        <v>1</v>
      </c>
      <c r="AM1" s="225">
        <v>1</v>
      </c>
      <c r="AT1" s="225" t="s">
        <v>153</v>
      </c>
    </row>
    <row r="2" spans="8:46" x14ac:dyDescent="0.2">
      <c r="AM2" s="225">
        <v>2</v>
      </c>
      <c r="AT2" s="225" t="s">
        <v>154</v>
      </c>
    </row>
    <row r="3" spans="8:46" x14ac:dyDescent="0.2">
      <c r="AM3" s="225">
        <v>3</v>
      </c>
      <c r="AT3" s="225" t="s">
        <v>5</v>
      </c>
    </row>
    <row r="4" spans="8:46" x14ac:dyDescent="0.2">
      <c r="X4" s="225" t="s">
        <v>90</v>
      </c>
      <c r="AM4" s="225">
        <v>4</v>
      </c>
      <c r="AT4" s="225" t="s">
        <v>84</v>
      </c>
    </row>
    <row r="5" spans="8:46" x14ac:dyDescent="0.2">
      <c r="N5" s="225" t="b">
        <v>0</v>
      </c>
      <c r="O5" s="225" t="b">
        <v>1</v>
      </c>
      <c r="P5" s="225" t="b">
        <v>0</v>
      </c>
      <c r="X5" s="225" t="s">
        <v>98</v>
      </c>
      <c r="Y5" s="225" t="s">
        <v>101</v>
      </c>
      <c r="Z5" s="225" t="s">
        <v>100</v>
      </c>
      <c r="AM5" s="225">
        <v>5</v>
      </c>
    </row>
    <row r="6" spans="8:46" x14ac:dyDescent="0.2">
      <c r="X6" s="225" t="b">
        <v>0</v>
      </c>
      <c r="Y6" s="225" t="b">
        <v>0</v>
      </c>
      <c r="Z6" s="225" t="b">
        <v>0</v>
      </c>
      <c r="AM6" s="225">
        <v>6</v>
      </c>
    </row>
    <row r="7" spans="8:46" x14ac:dyDescent="0.2">
      <c r="AM7" s="225">
        <v>7</v>
      </c>
    </row>
    <row r="8" spans="8:46" x14ac:dyDescent="0.2">
      <c r="AM8" s="225">
        <v>8</v>
      </c>
    </row>
    <row r="9" spans="8:46" x14ac:dyDescent="0.2">
      <c r="AM9" s="225">
        <v>9</v>
      </c>
    </row>
    <row r="10" spans="8:46" x14ac:dyDescent="0.2">
      <c r="AM10" s="225">
        <v>10</v>
      </c>
    </row>
    <row r="11" spans="8:46" x14ac:dyDescent="0.2">
      <c r="W11" s="228"/>
      <c r="X11" s="228"/>
      <c r="Y11" s="228"/>
      <c r="Z11" s="228"/>
      <c r="AA11" s="228"/>
      <c r="AB11" s="228"/>
    </row>
    <row r="13" spans="8:46" x14ac:dyDescent="0.2">
      <c r="H13" s="229"/>
      <c r="I13" s="229"/>
    </row>
    <row r="21" spans="1:32" x14ac:dyDescent="0.2">
      <c r="T21" s="226" t="b">
        <v>0</v>
      </c>
      <c r="U21" s="226" t="b">
        <v>0</v>
      </c>
      <c r="V21" s="226" t="b">
        <v>0</v>
      </c>
      <c r="W21" s="225">
        <f>IF(T21,1,0)</f>
        <v>0</v>
      </c>
      <c r="X21" s="225">
        <f>IF(T22,1,0)</f>
        <v>0</v>
      </c>
      <c r="Y21" s="225">
        <f>IF(T23,1,0)</f>
        <v>0</v>
      </c>
      <c r="Z21" s="225">
        <f>IF(T24,1,0)</f>
        <v>0</v>
      </c>
      <c r="AA21" s="225">
        <f>IF(T25,1,0)</f>
        <v>0</v>
      </c>
      <c r="AB21" s="225">
        <f>IF(T26,1,0)</f>
        <v>0</v>
      </c>
      <c r="AC21" s="225">
        <f>IF(T27,1,0)</f>
        <v>0</v>
      </c>
      <c r="AD21" s="225">
        <f>IF(T28,1,0)</f>
        <v>0</v>
      </c>
      <c r="AE21" s="225">
        <f>IF(T29,1,0)</f>
        <v>0</v>
      </c>
      <c r="AF21" s="225">
        <f>IF(T30,1,0)</f>
        <v>0</v>
      </c>
    </row>
    <row r="22" spans="1:32" x14ac:dyDescent="0.2">
      <c r="B22" s="230"/>
      <c r="T22" s="226" t="b">
        <v>0</v>
      </c>
      <c r="U22" s="226" t="b">
        <v>0</v>
      </c>
      <c r="V22" s="226" t="b">
        <v>0</v>
      </c>
    </row>
    <row r="23" spans="1:32" x14ac:dyDescent="0.2">
      <c r="B23" s="230"/>
      <c r="M23" s="231"/>
      <c r="T23" s="226" t="b">
        <v>0</v>
      </c>
      <c r="U23" s="226" t="b">
        <v>0</v>
      </c>
      <c r="V23" s="226" t="b">
        <v>0</v>
      </c>
    </row>
    <row r="24" spans="1:32" x14ac:dyDescent="0.2">
      <c r="B24" s="230"/>
      <c r="T24" s="226" t="b">
        <v>0</v>
      </c>
      <c r="U24" s="226" t="b">
        <v>0</v>
      </c>
      <c r="V24" s="226" t="b">
        <v>0</v>
      </c>
    </row>
    <row r="25" spans="1:32" x14ac:dyDescent="0.2">
      <c r="A25" s="230"/>
      <c r="B25" s="230"/>
      <c r="T25" s="226" t="b">
        <v>0</v>
      </c>
      <c r="U25" s="226" t="b">
        <v>0</v>
      </c>
      <c r="V25" s="226" t="b">
        <v>0</v>
      </c>
    </row>
    <row r="26" spans="1:32" x14ac:dyDescent="0.2">
      <c r="A26" s="232"/>
      <c r="B26" s="232"/>
      <c r="C26" s="232"/>
      <c r="D26" s="232"/>
      <c r="E26" s="232"/>
      <c r="T26" s="226" t="b">
        <v>0</v>
      </c>
      <c r="U26" s="226" t="b">
        <v>0</v>
      </c>
      <c r="V26" s="226" t="b">
        <v>0</v>
      </c>
    </row>
    <row r="27" spans="1:32" x14ac:dyDescent="0.2">
      <c r="A27" s="232"/>
      <c r="B27" s="232"/>
      <c r="C27" s="232"/>
      <c r="D27" s="232"/>
      <c r="E27" s="232"/>
      <c r="T27" s="226" t="b">
        <v>0</v>
      </c>
      <c r="U27" s="226" t="b">
        <v>0</v>
      </c>
      <c r="V27" s="226" t="b">
        <v>0</v>
      </c>
    </row>
    <row r="28" spans="1:32" x14ac:dyDescent="0.2">
      <c r="A28" s="232"/>
      <c r="B28" s="232"/>
      <c r="C28" s="232"/>
      <c r="D28" s="232"/>
      <c r="E28" s="232"/>
      <c r="T28" s="226" t="b">
        <v>0</v>
      </c>
      <c r="U28" s="226" t="b">
        <v>0</v>
      </c>
      <c r="V28" s="226" t="b">
        <v>0</v>
      </c>
    </row>
    <row r="29" spans="1:32" x14ac:dyDescent="0.2">
      <c r="A29" s="232"/>
      <c r="B29" s="232"/>
      <c r="C29" s="232"/>
      <c r="D29" s="232"/>
      <c r="E29" s="232"/>
      <c r="T29" s="226" t="b">
        <v>0</v>
      </c>
      <c r="U29" s="226" t="b">
        <v>0</v>
      </c>
      <c r="V29" s="226" t="b">
        <v>0</v>
      </c>
    </row>
    <row r="30" spans="1:32" x14ac:dyDescent="0.2">
      <c r="A30" s="220"/>
      <c r="B30" s="220"/>
      <c r="C30" s="220"/>
      <c r="T30" s="226" t="b">
        <v>0</v>
      </c>
      <c r="U30" s="226" t="b">
        <v>0</v>
      </c>
      <c r="V30" s="226" t="b">
        <v>0</v>
      </c>
    </row>
    <row r="31" spans="1:32" x14ac:dyDescent="0.2">
      <c r="T31" s="226">
        <v>1</v>
      </c>
      <c r="U31" s="226">
        <v>1</v>
      </c>
      <c r="V31" s="226">
        <v>1</v>
      </c>
    </row>
    <row r="32" spans="1:32" x14ac:dyDescent="0.2">
      <c r="T32" s="226">
        <v>1</v>
      </c>
      <c r="U32" s="226">
        <v>1</v>
      </c>
      <c r="V32" s="226">
        <v>1</v>
      </c>
    </row>
    <row r="33" spans="1:24" x14ac:dyDescent="0.2">
      <c r="T33" s="226">
        <v>1</v>
      </c>
      <c r="U33" s="226">
        <v>1</v>
      </c>
      <c r="V33" s="226">
        <v>1</v>
      </c>
    </row>
    <row r="34" spans="1:24" x14ac:dyDescent="0.2">
      <c r="T34" s="226">
        <v>1</v>
      </c>
      <c r="U34" s="226">
        <v>1</v>
      </c>
      <c r="V34" s="226">
        <v>1</v>
      </c>
    </row>
    <row r="35" spans="1:24" x14ac:dyDescent="0.2">
      <c r="T35" s="226">
        <v>1</v>
      </c>
      <c r="U35" s="226">
        <v>1</v>
      </c>
      <c r="V35" s="226">
        <v>1</v>
      </c>
    </row>
    <row r="36" spans="1:24" x14ac:dyDescent="0.2">
      <c r="T36" s="226">
        <v>1</v>
      </c>
      <c r="U36" s="226">
        <v>1</v>
      </c>
      <c r="V36" s="226">
        <v>1</v>
      </c>
    </row>
    <row r="37" spans="1:24" x14ac:dyDescent="0.2">
      <c r="E37" s="226" t="s">
        <v>64</v>
      </c>
      <c r="F37" s="226">
        <v>1</v>
      </c>
      <c r="G37" s="226" t="b">
        <v>0</v>
      </c>
      <c r="H37" s="226" t="b">
        <v>0</v>
      </c>
      <c r="I37" s="226" t="b">
        <v>0</v>
      </c>
      <c r="K37" s="233">
        <v>1</v>
      </c>
      <c r="L37" s="233"/>
      <c r="M37" s="233"/>
      <c r="N37" s="233"/>
      <c r="O37" s="226" t="s">
        <v>17</v>
      </c>
      <c r="T37" s="226">
        <v>1</v>
      </c>
      <c r="U37" s="226">
        <v>1</v>
      </c>
      <c r="V37" s="226">
        <v>1</v>
      </c>
    </row>
    <row r="38" spans="1:24" x14ac:dyDescent="0.2">
      <c r="F38" s="226">
        <v>2</v>
      </c>
      <c r="G38" s="226" t="b">
        <v>0</v>
      </c>
      <c r="H38" s="226" t="b">
        <v>0</v>
      </c>
      <c r="I38" s="226" t="b">
        <v>0</v>
      </c>
      <c r="K38" s="233">
        <v>2</v>
      </c>
      <c r="L38" s="233"/>
      <c r="M38" s="233"/>
      <c r="N38" s="233"/>
      <c r="T38" s="226">
        <v>1</v>
      </c>
      <c r="U38" s="226">
        <v>1</v>
      </c>
      <c r="V38" s="226">
        <v>1</v>
      </c>
    </row>
    <row r="39" spans="1:24" x14ac:dyDescent="0.2">
      <c r="F39" s="226">
        <v>3</v>
      </c>
      <c r="G39" s="226" t="b">
        <v>0</v>
      </c>
      <c r="H39" s="226" t="b">
        <v>0</v>
      </c>
      <c r="I39" s="226" t="b">
        <v>0</v>
      </c>
      <c r="K39" s="233">
        <v>3</v>
      </c>
      <c r="L39" s="233"/>
      <c r="M39" s="233"/>
      <c r="N39" s="233"/>
      <c r="T39" s="226">
        <v>1</v>
      </c>
      <c r="U39" s="226">
        <v>1</v>
      </c>
      <c r="V39" s="226">
        <v>1</v>
      </c>
    </row>
    <row r="40" spans="1:24" x14ac:dyDescent="0.2">
      <c r="F40" s="226">
        <v>4</v>
      </c>
      <c r="G40" s="226" t="b">
        <v>0</v>
      </c>
      <c r="H40" s="226" t="b">
        <v>0</v>
      </c>
      <c r="I40" s="226" t="b">
        <v>0</v>
      </c>
      <c r="K40" s="233">
        <v>4</v>
      </c>
      <c r="L40" s="233"/>
      <c r="M40" s="233"/>
      <c r="N40" s="233"/>
      <c r="T40" s="226">
        <v>1</v>
      </c>
      <c r="U40" s="226">
        <v>1</v>
      </c>
      <c r="V40" s="226">
        <v>1</v>
      </c>
    </row>
    <row r="41" spans="1:24" x14ac:dyDescent="0.2">
      <c r="F41" s="226">
        <v>5</v>
      </c>
      <c r="G41" s="226" t="b">
        <v>0</v>
      </c>
      <c r="H41" s="226" t="b">
        <v>0</v>
      </c>
      <c r="I41" s="226" t="b">
        <v>0</v>
      </c>
      <c r="K41" s="233">
        <v>5</v>
      </c>
      <c r="L41" s="233"/>
      <c r="M41" s="233"/>
      <c r="N41" s="233"/>
      <c r="R41" s="225" t="s">
        <v>69</v>
      </c>
      <c r="S41" s="226">
        <v>0</v>
      </c>
      <c r="T41" s="226" t="b">
        <v>0</v>
      </c>
      <c r="U41" s="226" t="b">
        <v>0</v>
      </c>
      <c r="V41" s="226" t="b">
        <v>0</v>
      </c>
      <c r="X41" s="226" t="s">
        <v>87</v>
      </c>
    </row>
    <row r="42" spans="1:24" x14ac:dyDescent="0.2">
      <c r="F42" s="226">
        <v>6</v>
      </c>
      <c r="G42" s="226" t="b">
        <v>0</v>
      </c>
      <c r="H42" s="226" t="b">
        <v>0</v>
      </c>
      <c r="I42" s="226" t="b">
        <v>0</v>
      </c>
      <c r="K42" s="233">
        <v>6</v>
      </c>
      <c r="L42" s="233"/>
      <c r="M42" s="233"/>
      <c r="N42" s="233"/>
      <c r="Q42" s="225" t="s">
        <v>2</v>
      </c>
      <c r="R42" s="225" t="s">
        <v>67</v>
      </c>
      <c r="S42" s="226" t="s">
        <v>4</v>
      </c>
      <c r="T42" s="226" t="b">
        <v>0</v>
      </c>
      <c r="U42" s="226" t="b">
        <v>0</v>
      </c>
      <c r="V42" s="226" t="b">
        <v>0</v>
      </c>
      <c r="X42" s="227" t="b">
        <v>0</v>
      </c>
    </row>
    <row r="43" spans="1:24" x14ac:dyDescent="0.2">
      <c r="F43" s="226">
        <v>7</v>
      </c>
      <c r="G43" s="226" t="b">
        <v>0</v>
      </c>
      <c r="H43" s="226" t="b">
        <v>0</v>
      </c>
      <c r="I43" s="226" t="b">
        <v>0</v>
      </c>
      <c r="K43" s="233">
        <v>7</v>
      </c>
      <c r="L43" s="233"/>
      <c r="M43" s="233"/>
      <c r="N43" s="233"/>
      <c r="S43" s="226" t="s">
        <v>5</v>
      </c>
      <c r="T43" s="226" t="b">
        <v>0</v>
      </c>
      <c r="U43" s="226" t="b">
        <v>0</v>
      </c>
      <c r="V43" s="226" t="b">
        <v>0</v>
      </c>
      <c r="X43" s="226" t="s">
        <v>102</v>
      </c>
    </row>
    <row r="44" spans="1:24" x14ac:dyDescent="0.2">
      <c r="F44" s="226">
        <v>8</v>
      </c>
      <c r="G44" s="226" t="b">
        <v>0</v>
      </c>
      <c r="H44" s="226" t="b">
        <v>0</v>
      </c>
      <c r="I44" s="226" t="b">
        <v>0</v>
      </c>
      <c r="K44" s="233">
        <v>8</v>
      </c>
      <c r="L44" s="233"/>
      <c r="M44" s="233"/>
      <c r="N44" s="233"/>
      <c r="S44" s="226" t="s">
        <v>6</v>
      </c>
      <c r="T44" s="226" t="b">
        <v>0</v>
      </c>
      <c r="U44" s="226" t="b">
        <v>0</v>
      </c>
      <c r="V44" s="226" t="b">
        <v>0</v>
      </c>
      <c r="X44" s="227" t="b">
        <v>0</v>
      </c>
    </row>
    <row r="45" spans="1:24" x14ac:dyDescent="0.2">
      <c r="F45" s="226">
        <v>9</v>
      </c>
      <c r="G45" s="226" t="b">
        <v>0</v>
      </c>
      <c r="H45" s="226" t="b">
        <v>0</v>
      </c>
      <c r="I45" s="226" t="b">
        <v>0</v>
      </c>
      <c r="K45" s="233">
        <v>9</v>
      </c>
      <c r="L45" s="233"/>
      <c r="M45" s="233"/>
      <c r="N45" s="233"/>
      <c r="R45" s="225" t="s">
        <v>66</v>
      </c>
      <c r="S45" s="226" t="s">
        <v>4</v>
      </c>
      <c r="T45" s="226">
        <v>10</v>
      </c>
      <c r="U45" s="226">
        <v>10</v>
      </c>
      <c r="V45" s="226">
        <v>10</v>
      </c>
    </row>
    <row r="46" spans="1:24" x14ac:dyDescent="0.2">
      <c r="F46" s="226">
        <v>10</v>
      </c>
      <c r="G46" s="226" t="b">
        <v>0</v>
      </c>
      <c r="H46" s="226" t="b">
        <v>0</v>
      </c>
      <c r="I46" s="226" t="b">
        <v>0</v>
      </c>
      <c r="K46" s="233">
        <v>10</v>
      </c>
      <c r="L46" s="233"/>
      <c r="M46" s="233"/>
      <c r="N46" s="233"/>
      <c r="S46" s="226" t="s">
        <v>5</v>
      </c>
      <c r="T46" s="226">
        <v>10</v>
      </c>
      <c r="U46" s="226">
        <v>10</v>
      </c>
      <c r="V46" s="226">
        <v>10</v>
      </c>
    </row>
    <row r="47" spans="1:24" x14ac:dyDescent="0.2">
      <c r="A47" s="225" t="s">
        <v>159</v>
      </c>
      <c r="F47" s="226">
        <v>11</v>
      </c>
      <c r="G47" s="225" t="b">
        <v>0</v>
      </c>
      <c r="H47" s="225" t="b">
        <v>0</v>
      </c>
      <c r="I47" s="225" t="b">
        <v>0</v>
      </c>
      <c r="K47" s="233">
        <v>11</v>
      </c>
      <c r="L47" s="233"/>
      <c r="M47" s="233"/>
      <c r="N47" s="233"/>
      <c r="S47" s="226" t="s">
        <v>6</v>
      </c>
      <c r="T47" s="226">
        <v>10</v>
      </c>
      <c r="U47" s="226">
        <v>10</v>
      </c>
      <c r="V47" s="226">
        <v>10</v>
      </c>
    </row>
    <row r="48" spans="1:24" x14ac:dyDescent="0.2">
      <c r="F48" s="226">
        <v>12</v>
      </c>
      <c r="G48" s="225" t="b">
        <v>0</v>
      </c>
      <c r="H48" s="225" t="b">
        <v>0</v>
      </c>
      <c r="I48" s="225" t="b">
        <v>0</v>
      </c>
      <c r="K48" s="233">
        <v>12</v>
      </c>
      <c r="L48" s="233"/>
      <c r="M48" s="233"/>
      <c r="N48" s="233"/>
      <c r="Q48" s="225" t="s">
        <v>18</v>
      </c>
      <c r="R48" s="225" t="s">
        <v>64</v>
      </c>
      <c r="S48" s="226">
        <v>1</v>
      </c>
      <c r="T48" s="226" t="b">
        <v>0</v>
      </c>
      <c r="U48" s="226" t="b">
        <v>0</v>
      </c>
      <c r="V48" s="226" t="b">
        <v>0</v>
      </c>
    </row>
    <row r="49" spans="6:56" x14ac:dyDescent="0.2">
      <c r="F49" s="226">
        <v>13</v>
      </c>
      <c r="G49" s="225" t="b">
        <v>0</v>
      </c>
      <c r="H49" s="225" t="b">
        <v>0</v>
      </c>
      <c r="I49" s="225" t="b">
        <v>0</v>
      </c>
      <c r="K49" s="233">
        <v>13</v>
      </c>
      <c r="L49" s="233"/>
      <c r="M49" s="233"/>
      <c r="N49" s="233"/>
      <c r="S49" s="226">
        <v>5</v>
      </c>
      <c r="T49" s="226" t="b">
        <v>0</v>
      </c>
      <c r="U49" s="226" t="b">
        <v>0</v>
      </c>
      <c r="V49" s="226" t="b">
        <v>0</v>
      </c>
    </row>
    <row r="50" spans="6:56" x14ac:dyDescent="0.2">
      <c r="F50" s="226">
        <v>14</v>
      </c>
      <c r="G50" s="225" t="b">
        <v>0</v>
      </c>
      <c r="H50" s="225" t="b">
        <v>0</v>
      </c>
      <c r="I50" s="225" t="b">
        <v>0</v>
      </c>
      <c r="K50" s="233">
        <v>14</v>
      </c>
      <c r="L50" s="233"/>
      <c r="M50" s="233"/>
      <c r="N50" s="233"/>
      <c r="S50" s="226" t="s">
        <v>15</v>
      </c>
      <c r="T50" s="226" t="b">
        <v>0</v>
      </c>
      <c r="U50" s="226" t="b">
        <v>0</v>
      </c>
      <c r="V50" s="226" t="b">
        <v>0</v>
      </c>
    </row>
    <row r="51" spans="6:56" x14ac:dyDescent="0.2">
      <c r="F51" s="226">
        <v>15</v>
      </c>
      <c r="G51" s="225" t="b">
        <v>0</v>
      </c>
      <c r="H51" s="225" t="b">
        <v>0</v>
      </c>
      <c r="I51" s="225" t="b">
        <v>0</v>
      </c>
      <c r="K51" s="233">
        <v>15</v>
      </c>
      <c r="L51" s="233"/>
      <c r="M51" s="233"/>
      <c r="N51" s="233"/>
      <c r="R51" s="225" t="s">
        <v>10</v>
      </c>
      <c r="S51" s="226">
        <v>1</v>
      </c>
      <c r="T51" s="226">
        <v>1</v>
      </c>
      <c r="U51" s="226">
        <v>1</v>
      </c>
      <c r="V51" s="226">
        <v>1</v>
      </c>
    </row>
    <row r="52" spans="6:56" x14ac:dyDescent="0.2">
      <c r="F52" s="226">
        <v>16</v>
      </c>
      <c r="G52" s="225" t="b">
        <v>0</v>
      </c>
      <c r="H52" s="225" t="b">
        <v>0</v>
      </c>
      <c r="I52" s="225" t="b">
        <v>0</v>
      </c>
      <c r="K52" s="233">
        <v>16</v>
      </c>
      <c r="L52" s="233"/>
      <c r="M52" s="233"/>
      <c r="N52" s="233"/>
      <c r="S52" s="226">
        <v>5</v>
      </c>
      <c r="T52" s="226">
        <v>5</v>
      </c>
      <c r="U52" s="226">
        <v>5</v>
      </c>
      <c r="V52" s="226">
        <v>5</v>
      </c>
    </row>
    <row r="53" spans="6:56" x14ac:dyDescent="0.2">
      <c r="F53" s="226">
        <v>17</v>
      </c>
      <c r="G53" s="225" t="b">
        <v>0</v>
      </c>
      <c r="H53" s="225" t="b">
        <v>0</v>
      </c>
      <c r="I53" s="225" t="b">
        <v>0</v>
      </c>
      <c r="K53" s="233">
        <v>17</v>
      </c>
      <c r="L53" s="233"/>
      <c r="M53" s="233"/>
      <c r="N53" s="233"/>
      <c r="S53" s="226" t="s">
        <v>15</v>
      </c>
      <c r="T53" s="226">
        <v>2</v>
      </c>
      <c r="U53" s="226">
        <v>2</v>
      </c>
      <c r="V53" s="226">
        <v>2</v>
      </c>
    </row>
    <row r="54" spans="6:56" x14ac:dyDescent="0.2">
      <c r="F54" s="226">
        <v>18</v>
      </c>
      <c r="G54" s="225" t="b">
        <v>0</v>
      </c>
      <c r="H54" s="225" t="b">
        <v>0</v>
      </c>
      <c r="I54" s="225" t="b">
        <v>0</v>
      </c>
      <c r="K54" s="233">
        <v>18</v>
      </c>
      <c r="L54" s="233"/>
      <c r="M54" s="233"/>
      <c r="N54" s="233"/>
      <c r="Q54" s="225" t="s">
        <v>68</v>
      </c>
      <c r="R54" s="225" t="s">
        <v>64</v>
      </c>
      <c r="S54" s="226" t="s">
        <v>4</v>
      </c>
      <c r="T54" s="226" t="b">
        <v>0</v>
      </c>
      <c r="U54" s="226" t="b">
        <v>0</v>
      </c>
      <c r="V54" s="226" t="b">
        <v>0</v>
      </c>
    </row>
    <row r="55" spans="6:56" x14ac:dyDescent="0.2">
      <c r="F55" s="226">
        <v>19</v>
      </c>
      <c r="G55" s="225" t="b">
        <v>0</v>
      </c>
      <c r="H55" s="225" t="b">
        <v>0</v>
      </c>
      <c r="I55" s="225" t="b">
        <v>0</v>
      </c>
      <c r="K55" s="233">
        <v>19</v>
      </c>
      <c r="L55" s="233"/>
      <c r="M55" s="233"/>
      <c r="N55" s="233"/>
      <c r="S55" s="226" t="s">
        <v>5</v>
      </c>
      <c r="T55" s="226" t="b">
        <v>0</v>
      </c>
      <c r="U55" s="226" t="b">
        <v>0</v>
      </c>
      <c r="V55" s="226" t="b">
        <v>0</v>
      </c>
      <c r="W55" s="234"/>
      <c r="X55" s="235"/>
      <c r="Y55" s="236"/>
      <c r="AA55" s="225" t="s">
        <v>5</v>
      </c>
    </row>
    <row r="56" spans="6:56" x14ac:dyDescent="0.2">
      <c r="F56" s="226">
        <v>20</v>
      </c>
      <c r="G56" s="225" t="b">
        <v>0</v>
      </c>
      <c r="H56" s="225" t="b">
        <v>0</v>
      </c>
      <c r="I56" s="225" t="b">
        <v>0</v>
      </c>
      <c r="K56" s="233">
        <v>20</v>
      </c>
      <c r="L56" s="233"/>
      <c r="M56" s="233"/>
      <c r="N56" s="233"/>
      <c r="S56" s="226" t="s">
        <v>6</v>
      </c>
      <c r="T56" s="226" t="b">
        <v>0</v>
      </c>
      <c r="U56" s="226" t="b">
        <v>0</v>
      </c>
      <c r="V56" s="226" t="b">
        <v>0</v>
      </c>
      <c r="W56" s="237">
        <v>1</v>
      </c>
      <c r="X56" s="238">
        <v>1</v>
      </c>
      <c r="Y56" s="239">
        <v>1</v>
      </c>
    </row>
    <row r="57" spans="6:56" x14ac:dyDescent="0.2">
      <c r="F57" s="226">
        <v>21</v>
      </c>
      <c r="G57" s="225" t="b">
        <v>0</v>
      </c>
      <c r="H57" s="225" t="b">
        <v>0</v>
      </c>
      <c r="I57" s="225" t="b">
        <v>0</v>
      </c>
      <c r="K57" s="233">
        <v>21</v>
      </c>
      <c r="L57" s="233"/>
      <c r="M57" s="233"/>
      <c r="N57" s="233"/>
      <c r="R57" s="225" t="s">
        <v>85</v>
      </c>
      <c r="S57" s="226">
        <v>0</v>
      </c>
      <c r="T57" s="240"/>
      <c r="U57" s="241"/>
      <c r="V57" s="242"/>
      <c r="W57" s="234"/>
      <c r="X57" s="235"/>
      <c r="Y57" s="236"/>
      <c r="Z57" s="225" t="s">
        <v>4</v>
      </c>
      <c r="AA57" s="225" t="s">
        <v>6</v>
      </c>
    </row>
    <row r="58" spans="6:56" x14ac:dyDescent="0.2">
      <c r="F58" s="226">
        <v>22</v>
      </c>
      <c r="G58" s="225" t="b">
        <v>0</v>
      </c>
      <c r="H58" s="225" t="b">
        <v>0</v>
      </c>
      <c r="I58" s="225" t="b">
        <v>0</v>
      </c>
      <c r="K58" s="233">
        <v>22</v>
      </c>
      <c r="L58" s="233"/>
      <c r="M58" s="233"/>
      <c r="N58" s="233"/>
      <c r="R58" s="225" t="s">
        <v>86</v>
      </c>
      <c r="S58" s="226">
        <v>0</v>
      </c>
      <c r="T58" s="243">
        <v>1</v>
      </c>
      <c r="U58" s="244">
        <v>1</v>
      </c>
      <c r="V58" s="245">
        <v>1</v>
      </c>
      <c r="W58" s="237">
        <v>1</v>
      </c>
      <c r="X58" s="238">
        <v>1</v>
      </c>
      <c r="Y58" s="239">
        <v>1</v>
      </c>
    </row>
    <row r="59" spans="6:56" x14ac:dyDescent="0.2">
      <c r="F59" s="226">
        <v>23</v>
      </c>
      <c r="G59" s="225" t="b">
        <v>0</v>
      </c>
      <c r="H59" s="225" t="b">
        <v>0</v>
      </c>
      <c r="I59" s="225" t="b">
        <v>0</v>
      </c>
      <c r="K59" s="233">
        <v>23</v>
      </c>
      <c r="L59" s="233"/>
      <c r="M59" s="233"/>
      <c r="N59" s="233"/>
      <c r="R59" s="225" t="s">
        <v>70</v>
      </c>
      <c r="S59" s="226">
        <v>0</v>
      </c>
      <c r="T59" s="240"/>
      <c r="U59" s="241"/>
      <c r="V59" s="242"/>
      <c r="BA59" s="225" t="s">
        <v>1</v>
      </c>
    </row>
    <row r="60" spans="6:56" x14ac:dyDescent="0.2">
      <c r="F60" s="226">
        <v>24</v>
      </c>
      <c r="G60" s="225" t="b">
        <v>0</v>
      </c>
      <c r="H60" s="225" t="b">
        <v>0</v>
      </c>
      <c r="I60" s="225" t="b">
        <v>0</v>
      </c>
      <c r="K60" s="233">
        <v>24</v>
      </c>
      <c r="L60" s="233"/>
      <c r="M60" s="233"/>
      <c r="N60" s="233"/>
      <c r="S60" s="226">
        <v>0</v>
      </c>
      <c r="T60" s="243">
        <v>1</v>
      </c>
      <c r="U60" s="244">
        <v>1</v>
      </c>
      <c r="V60" s="245">
        <v>1</v>
      </c>
    </row>
    <row r="61" spans="6:56" x14ac:dyDescent="0.2">
      <c r="F61" s="226">
        <v>25</v>
      </c>
      <c r="G61" s="225" t="b">
        <v>0</v>
      </c>
      <c r="H61" s="225" t="b">
        <v>0</v>
      </c>
      <c r="I61" s="225" t="b">
        <v>0</v>
      </c>
      <c r="K61" s="233">
        <v>25</v>
      </c>
      <c r="L61" s="233"/>
      <c r="M61" s="233"/>
      <c r="N61" s="233"/>
      <c r="S61" s="226" t="s">
        <v>4</v>
      </c>
      <c r="T61" s="246">
        <v>0</v>
      </c>
      <c r="U61" s="246">
        <v>0</v>
      </c>
      <c r="V61" s="246">
        <v>0</v>
      </c>
      <c r="W61" s="247">
        <f>Diagrama!B212</f>
        <v>0</v>
      </c>
      <c r="X61" s="247">
        <f>Diagrama!C212</f>
        <v>0</v>
      </c>
      <c r="Y61" s="247">
        <f>Diagrama!D212</f>
        <v>0</v>
      </c>
      <c r="Z61" s="247">
        <f>Diagrama!E212</f>
        <v>0</v>
      </c>
      <c r="AA61" s="247">
        <f>Diagrama!F212</f>
        <v>0</v>
      </c>
      <c r="AB61" s="247">
        <f>Diagrama!G212</f>
        <v>0</v>
      </c>
      <c r="AC61" s="247">
        <f>Diagrama!H212</f>
        <v>0</v>
      </c>
      <c r="AD61" s="247">
        <f>Diagrama!I212</f>
        <v>0</v>
      </c>
      <c r="AE61" s="247">
        <f>Diagrama!J212</f>
        <v>0</v>
      </c>
      <c r="AF61" s="247">
        <f>Diagrama!K212</f>
        <v>0</v>
      </c>
      <c r="AG61" s="247">
        <f>Diagrama!L212</f>
        <v>0</v>
      </c>
      <c r="AH61" s="247">
        <f>Diagrama!M212</f>
        <v>0</v>
      </c>
      <c r="AI61" s="247">
        <f>Diagrama!N212</f>
        <v>0</v>
      </c>
      <c r="AJ61" s="247">
        <f>Diagrama!O212</f>
        <v>0</v>
      </c>
      <c r="AK61" s="247">
        <f>Diagrama!P212</f>
        <v>0</v>
      </c>
      <c r="AL61" s="247">
        <f>Diagrama!Q212</f>
        <v>0</v>
      </c>
      <c r="AM61" s="247">
        <f>Diagrama!R212</f>
        <v>0</v>
      </c>
      <c r="AN61" s="247">
        <f>Diagrama!S212</f>
        <v>0</v>
      </c>
      <c r="AO61" s="247">
        <f>Diagrama!T212</f>
        <v>0</v>
      </c>
      <c r="AP61" s="247">
        <f>Diagrama!U212</f>
        <v>0</v>
      </c>
      <c r="AQ61" s="247">
        <f>Diagrama!V212</f>
        <v>0</v>
      </c>
      <c r="AR61" s="247">
        <f>Diagrama!W212</f>
        <v>0</v>
      </c>
      <c r="AS61" s="247">
        <f>Diagrama!X212</f>
        <v>0</v>
      </c>
      <c r="AT61" s="247">
        <f>Diagrama!Y212</f>
        <v>0</v>
      </c>
      <c r="AU61" s="247">
        <f>Diagrama!Z212</f>
        <v>0</v>
      </c>
      <c r="AV61" s="247">
        <f>Diagrama!AA212</f>
        <v>0</v>
      </c>
      <c r="AW61" s="247">
        <f>Diagrama!AB212</f>
        <v>0</v>
      </c>
      <c r="AX61" s="247">
        <f>Diagrama!AC212</f>
        <v>0</v>
      </c>
      <c r="AY61" s="247">
        <f>Diagrama!AD212</f>
        <v>0</v>
      </c>
      <c r="AZ61" s="247">
        <f>Diagrama!AE212</f>
        <v>0</v>
      </c>
      <c r="BA61" s="247" t="e">
        <f>Diagrama!#REF!</f>
        <v>#REF!</v>
      </c>
      <c r="BB61" s="247"/>
      <c r="BC61" s="247"/>
      <c r="BD61" s="247"/>
    </row>
    <row r="62" spans="6:56" x14ac:dyDescent="0.2">
      <c r="F62" s="226">
        <v>26</v>
      </c>
      <c r="G62" s="225" t="b">
        <v>0</v>
      </c>
      <c r="H62" s="225" t="b">
        <v>0</v>
      </c>
      <c r="I62" s="225" t="b">
        <v>0</v>
      </c>
      <c r="K62" s="233">
        <v>26</v>
      </c>
      <c r="L62" s="233"/>
      <c r="M62" s="233"/>
      <c r="N62" s="233"/>
      <c r="S62" s="226" t="s">
        <v>5</v>
      </c>
      <c r="T62" s="246">
        <v>0</v>
      </c>
      <c r="U62" s="246">
        <v>0</v>
      </c>
      <c r="V62" s="246">
        <v>0</v>
      </c>
      <c r="W62" s="247">
        <f>Diagrama!B213</f>
        <v>0</v>
      </c>
      <c r="X62" s="247">
        <f>Diagrama!C213</f>
        <v>0</v>
      </c>
      <c r="Y62" s="247">
        <f>Diagrama!D213</f>
        <v>0</v>
      </c>
      <c r="Z62" s="247">
        <f>Diagrama!E213</f>
        <v>0</v>
      </c>
      <c r="AA62" s="247">
        <f>Diagrama!F213</f>
        <v>0</v>
      </c>
      <c r="AB62" s="247">
        <f>Diagrama!G213</f>
        <v>0</v>
      </c>
      <c r="AC62" s="247">
        <f>Diagrama!H213</f>
        <v>0</v>
      </c>
      <c r="AD62" s="247">
        <f>Diagrama!I213</f>
        <v>0</v>
      </c>
      <c r="AE62" s="247">
        <f>Diagrama!J213</f>
        <v>0</v>
      </c>
      <c r="AF62" s="247">
        <f>Diagrama!K213</f>
        <v>0</v>
      </c>
      <c r="AG62" s="247">
        <f>Diagrama!L213</f>
        <v>0</v>
      </c>
      <c r="AH62" s="247">
        <f>Diagrama!M213</f>
        <v>0</v>
      </c>
      <c r="AI62" s="247">
        <f>Diagrama!N213</f>
        <v>0</v>
      </c>
      <c r="AJ62" s="247">
        <f>Diagrama!O213</f>
        <v>0</v>
      </c>
      <c r="AK62" s="247">
        <f>Diagrama!P213</f>
        <v>0</v>
      </c>
      <c r="AL62" s="247">
        <f>Diagrama!Q213</f>
        <v>0</v>
      </c>
      <c r="AM62" s="247">
        <f>Diagrama!R213</f>
        <v>0</v>
      </c>
      <c r="AN62" s="247">
        <f>Diagrama!S213</f>
        <v>0</v>
      </c>
      <c r="AO62" s="247">
        <f>Diagrama!T213</f>
        <v>0</v>
      </c>
      <c r="AP62" s="247">
        <f>Diagrama!U213</f>
        <v>0</v>
      </c>
      <c r="AQ62" s="247">
        <f>Diagrama!V213</f>
        <v>0</v>
      </c>
      <c r="AR62" s="247">
        <f>Diagrama!W213</f>
        <v>0</v>
      </c>
      <c r="AS62" s="247">
        <f>Diagrama!X213</f>
        <v>0</v>
      </c>
      <c r="AT62" s="247">
        <f>Diagrama!Y213</f>
        <v>0</v>
      </c>
      <c r="AU62" s="247">
        <f>Diagrama!Z213</f>
        <v>0</v>
      </c>
      <c r="AV62" s="247">
        <f>Diagrama!AA213</f>
        <v>0</v>
      </c>
      <c r="AW62" s="247">
        <f>Diagrama!AB213</f>
        <v>0</v>
      </c>
      <c r="AX62" s="247">
        <f>Diagrama!AC213</f>
        <v>0</v>
      </c>
      <c r="AY62" s="247">
        <f>Diagrama!AD213</f>
        <v>0</v>
      </c>
      <c r="AZ62" s="247">
        <f>Diagrama!AE213</f>
        <v>0</v>
      </c>
      <c r="BA62" s="247" t="e">
        <f>Diagrama!#REF!</f>
        <v>#REF!</v>
      </c>
    </row>
    <row r="63" spans="6:56" x14ac:dyDescent="0.2">
      <c r="F63" s="226">
        <v>27</v>
      </c>
      <c r="G63" s="225" t="b">
        <v>0</v>
      </c>
      <c r="H63" s="225" t="b">
        <v>0</v>
      </c>
      <c r="I63" s="225" t="b">
        <v>0</v>
      </c>
      <c r="K63" s="233">
        <v>27</v>
      </c>
      <c r="L63" s="233"/>
      <c r="M63" s="233"/>
      <c r="N63" s="233"/>
      <c r="S63" s="226" t="s">
        <v>6</v>
      </c>
      <c r="T63" s="246">
        <v>0</v>
      </c>
      <c r="U63" s="246">
        <v>0</v>
      </c>
      <c r="V63" s="246">
        <v>0</v>
      </c>
      <c r="W63" s="247">
        <f>Diagrama!B218</f>
        <v>0</v>
      </c>
      <c r="X63" s="247">
        <f>Diagrama!C218</f>
        <v>0</v>
      </c>
      <c r="Y63" s="247">
        <f>Diagrama!D218</f>
        <v>0</v>
      </c>
      <c r="Z63" s="247">
        <f>Diagrama!E218</f>
        <v>0</v>
      </c>
      <c r="AA63" s="247">
        <f>Diagrama!F218</f>
        <v>0</v>
      </c>
      <c r="AB63" s="247">
        <f>Diagrama!G218</f>
        <v>0</v>
      </c>
      <c r="AC63" s="247">
        <f>Diagrama!H218</f>
        <v>0</v>
      </c>
      <c r="AD63" s="247">
        <f>Diagrama!I218</f>
        <v>0</v>
      </c>
      <c r="AE63" s="247">
        <f>Diagrama!J218</f>
        <v>0</v>
      </c>
      <c r="AF63" s="247">
        <f>Diagrama!K218</f>
        <v>0</v>
      </c>
      <c r="AG63" s="247">
        <f>Diagrama!L218</f>
        <v>0</v>
      </c>
      <c r="AH63" s="247">
        <f>Diagrama!M218</f>
        <v>0</v>
      </c>
      <c r="AI63" s="247">
        <f>Diagrama!N218</f>
        <v>0</v>
      </c>
      <c r="AJ63" s="247">
        <f>Diagrama!O218</f>
        <v>0</v>
      </c>
      <c r="AK63" s="247">
        <f>Diagrama!P218</f>
        <v>0</v>
      </c>
      <c r="AL63" s="247">
        <f>Diagrama!Q218</f>
        <v>0</v>
      </c>
      <c r="AM63" s="247">
        <f>Diagrama!R218</f>
        <v>0</v>
      </c>
      <c r="AN63" s="247">
        <f>Diagrama!S218</f>
        <v>0</v>
      </c>
      <c r="AO63" s="247">
        <f>Diagrama!T218</f>
        <v>0</v>
      </c>
      <c r="AP63" s="247">
        <f>Diagrama!U218</f>
        <v>0</v>
      </c>
      <c r="AQ63" s="247">
        <f>Diagrama!V218</f>
        <v>0</v>
      </c>
      <c r="AR63" s="247">
        <f>Diagrama!W218</f>
        <v>0</v>
      </c>
      <c r="AS63" s="247">
        <f>Diagrama!X218</f>
        <v>0</v>
      </c>
      <c r="AT63" s="247">
        <f>Diagrama!Y218</f>
        <v>0</v>
      </c>
      <c r="AU63" s="247">
        <f>Diagrama!Z218</f>
        <v>0</v>
      </c>
      <c r="AV63" s="247">
        <f>Diagrama!AA218</f>
        <v>0</v>
      </c>
      <c r="AW63" s="247">
        <f>Diagrama!AB218</f>
        <v>0</v>
      </c>
      <c r="AX63" s="247">
        <f>Diagrama!AC218</f>
        <v>0</v>
      </c>
      <c r="AY63" s="247">
        <f>Diagrama!AD218</f>
        <v>0</v>
      </c>
      <c r="AZ63" s="247">
        <f>Diagrama!AE218</f>
        <v>0</v>
      </c>
      <c r="BA63" s="247" t="e">
        <f>Diagrama!#REF!</f>
        <v>#REF!</v>
      </c>
    </row>
    <row r="64" spans="6:56" x14ac:dyDescent="0.2">
      <c r="F64" s="226">
        <v>28</v>
      </c>
      <c r="G64" s="225" t="b">
        <v>0</v>
      </c>
      <c r="H64" s="225" t="b">
        <v>0</v>
      </c>
      <c r="I64" s="225" t="b">
        <v>0</v>
      </c>
      <c r="K64" s="233">
        <v>28</v>
      </c>
      <c r="L64" s="233"/>
      <c r="M64" s="233"/>
      <c r="N64" s="233"/>
      <c r="S64" s="226" t="s">
        <v>14</v>
      </c>
      <c r="T64" s="246">
        <v>0</v>
      </c>
      <c r="U64" s="246">
        <v>0</v>
      </c>
      <c r="V64" s="246">
        <v>0</v>
      </c>
      <c r="W64" s="247">
        <f>Diagrama!B219</f>
        <v>0</v>
      </c>
      <c r="X64" s="247">
        <f>Diagrama!C219</f>
        <v>0</v>
      </c>
      <c r="Y64" s="247">
        <f>Diagrama!D219</f>
        <v>0</v>
      </c>
      <c r="Z64" s="247">
        <f>Diagrama!E219</f>
        <v>0</v>
      </c>
      <c r="AA64" s="247">
        <f>Diagrama!F219</f>
        <v>0</v>
      </c>
      <c r="AB64" s="247">
        <f>Diagrama!G219</f>
        <v>0</v>
      </c>
      <c r="AC64" s="247">
        <f>Diagrama!H219</f>
        <v>0</v>
      </c>
      <c r="AD64" s="247">
        <f>Diagrama!I219</f>
        <v>0</v>
      </c>
      <c r="AE64" s="247">
        <f>Diagrama!J219</f>
        <v>0</v>
      </c>
      <c r="AF64" s="247">
        <f>Diagrama!K219</f>
        <v>0</v>
      </c>
      <c r="AG64" s="247">
        <f>Diagrama!L219</f>
        <v>0</v>
      </c>
      <c r="AH64" s="247">
        <f>Diagrama!M219</f>
        <v>0</v>
      </c>
      <c r="AI64" s="247">
        <f>Diagrama!N219</f>
        <v>0</v>
      </c>
      <c r="AJ64" s="247">
        <f>Diagrama!O219</f>
        <v>0</v>
      </c>
      <c r="AK64" s="247">
        <f>Diagrama!P219</f>
        <v>0</v>
      </c>
      <c r="AL64" s="247">
        <f>Diagrama!Q219</f>
        <v>0</v>
      </c>
      <c r="AM64" s="247">
        <f>Diagrama!R219</f>
        <v>0</v>
      </c>
      <c r="AN64" s="247">
        <f>Diagrama!S219</f>
        <v>0</v>
      </c>
      <c r="AO64" s="247">
        <f>Diagrama!T219</f>
        <v>0</v>
      </c>
      <c r="AP64" s="247">
        <f>Diagrama!U219</f>
        <v>0</v>
      </c>
      <c r="AQ64" s="247">
        <f>Diagrama!V219</f>
        <v>0</v>
      </c>
      <c r="AR64" s="247">
        <f>Diagrama!W219</f>
        <v>0</v>
      </c>
      <c r="AS64" s="247">
        <f>Diagrama!X219</f>
        <v>0</v>
      </c>
      <c r="AT64" s="247">
        <f>Diagrama!Y219</f>
        <v>0</v>
      </c>
      <c r="AU64" s="247">
        <f>Diagrama!Z219</f>
        <v>0</v>
      </c>
      <c r="AV64" s="247">
        <f>Diagrama!AA219</f>
        <v>0</v>
      </c>
      <c r="AW64" s="247">
        <f>Diagrama!AB219</f>
        <v>0</v>
      </c>
      <c r="AX64" s="247">
        <f>Diagrama!AC219</f>
        <v>0</v>
      </c>
      <c r="AY64" s="247">
        <f>Diagrama!AD219</f>
        <v>0</v>
      </c>
      <c r="AZ64" s="247">
        <f>Diagrama!AE219</f>
        <v>0</v>
      </c>
      <c r="BA64" s="247" t="e">
        <f>Diagrama!#REF!</f>
        <v>#REF!</v>
      </c>
    </row>
    <row r="65" spans="6:53" x14ac:dyDescent="0.2">
      <c r="F65" s="226">
        <v>29</v>
      </c>
      <c r="G65" s="225" t="b">
        <v>0</v>
      </c>
      <c r="H65" s="225" t="b">
        <v>0</v>
      </c>
      <c r="I65" s="225" t="b">
        <v>0</v>
      </c>
      <c r="K65" s="233">
        <v>29</v>
      </c>
      <c r="L65" s="233"/>
      <c r="M65" s="233"/>
      <c r="N65" s="233"/>
      <c r="S65" s="226" t="s">
        <v>28</v>
      </c>
      <c r="T65" s="248" t="e">
        <v>#DIV/0!</v>
      </c>
      <c r="U65" s="249" t="e">
        <v>#DIV/0!</v>
      </c>
      <c r="V65" s="248" t="e">
        <v>#DIV/0!</v>
      </c>
      <c r="W65" s="250" t="e">
        <f>Diagrama!B230</f>
        <v>#DIV/0!</v>
      </c>
      <c r="X65" s="250" t="e">
        <f>Diagrama!C230</f>
        <v>#DIV/0!</v>
      </c>
      <c r="Y65" s="250" t="e">
        <f>Diagrama!D230</f>
        <v>#DIV/0!</v>
      </c>
      <c r="Z65" s="250" t="e">
        <f>Diagrama!E230</f>
        <v>#DIV/0!</v>
      </c>
      <c r="AA65" s="250" t="e">
        <f>Diagrama!F230</f>
        <v>#DIV/0!</v>
      </c>
      <c r="AB65" s="250" t="e">
        <f>Diagrama!G230</f>
        <v>#DIV/0!</v>
      </c>
      <c r="AC65" s="250" t="e">
        <f>Diagrama!H230</f>
        <v>#DIV/0!</v>
      </c>
      <c r="AD65" s="250" t="e">
        <f>Diagrama!I230</f>
        <v>#DIV/0!</v>
      </c>
      <c r="AE65" s="250" t="e">
        <f>Diagrama!J230</f>
        <v>#DIV/0!</v>
      </c>
      <c r="AF65" s="250" t="e">
        <f>Diagrama!K230</f>
        <v>#DIV/0!</v>
      </c>
      <c r="AG65" s="250" t="e">
        <f>Diagrama!L230</f>
        <v>#DIV/0!</v>
      </c>
      <c r="AH65" s="250" t="e">
        <f>Diagrama!M230</f>
        <v>#DIV/0!</v>
      </c>
      <c r="AI65" s="250" t="e">
        <f>Diagrama!N230</f>
        <v>#DIV/0!</v>
      </c>
      <c r="AJ65" s="250" t="e">
        <f>Diagrama!O230</f>
        <v>#DIV/0!</v>
      </c>
      <c r="AK65" s="250" t="e">
        <f>Diagrama!P230</f>
        <v>#DIV/0!</v>
      </c>
      <c r="AL65" s="250" t="e">
        <f>Diagrama!Q230</f>
        <v>#DIV/0!</v>
      </c>
      <c r="AM65" s="250" t="e">
        <f>Diagrama!R230</f>
        <v>#DIV/0!</v>
      </c>
      <c r="AN65" s="250" t="e">
        <f>Diagrama!S230</f>
        <v>#DIV/0!</v>
      </c>
      <c r="AO65" s="250" t="e">
        <f>Diagrama!T230</f>
        <v>#DIV/0!</v>
      </c>
      <c r="AP65" s="250" t="e">
        <f>Diagrama!U230</f>
        <v>#DIV/0!</v>
      </c>
      <c r="AQ65" s="250" t="e">
        <f>Diagrama!V230</f>
        <v>#DIV/0!</v>
      </c>
      <c r="AR65" s="250" t="e">
        <f>Diagrama!W230</f>
        <v>#DIV/0!</v>
      </c>
      <c r="AS65" s="250" t="e">
        <f>Diagrama!X230</f>
        <v>#DIV/0!</v>
      </c>
      <c r="AT65" s="250" t="e">
        <f>Diagrama!Y230</f>
        <v>#DIV/0!</v>
      </c>
      <c r="AU65" s="250" t="e">
        <f>Diagrama!Z230</f>
        <v>#DIV/0!</v>
      </c>
      <c r="AV65" s="250" t="e">
        <f>Diagrama!AA230</f>
        <v>#DIV/0!</v>
      </c>
      <c r="AW65" s="250" t="e">
        <f>Diagrama!AB230</f>
        <v>#DIV/0!</v>
      </c>
      <c r="AX65" s="250" t="e">
        <f>Diagrama!AC230</f>
        <v>#DIV/0!</v>
      </c>
      <c r="AY65" s="250" t="e">
        <f>Diagrama!AD230</f>
        <v>#DIV/0!</v>
      </c>
      <c r="AZ65" s="250" t="e">
        <f>Diagrama!AE230</f>
        <v>#DIV/0!</v>
      </c>
      <c r="BA65" s="250" t="e">
        <f>Diagrama!#REF!</f>
        <v>#REF!</v>
      </c>
    </row>
    <row r="66" spans="6:53" x14ac:dyDescent="0.2">
      <c r="F66" s="226">
        <v>30</v>
      </c>
      <c r="G66" s="225" t="b">
        <v>0</v>
      </c>
      <c r="H66" s="225" t="b">
        <v>0</v>
      </c>
      <c r="I66" s="225" t="b">
        <v>0</v>
      </c>
      <c r="K66" s="233">
        <v>30</v>
      </c>
      <c r="L66" s="233"/>
      <c r="M66" s="233"/>
      <c r="N66" s="233"/>
      <c r="S66" s="226" t="s">
        <v>29</v>
      </c>
      <c r="T66" s="248" t="e">
        <v>#DIV/0!</v>
      </c>
      <c r="U66" s="249" t="e">
        <v>#DIV/0!</v>
      </c>
      <c r="V66" s="248" t="e">
        <v>#DIV/0!</v>
      </c>
      <c r="W66" s="250" t="e">
        <f>Diagrama!B231</f>
        <v>#DIV/0!</v>
      </c>
      <c r="X66" s="250" t="e">
        <f>Diagrama!C231</f>
        <v>#DIV/0!</v>
      </c>
      <c r="Y66" s="250" t="e">
        <f>Diagrama!D231</f>
        <v>#DIV/0!</v>
      </c>
      <c r="Z66" s="250" t="e">
        <f>Diagrama!E231</f>
        <v>#DIV/0!</v>
      </c>
      <c r="AA66" s="250" t="e">
        <f>Diagrama!F231</f>
        <v>#DIV/0!</v>
      </c>
      <c r="AB66" s="250" t="e">
        <f>Diagrama!G231</f>
        <v>#DIV/0!</v>
      </c>
      <c r="AC66" s="250" t="e">
        <f>Diagrama!H231</f>
        <v>#DIV/0!</v>
      </c>
      <c r="AD66" s="250" t="e">
        <f>Diagrama!I231</f>
        <v>#DIV/0!</v>
      </c>
      <c r="AE66" s="250" t="e">
        <f>Diagrama!J231</f>
        <v>#DIV/0!</v>
      </c>
      <c r="AF66" s="250" t="e">
        <f>Diagrama!K231</f>
        <v>#DIV/0!</v>
      </c>
      <c r="AG66" s="250" t="e">
        <f>Diagrama!L231</f>
        <v>#DIV/0!</v>
      </c>
      <c r="AH66" s="250" t="e">
        <f>Diagrama!M231</f>
        <v>#DIV/0!</v>
      </c>
      <c r="AI66" s="250" t="e">
        <f>Diagrama!N231</f>
        <v>#DIV/0!</v>
      </c>
      <c r="AJ66" s="250" t="e">
        <f>Diagrama!O231</f>
        <v>#DIV/0!</v>
      </c>
      <c r="AK66" s="250" t="e">
        <f>Diagrama!P231</f>
        <v>#DIV/0!</v>
      </c>
      <c r="AL66" s="250" t="e">
        <f>Diagrama!Q231</f>
        <v>#DIV/0!</v>
      </c>
      <c r="AM66" s="250" t="e">
        <f>Diagrama!R231</f>
        <v>#DIV/0!</v>
      </c>
      <c r="AN66" s="250" t="e">
        <f>Diagrama!S231</f>
        <v>#DIV/0!</v>
      </c>
      <c r="AO66" s="250" t="e">
        <f>Diagrama!T231</f>
        <v>#DIV/0!</v>
      </c>
      <c r="AP66" s="250" t="e">
        <f>Diagrama!U231</f>
        <v>#DIV/0!</v>
      </c>
      <c r="AQ66" s="250" t="e">
        <f>Diagrama!V231</f>
        <v>#DIV/0!</v>
      </c>
      <c r="AR66" s="250" t="e">
        <f>Diagrama!W231</f>
        <v>#DIV/0!</v>
      </c>
      <c r="AS66" s="250" t="e">
        <f>Diagrama!X231</f>
        <v>#DIV/0!</v>
      </c>
      <c r="AT66" s="250" t="e">
        <f>Diagrama!Y231</f>
        <v>#DIV/0!</v>
      </c>
      <c r="AU66" s="250" t="e">
        <f>Diagrama!Z231</f>
        <v>#DIV/0!</v>
      </c>
      <c r="AV66" s="250" t="e">
        <f>Diagrama!AA231</f>
        <v>#DIV/0!</v>
      </c>
      <c r="AW66" s="250" t="e">
        <f>Diagrama!AB231</f>
        <v>#DIV/0!</v>
      </c>
      <c r="AX66" s="250" t="e">
        <f>Diagrama!AC231</f>
        <v>#DIV/0!</v>
      </c>
      <c r="AY66" s="250" t="e">
        <f>Diagrama!AD231</f>
        <v>#DIV/0!</v>
      </c>
      <c r="AZ66" s="250" t="e">
        <f>Diagrama!AE231</f>
        <v>#DIV/0!</v>
      </c>
      <c r="BA66" s="250" t="e">
        <f>Diagrama!#REF!</f>
        <v>#REF!</v>
      </c>
    </row>
    <row r="67" spans="6:53" x14ac:dyDescent="0.2">
      <c r="F67" s="226">
        <v>31</v>
      </c>
      <c r="G67" s="225" t="b">
        <v>0</v>
      </c>
      <c r="H67" s="225" t="b">
        <v>0</v>
      </c>
      <c r="I67" s="225" t="b">
        <v>0</v>
      </c>
      <c r="K67" s="233">
        <v>31</v>
      </c>
      <c r="L67" s="233"/>
      <c r="M67" s="233"/>
      <c r="N67" s="233"/>
      <c r="S67" s="226" t="s">
        <v>30</v>
      </c>
      <c r="T67" s="248" t="e">
        <v>#DIV/0!</v>
      </c>
      <c r="U67" s="249" t="e">
        <v>#DIV/0!</v>
      </c>
      <c r="V67" s="248" t="e">
        <v>#DIV/0!</v>
      </c>
      <c r="W67" s="250" t="e">
        <f>Diagrama!B232</f>
        <v>#DIV/0!</v>
      </c>
      <c r="X67" s="250" t="e">
        <f>Diagrama!C232</f>
        <v>#DIV/0!</v>
      </c>
      <c r="Y67" s="250" t="e">
        <f>Diagrama!D232</f>
        <v>#DIV/0!</v>
      </c>
      <c r="Z67" s="250" t="e">
        <f>Diagrama!E232</f>
        <v>#DIV/0!</v>
      </c>
      <c r="AA67" s="250" t="e">
        <f>Diagrama!F232</f>
        <v>#DIV/0!</v>
      </c>
      <c r="AB67" s="250" t="e">
        <f>Diagrama!G232</f>
        <v>#DIV/0!</v>
      </c>
      <c r="AC67" s="250" t="e">
        <f>Diagrama!H232</f>
        <v>#DIV/0!</v>
      </c>
      <c r="AD67" s="250" t="e">
        <f>Diagrama!I232</f>
        <v>#DIV/0!</v>
      </c>
      <c r="AE67" s="250" t="e">
        <f>Diagrama!J232</f>
        <v>#DIV/0!</v>
      </c>
      <c r="AF67" s="250" t="e">
        <f>Diagrama!K232</f>
        <v>#DIV/0!</v>
      </c>
      <c r="AG67" s="250" t="e">
        <f>Diagrama!L232</f>
        <v>#DIV/0!</v>
      </c>
      <c r="AH67" s="250" t="e">
        <f>Diagrama!M232</f>
        <v>#DIV/0!</v>
      </c>
      <c r="AI67" s="250" t="e">
        <f>Diagrama!N232</f>
        <v>#DIV/0!</v>
      </c>
      <c r="AJ67" s="250" t="e">
        <f>Diagrama!O232</f>
        <v>#DIV/0!</v>
      </c>
      <c r="AK67" s="250" t="e">
        <f>Diagrama!P232</f>
        <v>#DIV/0!</v>
      </c>
      <c r="AL67" s="250" t="e">
        <f>Diagrama!Q232</f>
        <v>#DIV/0!</v>
      </c>
      <c r="AM67" s="250" t="e">
        <f>Diagrama!R232</f>
        <v>#DIV/0!</v>
      </c>
      <c r="AN67" s="250" t="e">
        <f>Diagrama!S232</f>
        <v>#DIV/0!</v>
      </c>
      <c r="AO67" s="250" t="e">
        <f>Diagrama!T232</f>
        <v>#DIV/0!</v>
      </c>
      <c r="AP67" s="250" t="e">
        <f>Diagrama!U232</f>
        <v>#DIV/0!</v>
      </c>
      <c r="AQ67" s="250" t="e">
        <f>Diagrama!V232</f>
        <v>#DIV/0!</v>
      </c>
      <c r="AR67" s="250" t="e">
        <f>Diagrama!W232</f>
        <v>#DIV/0!</v>
      </c>
      <c r="AS67" s="250" t="e">
        <f>Diagrama!X232</f>
        <v>#DIV/0!</v>
      </c>
      <c r="AT67" s="250" t="e">
        <f>Diagrama!Y232</f>
        <v>#DIV/0!</v>
      </c>
      <c r="AU67" s="250" t="e">
        <f>Diagrama!Z232</f>
        <v>#DIV/0!</v>
      </c>
      <c r="AV67" s="250" t="e">
        <f>Diagrama!AA232</f>
        <v>#DIV/0!</v>
      </c>
      <c r="AW67" s="250" t="e">
        <f>Diagrama!AB232</f>
        <v>#DIV/0!</v>
      </c>
      <c r="AX67" s="250" t="e">
        <f>Diagrama!AC232</f>
        <v>#DIV/0!</v>
      </c>
      <c r="AY67" s="250" t="e">
        <f>Diagrama!AD232</f>
        <v>#DIV/0!</v>
      </c>
      <c r="AZ67" s="250" t="e">
        <f>Diagrama!AE232</f>
        <v>#DIV/0!</v>
      </c>
      <c r="BA67" s="250" t="e">
        <f>Diagrama!#REF!</f>
        <v>#REF!</v>
      </c>
    </row>
    <row r="68" spans="6:53" x14ac:dyDescent="0.2">
      <c r="F68" s="226">
        <v>32</v>
      </c>
      <c r="G68" s="225" t="b">
        <v>0</v>
      </c>
      <c r="H68" s="225" t="b">
        <v>0</v>
      </c>
      <c r="I68" s="225" t="b">
        <v>0</v>
      </c>
      <c r="K68" s="233">
        <v>32</v>
      </c>
      <c r="L68" s="233"/>
      <c r="M68" s="233"/>
      <c r="N68" s="233"/>
      <c r="S68" s="226" t="s">
        <v>18</v>
      </c>
      <c r="T68" s="248" t="e">
        <v>#DIV/0!</v>
      </c>
      <c r="U68" s="249" t="e">
        <v>#DIV/0!</v>
      </c>
      <c r="V68" s="248" t="e">
        <v>#DIV/0!</v>
      </c>
      <c r="W68" s="250" t="e">
        <f>Diagrama!B233</f>
        <v>#DIV/0!</v>
      </c>
      <c r="X68" s="250" t="e">
        <f>Diagrama!C233</f>
        <v>#DIV/0!</v>
      </c>
      <c r="Y68" s="250" t="e">
        <f>Diagrama!D233</f>
        <v>#DIV/0!</v>
      </c>
      <c r="Z68" s="250" t="e">
        <f>Diagrama!E233</f>
        <v>#DIV/0!</v>
      </c>
      <c r="AA68" s="250" t="e">
        <f>Diagrama!F233</f>
        <v>#DIV/0!</v>
      </c>
      <c r="AB68" s="250" t="e">
        <f>Diagrama!G233</f>
        <v>#DIV/0!</v>
      </c>
      <c r="AC68" s="250" t="e">
        <f>Diagrama!H233</f>
        <v>#DIV/0!</v>
      </c>
      <c r="AD68" s="250" t="e">
        <f>Diagrama!I233</f>
        <v>#DIV/0!</v>
      </c>
      <c r="AE68" s="250" t="e">
        <f>Diagrama!J233</f>
        <v>#DIV/0!</v>
      </c>
      <c r="AF68" s="250" t="e">
        <f>Diagrama!K233</f>
        <v>#DIV/0!</v>
      </c>
      <c r="AG68" s="250" t="e">
        <f>Diagrama!L233</f>
        <v>#DIV/0!</v>
      </c>
      <c r="AH68" s="250" t="e">
        <f>Diagrama!M233</f>
        <v>#DIV/0!</v>
      </c>
      <c r="AI68" s="250" t="e">
        <f>Diagrama!N233</f>
        <v>#DIV/0!</v>
      </c>
      <c r="AJ68" s="250" t="e">
        <f>Diagrama!O233</f>
        <v>#DIV/0!</v>
      </c>
      <c r="AK68" s="250" t="e">
        <f>Diagrama!P233</f>
        <v>#DIV/0!</v>
      </c>
      <c r="AL68" s="250" t="e">
        <f>Diagrama!Q233</f>
        <v>#DIV/0!</v>
      </c>
      <c r="AM68" s="250" t="e">
        <f>Diagrama!R233</f>
        <v>#DIV/0!</v>
      </c>
      <c r="AN68" s="250" t="e">
        <f>Diagrama!S233</f>
        <v>#DIV/0!</v>
      </c>
      <c r="AO68" s="250" t="e">
        <f>Diagrama!T233</f>
        <v>#DIV/0!</v>
      </c>
      <c r="AP68" s="250" t="e">
        <f>Diagrama!U233</f>
        <v>#DIV/0!</v>
      </c>
      <c r="AQ68" s="250" t="e">
        <f>Diagrama!V233</f>
        <v>#DIV/0!</v>
      </c>
      <c r="AR68" s="250" t="e">
        <f>Diagrama!W233</f>
        <v>#DIV/0!</v>
      </c>
      <c r="AS68" s="250" t="e">
        <f>Diagrama!X233</f>
        <v>#DIV/0!</v>
      </c>
      <c r="AT68" s="250" t="e">
        <f>Diagrama!Y233</f>
        <v>#DIV/0!</v>
      </c>
      <c r="AU68" s="250" t="e">
        <f>Diagrama!Z233</f>
        <v>#DIV/0!</v>
      </c>
      <c r="AV68" s="250" t="e">
        <f>Diagrama!AA233</f>
        <v>#DIV/0!</v>
      </c>
      <c r="AW68" s="250" t="e">
        <f>Diagrama!AB233</f>
        <v>#DIV/0!</v>
      </c>
      <c r="AX68" s="250" t="e">
        <f>Diagrama!AC233</f>
        <v>#DIV/0!</v>
      </c>
      <c r="AY68" s="250" t="e">
        <f>Diagrama!AD233</f>
        <v>#DIV/0!</v>
      </c>
      <c r="AZ68" s="250" t="e">
        <f>Diagrama!AE233</f>
        <v>#DIV/0!</v>
      </c>
      <c r="BA68" s="250" t="e">
        <f>Diagrama!#REF!</f>
        <v>#REF!</v>
      </c>
    </row>
    <row r="69" spans="6:53" x14ac:dyDescent="0.2">
      <c r="F69" s="226">
        <v>33</v>
      </c>
      <c r="G69" s="225" t="b">
        <v>0</v>
      </c>
      <c r="H69" s="225" t="b">
        <v>0</v>
      </c>
      <c r="I69" s="225" t="b">
        <v>0</v>
      </c>
      <c r="K69" s="233">
        <v>33</v>
      </c>
      <c r="L69" s="233"/>
      <c r="M69" s="233"/>
      <c r="N69" s="233"/>
      <c r="S69" s="226" t="s">
        <v>11</v>
      </c>
      <c r="T69" s="251" t="e">
        <v>#DIV/0!</v>
      </c>
      <c r="U69" s="249" t="e">
        <v>#DIV/0!</v>
      </c>
      <c r="V69" s="251" t="e">
        <v>#DIV/0!</v>
      </c>
      <c r="W69" s="252" t="e">
        <f>100*(W61+W76+W78)/W64</f>
        <v>#DIV/0!</v>
      </c>
      <c r="X69" s="252" t="e">
        <f t="shared" ref="X69:BA69" si="0">100*(X61+X76+X78)/X64</f>
        <v>#DIV/0!</v>
      </c>
      <c r="Y69" s="252" t="e">
        <f t="shared" si="0"/>
        <v>#DIV/0!</v>
      </c>
      <c r="Z69" s="252" t="e">
        <f t="shared" si="0"/>
        <v>#DIV/0!</v>
      </c>
      <c r="AA69" s="252" t="e">
        <f t="shared" si="0"/>
        <v>#DIV/0!</v>
      </c>
      <c r="AB69" s="252" t="e">
        <f t="shared" si="0"/>
        <v>#DIV/0!</v>
      </c>
      <c r="AC69" s="252" t="e">
        <f t="shared" si="0"/>
        <v>#DIV/0!</v>
      </c>
      <c r="AD69" s="252" t="e">
        <f t="shared" si="0"/>
        <v>#DIV/0!</v>
      </c>
      <c r="AE69" s="252" t="e">
        <f t="shared" si="0"/>
        <v>#DIV/0!</v>
      </c>
      <c r="AF69" s="252" t="e">
        <f t="shared" si="0"/>
        <v>#DIV/0!</v>
      </c>
      <c r="AG69" s="252" t="e">
        <f t="shared" si="0"/>
        <v>#DIV/0!</v>
      </c>
      <c r="AH69" s="252" t="e">
        <f t="shared" si="0"/>
        <v>#DIV/0!</v>
      </c>
      <c r="AI69" s="252" t="e">
        <f t="shared" si="0"/>
        <v>#DIV/0!</v>
      </c>
      <c r="AJ69" s="252" t="e">
        <f t="shared" si="0"/>
        <v>#DIV/0!</v>
      </c>
      <c r="AK69" s="252" t="e">
        <f t="shared" si="0"/>
        <v>#DIV/0!</v>
      </c>
      <c r="AL69" s="252" t="e">
        <f t="shared" si="0"/>
        <v>#DIV/0!</v>
      </c>
      <c r="AM69" s="252" t="e">
        <f t="shared" si="0"/>
        <v>#DIV/0!</v>
      </c>
      <c r="AN69" s="252" t="e">
        <f t="shared" si="0"/>
        <v>#DIV/0!</v>
      </c>
      <c r="AO69" s="252" t="e">
        <f t="shared" si="0"/>
        <v>#DIV/0!</v>
      </c>
      <c r="AP69" s="252" t="e">
        <f t="shared" si="0"/>
        <v>#DIV/0!</v>
      </c>
      <c r="AQ69" s="252" t="e">
        <f t="shared" si="0"/>
        <v>#DIV/0!</v>
      </c>
      <c r="AR69" s="252" t="e">
        <f t="shared" si="0"/>
        <v>#DIV/0!</v>
      </c>
      <c r="AS69" s="252" t="e">
        <f t="shared" si="0"/>
        <v>#DIV/0!</v>
      </c>
      <c r="AT69" s="252" t="e">
        <f t="shared" si="0"/>
        <v>#DIV/0!</v>
      </c>
      <c r="AU69" s="252" t="e">
        <f t="shared" si="0"/>
        <v>#DIV/0!</v>
      </c>
      <c r="AV69" s="252" t="e">
        <f t="shared" si="0"/>
        <v>#DIV/0!</v>
      </c>
      <c r="AW69" s="252" t="e">
        <f t="shared" si="0"/>
        <v>#DIV/0!</v>
      </c>
      <c r="AX69" s="252" t="e">
        <f t="shared" si="0"/>
        <v>#DIV/0!</v>
      </c>
      <c r="AY69" s="252" t="e">
        <f t="shared" si="0"/>
        <v>#DIV/0!</v>
      </c>
      <c r="AZ69" s="252" t="e">
        <f t="shared" si="0"/>
        <v>#DIV/0!</v>
      </c>
      <c r="BA69" s="252" t="e">
        <f t="shared" si="0"/>
        <v>#REF!</v>
      </c>
    </row>
    <row r="70" spans="6:53" x14ac:dyDescent="0.2">
      <c r="F70" s="226">
        <v>34</v>
      </c>
      <c r="G70" s="225" t="b">
        <v>0</v>
      </c>
      <c r="H70" s="225" t="b">
        <v>0</v>
      </c>
      <c r="I70" s="225" t="b">
        <v>0</v>
      </c>
      <c r="K70" s="233">
        <v>34</v>
      </c>
      <c r="L70" s="233"/>
      <c r="M70" s="233"/>
      <c r="N70" s="233"/>
      <c r="S70" s="226" t="s">
        <v>71</v>
      </c>
      <c r="T70" s="246">
        <v>0</v>
      </c>
      <c r="U70" s="246">
        <v>0</v>
      </c>
      <c r="V70" s="246">
        <v>0</v>
      </c>
    </row>
    <row r="71" spans="6:53" x14ac:dyDescent="0.2">
      <c r="F71" s="226">
        <v>35</v>
      </c>
      <c r="G71" s="225" t="b">
        <v>0</v>
      </c>
      <c r="H71" s="225" t="b">
        <v>0</v>
      </c>
      <c r="I71" s="225" t="b">
        <v>0</v>
      </c>
      <c r="K71" s="233">
        <v>35</v>
      </c>
      <c r="L71" s="233"/>
      <c r="M71" s="233"/>
      <c r="N71" s="233"/>
      <c r="S71" s="226" t="s">
        <v>72</v>
      </c>
    </row>
    <row r="72" spans="6:53" x14ac:dyDescent="0.2">
      <c r="F72" s="226">
        <v>36</v>
      </c>
      <c r="G72" s="225" t="b">
        <v>0</v>
      </c>
      <c r="H72" s="225" t="b">
        <v>0</v>
      </c>
      <c r="I72" s="225" t="b">
        <v>0</v>
      </c>
      <c r="K72" s="233">
        <v>36</v>
      </c>
      <c r="L72" s="233"/>
      <c r="M72" s="233"/>
      <c r="N72" s="233"/>
      <c r="R72" s="225" t="s">
        <v>83</v>
      </c>
      <c r="S72" s="226">
        <v>0</v>
      </c>
      <c r="T72" s="226" t="b">
        <v>0</v>
      </c>
      <c r="U72" s="226" t="b">
        <v>0</v>
      </c>
      <c r="V72" s="226" t="b">
        <v>0</v>
      </c>
      <c r="W72" s="227">
        <f>IF(U72,0.75,0.1)</f>
        <v>0.1</v>
      </c>
      <c r="X72" s="227"/>
      <c r="Y72" s="227"/>
    </row>
    <row r="73" spans="6:53" x14ac:dyDescent="0.2">
      <c r="F73" s="226">
        <v>37</v>
      </c>
      <c r="G73" s="225" t="b">
        <v>0</v>
      </c>
      <c r="H73" s="225" t="b">
        <v>0</v>
      </c>
      <c r="I73" s="225" t="b">
        <v>0</v>
      </c>
      <c r="K73" s="233">
        <v>37</v>
      </c>
      <c r="L73" s="233"/>
      <c r="M73" s="233"/>
      <c r="N73" s="233"/>
      <c r="T73" s="221"/>
      <c r="W73" s="227">
        <v>0</v>
      </c>
    </row>
    <row r="74" spans="6:53" x14ac:dyDescent="0.2">
      <c r="F74" s="226">
        <v>38</v>
      </c>
      <c r="G74" s="225" t="b">
        <v>0</v>
      </c>
      <c r="H74" s="225" t="b">
        <v>0</v>
      </c>
      <c r="I74" s="225" t="b">
        <v>0</v>
      </c>
      <c r="K74" s="233">
        <v>38</v>
      </c>
      <c r="L74" s="233"/>
      <c r="M74" s="233"/>
      <c r="N74" s="233"/>
      <c r="T74" s="221"/>
      <c r="W74" s="227">
        <f>IF(U74,0.75,0.1)</f>
        <v>0.1</v>
      </c>
    </row>
    <row r="75" spans="6:53" x14ac:dyDescent="0.2">
      <c r="F75" s="226">
        <v>39</v>
      </c>
      <c r="G75" s="225" t="b">
        <v>0</v>
      </c>
      <c r="H75" s="225" t="b">
        <v>0</v>
      </c>
      <c r="I75" s="225" t="b">
        <v>0</v>
      </c>
      <c r="K75" s="233">
        <v>39</v>
      </c>
      <c r="L75" s="233"/>
      <c r="M75" s="233"/>
      <c r="N75" s="233"/>
      <c r="T75" s="221"/>
    </row>
    <row r="76" spans="6:53" x14ac:dyDescent="0.2">
      <c r="F76" s="226">
        <v>40</v>
      </c>
      <c r="G76" s="225" t="b">
        <v>0</v>
      </c>
      <c r="H76" s="225" t="b">
        <v>0</v>
      </c>
      <c r="I76" s="225" t="b">
        <v>0</v>
      </c>
      <c r="K76" s="233">
        <v>40</v>
      </c>
      <c r="L76" s="233"/>
      <c r="M76" s="233"/>
      <c r="N76" s="233"/>
      <c r="S76" s="226" t="s">
        <v>148</v>
      </c>
      <c r="U76" s="226">
        <v>0</v>
      </c>
      <c r="W76" s="253">
        <f>Diagrama!B214</f>
        <v>0</v>
      </c>
      <c r="X76" s="253">
        <f>Diagrama!C214</f>
        <v>0</v>
      </c>
      <c r="Y76" s="253">
        <f>Diagrama!D214</f>
        <v>0</v>
      </c>
      <c r="Z76" s="253">
        <f>Diagrama!E214</f>
        <v>0</v>
      </c>
      <c r="AA76" s="253">
        <f>Diagrama!F214</f>
        <v>0</v>
      </c>
      <c r="AB76" s="253">
        <f>Diagrama!G214</f>
        <v>0</v>
      </c>
      <c r="AC76" s="253">
        <f>Diagrama!H214</f>
        <v>0</v>
      </c>
      <c r="AD76" s="253">
        <f>Diagrama!I214</f>
        <v>0</v>
      </c>
      <c r="AE76" s="253">
        <f>Diagrama!J214</f>
        <v>0</v>
      </c>
      <c r="AF76" s="253">
        <f>Diagrama!K214</f>
        <v>0</v>
      </c>
      <c r="AG76" s="253">
        <f>Diagrama!L214</f>
        <v>0</v>
      </c>
      <c r="AH76" s="253">
        <f>Diagrama!M214</f>
        <v>0</v>
      </c>
      <c r="AI76" s="253">
        <f>Diagrama!N214</f>
        <v>0</v>
      </c>
      <c r="AJ76" s="253">
        <f>Diagrama!O214</f>
        <v>0</v>
      </c>
      <c r="AK76" s="253">
        <f>Diagrama!P214</f>
        <v>0</v>
      </c>
      <c r="AL76" s="253">
        <f>Diagrama!Q214</f>
        <v>0</v>
      </c>
      <c r="AM76" s="253">
        <f>Diagrama!R214</f>
        <v>0</v>
      </c>
      <c r="AN76" s="253">
        <f>Diagrama!S214</f>
        <v>0</v>
      </c>
      <c r="AO76" s="253">
        <f>Diagrama!T214</f>
        <v>0</v>
      </c>
      <c r="AP76" s="253">
        <f>Diagrama!U214</f>
        <v>0</v>
      </c>
      <c r="AQ76" s="253">
        <f>Diagrama!V214</f>
        <v>0</v>
      </c>
      <c r="AR76" s="253">
        <f>Diagrama!W214</f>
        <v>0</v>
      </c>
      <c r="AS76" s="253">
        <f>Diagrama!X214</f>
        <v>0</v>
      </c>
      <c r="AT76" s="253">
        <f>Diagrama!Y214</f>
        <v>0</v>
      </c>
      <c r="AU76" s="253">
        <f>Diagrama!Z214</f>
        <v>0</v>
      </c>
      <c r="AV76" s="253">
        <f>Diagrama!AA214</f>
        <v>0</v>
      </c>
      <c r="AW76" s="253">
        <f>Diagrama!AB214</f>
        <v>0</v>
      </c>
      <c r="AX76" s="253">
        <f>Diagrama!AC214</f>
        <v>0</v>
      </c>
      <c r="AY76" s="253">
        <f>Diagrama!AD214</f>
        <v>0</v>
      </c>
      <c r="AZ76" s="253">
        <f>Diagrama!AE214</f>
        <v>0</v>
      </c>
    </row>
    <row r="77" spans="6:53" x14ac:dyDescent="0.2">
      <c r="F77" s="226">
        <v>41</v>
      </c>
      <c r="G77" s="225" t="b">
        <v>0</v>
      </c>
      <c r="H77" s="225" t="b">
        <v>0</v>
      </c>
      <c r="I77" s="225" t="b">
        <v>0</v>
      </c>
      <c r="K77" s="233">
        <v>41</v>
      </c>
      <c r="L77" s="233"/>
      <c r="M77" s="233"/>
      <c r="N77" s="233"/>
      <c r="S77" s="226" t="s">
        <v>149</v>
      </c>
      <c r="U77" s="226">
        <v>0</v>
      </c>
      <c r="W77" s="253">
        <f>Diagrama!B215</f>
        <v>0</v>
      </c>
      <c r="X77" s="253">
        <f>Diagrama!C215</f>
        <v>0</v>
      </c>
      <c r="Y77" s="253">
        <f>Diagrama!D215</f>
        <v>0</v>
      </c>
      <c r="Z77" s="253">
        <f>Diagrama!E215</f>
        <v>0</v>
      </c>
      <c r="AA77" s="253">
        <f>Diagrama!F215</f>
        <v>0</v>
      </c>
      <c r="AB77" s="253">
        <f>Diagrama!G215</f>
        <v>0</v>
      </c>
      <c r="AC77" s="253">
        <f>Diagrama!H215</f>
        <v>0</v>
      </c>
      <c r="AD77" s="253">
        <f>Diagrama!I215</f>
        <v>0</v>
      </c>
      <c r="AE77" s="253">
        <f>Diagrama!J215</f>
        <v>0</v>
      </c>
      <c r="AF77" s="253">
        <f>Diagrama!K215</f>
        <v>0</v>
      </c>
      <c r="AG77" s="253">
        <f>Diagrama!L215</f>
        <v>0</v>
      </c>
      <c r="AH77" s="253">
        <f>Diagrama!M215</f>
        <v>0</v>
      </c>
      <c r="AI77" s="253">
        <f>Diagrama!N215</f>
        <v>0</v>
      </c>
      <c r="AJ77" s="253">
        <f>Diagrama!O215</f>
        <v>0</v>
      </c>
      <c r="AK77" s="253">
        <f>Diagrama!P215</f>
        <v>0</v>
      </c>
      <c r="AL77" s="253">
        <f>Diagrama!Q215</f>
        <v>0</v>
      </c>
      <c r="AM77" s="253">
        <f>Diagrama!R215</f>
        <v>0</v>
      </c>
      <c r="AN77" s="253">
        <f>Diagrama!S215</f>
        <v>0</v>
      </c>
      <c r="AO77" s="253">
        <f>Diagrama!T215</f>
        <v>0</v>
      </c>
      <c r="AP77" s="253">
        <f>Diagrama!U215</f>
        <v>0</v>
      </c>
      <c r="AQ77" s="253">
        <f>Diagrama!V215</f>
        <v>0</v>
      </c>
      <c r="AR77" s="253">
        <f>Diagrama!W215</f>
        <v>0</v>
      </c>
      <c r="AS77" s="253">
        <f>Diagrama!X215</f>
        <v>0</v>
      </c>
      <c r="AT77" s="253">
        <f>Diagrama!Y215</f>
        <v>0</v>
      </c>
      <c r="AU77" s="253">
        <f>Diagrama!Z215</f>
        <v>0</v>
      </c>
      <c r="AV77" s="253">
        <f>Diagrama!AA215</f>
        <v>0</v>
      </c>
      <c r="AW77" s="253">
        <f>Diagrama!AB215</f>
        <v>0</v>
      </c>
      <c r="AX77" s="253">
        <f>Diagrama!AC215</f>
        <v>0</v>
      </c>
      <c r="AY77" s="253">
        <f>Diagrama!AD215</f>
        <v>0</v>
      </c>
      <c r="AZ77" s="253">
        <f>Diagrama!AE215</f>
        <v>0</v>
      </c>
    </row>
    <row r="78" spans="6:53" x14ac:dyDescent="0.2">
      <c r="F78" s="226">
        <v>42</v>
      </c>
      <c r="G78" s="225" t="b">
        <v>0</v>
      </c>
      <c r="H78" s="225" t="b">
        <v>0</v>
      </c>
      <c r="I78" s="225" t="b">
        <v>0</v>
      </c>
      <c r="K78" s="233">
        <v>42</v>
      </c>
      <c r="L78" s="233"/>
      <c r="M78" s="233"/>
      <c r="N78" s="233"/>
      <c r="S78" s="226" t="s">
        <v>150</v>
      </c>
      <c r="U78" s="226">
        <v>0</v>
      </c>
      <c r="W78" s="253">
        <f>Diagrama!B216</f>
        <v>0</v>
      </c>
      <c r="X78" s="253">
        <f>Diagrama!C216</f>
        <v>0</v>
      </c>
      <c r="Y78" s="253">
        <f>Diagrama!D216</f>
        <v>0</v>
      </c>
      <c r="Z78" s="253">
        <f>Diagrama!E216</f>
        <v>0</v>
      </c>
      <c r="AA78" s="253">
        <f>Diagrama!F216</f>
        <v>0</v>
      </c>
      <c r="AB78" s="253">
        <f>Diagrama!G216</f>
        <v>0</v>
      </c>
      <c r="AC78" s="253">
        <f>Diagrama!H216</f>
        <v>0</v>
      </c>
      <c r="AD78" s="253">
        <f>Diagrama!I216</f>
        <v>0</v>
      </c>
      <c r="AE78" s="253">
        <f>Diagrama!J216</f>
        <v>0</v>
      </c>
      <c r="AF78" s="253">
        <f>Diagrama!K216</f>
        <v>0</v>
      </c>
      <c r="AG78" s="253">
        <f>Diagrama!L216</f>
        <v>0</v>
      </c>
      <c r="AH78" s="253">
        <f>Diagrama!M216</f>
        <v>0</v>
      </c>
      <c r="AI78" s="253">
        <f>Diagrama!N216</f>
        <v>0</v>
      </c>
      <c r="AJ78" s="253">
        <f>Diagrama!O216</f>
        <v>0</v>
      </c>
      <c r="AK78" s="253">
        <f>Diagrama!P216</f>
        <v>0</v>
      </c>
      <c r="AL78" s="253">
        <f>Diagrama!Q216</f>
        <v>0</v>
      </c>
      <c r="AM78" s="253">
        <f>Diagrama!R216</f>
        <v>0</v>
      </c>
      <c r="AN78" s="253">
        <f>Diagrama!S216</f>
        <v>0</v>
      </c>
      <c r="AO78" s="253">
        <f>Diagrama!T216</f>
        <v>0</v>
      </c>
      <c r="AP78" s="253">
        <f>Diagrama!U216</f>
        <v>0</v>
      </c>
      <c r="AQ78" s="253">
        <f>Diagrama!V216</f>
        <v>0</v>
      </c>
      <c r="AR78" s="253">
        <f>Diagrama!W216</f>
        <v>0</v>
      </c>
      <c r="AS78" s="253">
        <f>Diagrama!X216</f>
        <v>0</v>
      </c>
      <c r="AT78" s="253">
        <f>Diagrama!Y216</f>
        <v>0</v>
      </c>
      <c r="AU78" s="253">
        <f>Diagrama!Z216</f>
        <v>0</v>
      </c>
      <c r="AV78" s="253">
        <f>Diagrama!AA216</f>
        <v>0</v>
      </c>
      <c r="AW78" s="253">
        <f>Diagrama!AB216</f>
        <v>0</v>
      </c>
      <c r="AX78" s="253">
        <f>Diagrama!AC216</f>
        <v>0</v>
      </c>
      <c r="AY78" s="253">
        <f>Diagrama!AD216</f>
        <v>0</v>
      </c>
      <c r="AZ78" s="253">
        <f>Diagrama!AE216</f>
        <v>0</v>
      </c>
    </row>
    <row r="79" spans="6:53" x14ac:dyDescent="0.2">
      <c r="F79" s="226">
        <v>43</v>
      </c>
      <c r="G79" s="225" t="b">
        <v>0</v>
      </c>
      <c r="H79" s="225" t="b">
        <v>0</v>
      </c>
      <c r="I79" s="225" t="b">
        <v>0</v>
      </c>
      <c r="K79" s="233">
        <v>43</v>
      </c>
      <c r="L79" s="233"/>
      <c r="M79" s="233"/>
      <c r="N79" s="233"/>
      <c r="S79" s="226" t="s">
        <v>151</v>
      </c>
      <c r="U79" s="226">
        <v>0</v>
      </c>
      <c r="W79" s="253">
        <f>Diagrama!B217</f>
        <v>0</v>
      </c>
      <c r="X79" s="253">
        <f>Diagrama!C217</f>
        <v>0</v>
      </c>
      <c r="Y79" s="253">
        <f>Diagrama!D217</f>
        <v>0</v>
      </c>
      <c r="Z79" s="253">
        <f>Diagrama!E217</f>
        <v>0</v>
      </c>
      <c r="AA79" s="253">
        <f>Diagrama!F217</f>
        <v>0</v>
      </c>
      <c r="AB79" s="253">
        <f>Diagrama!G217</f>
        <v>0</v>
      </c>
      <c r="AC79" s="253">
        <f>Diagrama!H217</f>
        <v>0</v>
      </c>
      <c r="AD79" s="253">
        <f>Diagrama!I217</f>
        <v>0</v>
      </c>
      <c r="AE79" s="253">
        <f>Diagrama!J217</f>
        <v>0</v>
      </c>
      <c r="AF79" s="253">
        <f>Diagrama!K217</f>
        <v>0</v>
      </c>
      <c r="AG79" s="253">
        <f>Diagrama!L217</f>
        <v>0</v>
      </c>
      <c r="AH79" s="253">
        <f>Diagrama!M217</f>
        <v>0</v>
      </c>
      <c r="AI79" s="253">
        <f>Diagrama!N217</f>
        <v>0</v>
      </c>
      <c r="AJ79" s="253">
        <f>Diagrama!O217</f>
        <v>0</v>
      </c>
      <c r="AK79" s="253">
        <f>Diagrama!P217</f>
        <v>0</v>
      </c>
      <c r="AL79" s="253">
        <f>Diagrama!Q217</f>
        <v>0</v>
      </c>
      <c r="AM79" s="253">
        <f>Diagrama!R217</f>
        <v>0</v>
      </c>
      <c r="AN79" s="253">
        <f>Diagrama!S217</f>
        <v>0</v>
      </c>
      <c r="AO79" s="253">
        <f>Diagrama!T217</f>
        <v>0</v>
      </c>
      <c r="AP79" s="253">
        <f>Diagrama!U217</f>
        <v>0</v>
      </c>
      <c r="AQ79" s="253">
        <f>Diagrama!V217</f>
        <v>0</v>
      </c>
      <c r="AR79" s="253">
        <f>Diagrama!W217</f>
        <v>0</v>
      </c>
      <c r="AS79" s="253">
        <f>Diagrama!X217</f>
        <v>0</v>
      </c>
      <c r="AT79" s="253">
        <f>Diagrama!Y217</f>
        <v>0</v>
      </c>
      <c r="AU79" s="253">
        <f>Diagrama!Z217</f>
        <v>0</v>
      </c>
      <c r="AV79" s="253">
        <f>Diagrama!AA217</f>
        <v>0</v>
      </c>
      <c r="AW79" s="253">
        <f>Diagrama!AB217</f>
        <v>0</v>
      </c>
      <c r="AX79" s="253">
        <f>Diagrama!AC217</f>
        <v>0</v>
      </c>
      <c r="AY79" s="253">
        <f>Diagrama!AD217</f>
        <v>0</v>
      </c>
      <c r="AZ79" s="253">
        <f>Diagrama!AE217</f>
        <v>0</v>
      </c>
    </row>
    <row r="80" spans="6:53" x14ac:dyDescent="0.2">
      <c r="F80" s="226">
        <v>44</v>
      </c>
      <c r="G80" s="225" t="b">
        <v>0</v>
      </c>
      <c r="H80" s="225" t="b">
        <v>0</v>
      </c>
      <c r="I80" s="225" t="b">
        <v>0</v>
      </c>
      <c r="K80" s="233">
        <v>44</v>
      </c>
      <c r="L80" s="233"/>
      <c r="M80" s="233"/>
      <c r="N80" s="233"/>
    </row>
    <row r="81" spans="6:14" x14ac:dyDescent="0.2">
      <c r="F81" s="226">
        <v>45</v>
      </c>
      <c r="G81" s="225" t="b">
        <v>0</v>
      </c>
      <c r="H81" s="225" t="b">
        <v>0</v>
      </c>
      <c r="I81" s="225" t="b">
        <v>0</v>
      </c>
      <c r="K81" s="233">
        <v>45</v>
      </c>
      <c r="L81" s="233"/>
      <c r="M81" s="233"/>
      <c r="N81" s="233"/>
    </row>
    <row r="82" spans="6:14" x14ac:dyDescent="0.2">
      <c r="F82" s="226">
        <v>46</v>
      </c>
      <c r="G82" s="225" t="b">
        <v>0</v>
      </c>
      <c r="H82" s="225" t="b">
        <v>0</v>
      </c>
      <c r="I82" s="225" t="b">
        <v>0</v>
      </c>
      <c r="K82" s="233">
        <v>46</v>
      </c>
      <c r="L82" s="233"/>
      <c r="M82" s="233"/>
      <c r="N82" s="233"/>
    </row>
    <row r="83" spans="6:14" x14ac:dyDescent="0.2">
      <c r="F83" s="226">
        <v>47</v>
      </c>
      <c r="G83" s="225" t="b">
        <v>0</v>
      </c>
      <c r="H83" s="225" t="b">
        <v>0</v>
      </c>
      <c r="I83" s="225" t="b">
        <v>0</v>
      </c>
      <c r="K83" s="233">
        <v>47</v>
      </c>
      <c r="L83" s="233"/>
      <c r="M83" s="233"/>
      <c r="N83" s="233"/>
    </row>
    <row r="84" spans="6:14" x14ac:dyDescent="0.2">
      <c r="F84" s="226">
        <v>48</v>
      </c>
      <c r="G84" s="225" t="b">
        <v>0</v>
      </c>
      <c r="H84" s="225" t="b">
        <v>0</v>
      </c>
      <c r="I84" s="225" t="b">
        <v>0</v>
      </c>
      <c r="K84" s="233">
        <v>48</v>
      </c>
      <c r="L84" s="233"/>
      <c r="M84" s="233"/>
      <c r="N84" s="233"/>
    </row>
    <row r="85" spans="6:14" x14ac:dyDescent="0.2">
      <c r="F85" s="226">
        <v>49</v>
      </c>
      <c r="G85" s="225" t="b">
        <v>0</v>
      </c>
      <c r="H85" s="225" t="b">
        <v>0</v>
      </c>
      <c r="I85" s="225" t="b">
        <v>0</v>
      </c>
      <c r="K85" s="233">
        <v>49</v>
      </c>
      <c r="L85" s="233"/>
      <c r="M85" s="233"/>
      <c r="N85" s="233"/>
    </row>
    <row r="86" spans="6:14" x14ac:dyDescent="0.2">
      <c r="F86" s="226">
        <v>50</v>
      </c>
      <c r="G86" s="225" t="b">
        <v>0</v>
      </c>
      <c r="H86" s="225" t="b">
        <v>0</v>
      </c>
      <c r="I86" s="225" t="b">
        <v>0</v>
      </c>
      <c r="K86" s="233">
        <v>50</v>
      </c>
      <c r="L86" s="233"/>
      <c r="M86" s="233"/>
      <c r="N86" s="233"/>
    </row>
    <row r="87" spans="6:14" x14ac:dyDescent="0.2">
      <c r="F87" s="226">
        <v>51</v>
      </c>
      <c r="G87" s="225" t="b">
        <v>0</v>
      </c>
      <c r="H87" s="225" t="b">
        <v>0</v>
      </c>
      <c r="I87" s="225" t="b">
        <v>0</v>
      </c>
      <c r="K87" s="233">
        <v>51</v>
      </c>
      <c r="L87" s="233"/>
      <c r="M87" s="233"/>
      <c r="N87" s="233"/>
    </row>
    <row r="88" spans="6:14" x14ac:dyDescent="0.2">
      <c r="F88" s="226">
        <v>52</v>
      </c>
      <c r="G88" s="225" t="b">
        <v>0</v>
      </c>
      <c r="H88" s="225" t="b">
        <v>0</v>
      </c>
      <c r="I88" s="225" t="b">
        <v>0</v>
      </c>
      <c r="K88" s="233">
        <v>52</v>
      </c>
      <c r="L88" s="233"/>
      <c r="M88" s="233"/>
      <c r="N88" s="233"/>
    </row>
    <row r="89" spans="6:14" x14ac:dyDescent="0.2">
      <c r="F89" s="226">
        <v>53</v>
      </c>
      <c r="G89" s="225" t="b">
        <v>0</v>
      </c>
      <c r="H89" s="225" t="b">
        <v>0</v>
      </c>
      <c r="I89" s="225" t="b">
        <v>0</v>
      </c>
      <c r="K89" s="233">
        <v>53</v>
      </c>
      <c r="L89" s="233"/>
      <c r="M89" s="233"/>
      <c r="N89" s="233"/>
    </row>
    <row r="90" spans="6:14" x14ac:dyDescent="0.2">
      <c r="F90" s="226">
        <v>54</v>
      </c>
      <c r="G90" s="225" t="b">
        <v>0</v>
      </c>
      <c r="H90" s="225" t="b">
        <v>0</v>
      </c>
      <c r="I90" s="225" t="b">
        <v>0</v>
      </c>
      <c r="K90" s="233">
        <v>54</v>
      </c>
      <c r="L90" s="233"/>
      <c r="M90" s="233"/>
      <c r="N90" s="233"/>
    </row>
    <row r="91" spans="6:14" x14ac:dyDescent="0.2">
      <c r="F91" s="226">
        <v>55</v>
      </c>
      <c r="G91" s="225" t="b">
        <v>0</v>
      </c>
      <c r="H91" s="225" t="b">
        <v>0</v>
      </c>
      <c r="I91" s="225" t="b">
        <v>0</v>
      </c>
      <c r="K91" s="233">
        <v>55</v>
      </c>
      <c r="L91" s="233"/>
      <c r="M91" s="233"/>
      <c r="N91" s="233"/>
    </row>
    <row r="92" spans="6:14" x14ac:dyDescent="0.2">
      <c r="F92" s="226">
        <v>56</v>
      </c>
      <c r="G92" s="225" t="b">
        <v>0</v>
      </c>
      <c r="H92" s="225" t="b">
        <v>0</v>
      </c>
      <c r="I92" s="225" t="b">
        <v>0</v>
      </c>
      <c r="K92" s="233">
        <v>56</v>
      </c>
      <c r="L92" s="233"/>
      <c r="M92" s="233"/>
      <c r="N92" s="233"/>
    </row>
    <row r="93" spans="6:14" x14ac:dyDescent="0.2">
      <c r="F93" s="226">
        <v>57</v>
      </c>
      <c r="G93" s="225" t="b">
        <v>0</v>
      </c>
      <c r="H93" s="225" t="b">
        <v>0</v>
      </c>
      <c r="I93" s="225" t="b">
        <v>0</v>
      </c>
      <c r="K93" s="233">
        <v>57</v>
      </c>
      <c r="L93" s="233"/>
      <c r="M93" s="233"/>
      <c r="N93" s="233"/>
    </row>
    <row r="94" spans="6:14" x14ac:dyDescent="0.2">
      <c r="F94" s="226">
        <v>58</v>
      </c>
      <c r="G94" s="225" t="b">
        <v>0</v>
      </c>
      <c r="H94" s="225" t="b">
        <v>0</v>
      </c>
      <c r="I94" s="225" t="b">
        <v>0</v>
      </c>
      <c r="K94" s="233">
        <v>58</v>
      </c>
      <c r="L94" s="233"/>
      <c r="M94" s="233"/>
      <c r="N94" s="233"/>
    </row>
    <row r="95" spans="6:14" x14ac:dyDescent="0.2">
      <c r="F95" s="226">
        <v>59</v>
      </c>
      <c r="G95" s="225" t="b">
        <v>0</v>
      </c>
      <c r="H95" s="225" t="b">
        <v>0</v>
      </c>
      <c r="I95" s="225" t="b">
        <v>0</v>
      </c>
      <c r="K95" s="233">
        <v>59</v>
      </c>
      <c r="L95" s="233"/>
      <c r="M95" s="233"/>
      <c r="N95" s="233"/>
    </row>
    <row r="96" spans="6:14" x14ac:dyDescent="0.2">
      <c r="F96" s="226">
        <v>60</v>
      </c>
      <c r="G96" s="225" t="b">
        <v>0</v>
      </c>
      <c r="H96" s="225" t="b">
        <v>0</v>
      </c>
      <c r="I96" s="225" t="b">
        <v>0</v>
      </c>
      <c r="K96" s="233">
        <v>60</v>
      </c>
      <c r="L96" s="233"/>
      <c r="M96" s="233"/>
      <c r="N96" s="233"/>
    </row>
    <row r="97" spans="6:14" x14ac:dyDescent="0.2">
      <c r="F97" s="226">
        <v>61</v>
      </c>
      <c r="G97" s="225" t="b">
        <v>0</v>
      </c>
      <c r="H97" s="225" t="b">
        <v>0</v>
      </c>
      <c r="I97" s="225" t="b">
        <v>0</v>
      </c>
      <c r="K97" s="233">
        <v>61</v>
      </c>
      <c r="L97" s="233"/>
      <c r="M97" s="233"/>
      <c r="N97" s="233"/>
    </row>
    <row r="98" spans="6:14" x14ac:dyDescent="0.2">
      <c r="F98" s="226">
        <v>62</v>
      </c>
      <c r="G98" s="225" t="b">
        <v>0</v>
      </c>
      <c r="H98" s="225" t="b">
        <v>0</v>
      </c>
      <c r="I98" s="225" t="b">
        <v>0</v>
      </c>
      <c r="K98" s="233">
        <v>62</v>
      </c>
      <c r="L98" s="233"/>
      <c r="M98" s="233"/>
      <c r="N98" s="233"/>
    </row>
    <row r="99" spans="6:14" x14ac:dyDescent="0.2">
      <c r="F99" s="226">
        <v>63</v>
      </c>
      <c r="G99" s="225" t="b">
        <v>0</v>
      </c>
      <c r="H99" s="225" t="b">
        <v>0</v>
      </c>
      <c r="I99" s="225" t="b">
        <v>0</v>
      </c>
      <c r="K99" s="233">
        <v>63</v>
      </c>
      <c r="L99" s="233"/>
      <c r="M99" s="233"/>
      <c r="N99" s="233"/>
    </row>
    <row r="100" spans="6:14" x14ac:dyDescent="0.2">
      <c r="F100" s="226">
        <v>64</v>
      </c>
      <c r="G100" s="225" t="b">
        <v>0</v>
      </c>
      <c r="H100" s="225" t="b">
        <v>0</v>
      </c>
      <c r="I100" s="225" t="b">
        <v>0</v>
      </c>
      <c r="K100" s="233">
        <v>64</v>
      </c>
      <c r="L100" s="233"/>
      <c r="M100" s="233"/>
      <c r="N100" s="233"/>
    </row>
    <row r="101" spans="6:14" x14ac:dyDescent="0.2">
      <c r="F101" s="226">
        <v>65</v>
      </c>
      <c r="G101" s="225" t="b">
        <v>0</v>
      </c>
      <c r="H101" s="225" t="b">
        <v>0</v>
      </c>
      <c r="I101" s="225" t="b">
        <v>0</v>
      </c>
      <c r="K101" s="233">
        <v>65</v>
      </c>
      <c r="L101" s="233"/>
      <c r="M101" s="233"/>
      <c r="N101" s="233"/>
    </row>
    <row r="102" spans="6:14" x14ac:dyDescent="0.2">
      <c r="F102" s="226">
        <v>66</v>
      </c>
      <c r="G102" s="225" t="b">
        <v>0</v>
      </c>
      <c r="H102" s="225" t="b">
        <v>0</v>
      </c>
      <c r="I102" s="225" t="b">
        <v>0</v>
      </c>
      <c r="K102" s="233">
        <v>66</v>
      </c>
      <c r="L102" s="233"/>
      <c r="M102" s="233"/>
      <c r="N102" s="233"/>
    </row>
    <row r="103" spans="6:14" x14ac:dyDescent="0.2">
      <c r="F103" s="226">
        <v>67</v>
      </c>
      <c r="G103" s="225" t="b">
        <v>0</v>
      </c>
      <c r="H103" s="225" t="b">
        <v>0</v>
      </c>
      <c r="I103" s="225" t="b">
        <v>0</v>
      </c>
      <c r="K103" s="233">
        <v>67</v>
      </c>
      <c r="L103" s="233"/>
      <c r="M103" s="233"/>
      <c r="N103" s="233"/>
    </row>
    <row r="104" spans="6:14" x14ac:dyDescent="0.2">
      <c r="F104" s="226">
        <v>68</v>
      </c>
      <c r="G104" s="225" t="b">
        <v>0</v>
      </c>
      <c r="H104" s="225" t="b">
        <v>0</v>
      </c>
      <c r="I104" s="225" t="b">
        <v>0</v>
      </c>
      <c r="K104" s="233">
        <v>68</v>
      </c>
      <c r="L104" s="233"/>
      <c r="M104" s="233"/>
      <c r="N104" s="233"/>
    </row>
    <row r="105" spans="6:14" x14ac:dyDescent="0.2">
      <c r="F105" s="226">
        <v>69</v>
      </c>
      <c r="G105" s="225" t="b">
        <v>0</v>
      </c>
      <c r="H105" s="225" t="b">
        <v>0</v>
      </c>
      <c r="I105" s="225" t="b">
        <v>0</v>
      </c>
      <c r="K105" s="233">
        <v>69</v>
      </c>
      <c r="L105" s="233"/>
      <c r="M105" s="233"/>
      <c r="N105" s="233"/>
    </row>
    <row r="106" spans="6:14" x14ac:dyDescent="0.2">
      <c r="F106" s="226">
        <v>70</v>
      </c>
      <c r="G106" s="225" t="b">
        <v>0</v>
      </c>
      <c r="H106" s="225" t="b">
        <v>0</v>
      </c>
      <c r="I106" s="225" t="b">
        <v>0</v>
      </c>
      <c r="K106" s="233">
        <v>70</v>
      </c>
      <c r="L106" s="233"/>
      <c r="M106" s="233"/>
      <c r="N106" s="233"/>
    </row>
    <row r="107" spans="6:14" x14ac:dyDescent="0.2">
      <c r="F107" s="226">
        <v>71</v>
      </c>
      <c r="G107" s="225" t="b">
        <v>0</v>
      </c>
      <c r="H107" s="225" t="b">
        <v>0</v>
      </c>
      <c r="I107" s="225" t="b">
        <v>0</v>
      </c>
      <c r="K107" s="233">
        <v>71</v>
      </c>
      <c r="L107" s="233"/>
      <c r="M107" s="233"/>
      <c r="N107" s="233"/>
    </row>
    <row r="108" spans="6:14" x14ac:dyDescent="0.2">
      <c r="F108" s="226">
        <v>72</v>
      </c>
      <c r="G108" s="225" t="b">
        <v>0</v>
      </c>
      <c r="H108" s="225" t="b">
        <v>0</v>
      </c>
      <c r="I108" s="225" t="b">
        <v>0</v>
      </c>
      <c r="K108" s="233">
        <v>72</v>
      </c>
      <c r="L108" s="233"/>
      <c r="M108" s="233"/>
      <c r="N108" s="233"/>
    </row>
    <row r="109" spans="6:14" x14ac:dyDescent="0.2">
      <c r="F109" s="226">
        <v>73</v>
      </c>
      <c r="G109" s="225" t="b">
        <v>0</v>
      </c>
      <c r="H109" s="225" t="b">
        <v>0</v>
      </c>
      <c r="I109" s="225" t="b">
        <v>0</v>
      </c>
      <c r="K109" s="233">
        <v>73</v>
      </c>
      <c r="L109" s="233"/>
      <c r="M109" s="233"/>
      <c r="N109" s="233"/>
    </row>
    <row r="110" spans="6:14" x14ac:dyDescent="0.2">
      <c r="F110" s="226">
        <v>74</v>
      </c>
      <c r="G110" s="225" t="b">
        <v>0</v>
      </c>
      <c r="H110" s="225" t="b">
        <v>0</v>
      </c>
      <c r="I110" s="225" t="b">
        <v>0</v>
      </c>
      <c r="K110" s="233">
        <v>74</v>
      </c>
      <c r="L110" s="233"/>
      <c r="M110" s="233"/>
      <c r="N110" s="233"/>
    </row>
    <row r="111" spans="6:14" x14ac:dyDescent="0.2">
      <c r="F111" s="226">
        <v>75</v>
      </c>
      <c r="G111" s="225" t="b">
        <v>0</v>
      </c>
      <c r="H111" s="225" t="b">
        <v>0</v>
      </c>
      <c r="I111" s="225" t="b">
        <v>0</v>
      </c>
      <c r="K111" s="233">
        <v>75</v>
      </c>
      <c r="L111" s="233"/>
      <c r="M111" s="233"/>
      <c r="N111" s="233"/>
    </row>
    <row r="112" spans="6:14" x14ac:dyDescent="0.2">
      <c r="F112" s="226">
        <v>76</v>
      </c>
      <c r="G112" s="225" t="b">
        <v>0</v>
      </c>
      <c r="H112" s="225" t="b">
        <v>0</v>
      </c>
      <c r="I112" s="225" t="b">
        <v>0</v>
      </c>
      <c r="K112" s="233">
        <v>76</v>
      </c>
      <c r="L112" s="233"/>
      <c r="M112" s="233"/>
      <c r="N112" s="233"/>
    </row>
    <row r="113" spans="6:14" x14ac:dyDescent="0.2">
      <c r="F113" s="226">
        <v>77</v>
      </c>
      <c r="G113" s="225" t="b">
        <v>0</v>
      </c>
      <c r="H113" s="225" t="b">
        <v>0</v>
      </c>
      <c r="I113" s="225" t="b">
        <v>0</v>
      </c>
      <c r="K113" s="233">
        <v>77</v>
      </c>
      <c r="L113" s="233"/>
      <c r="M113" s="233"/>
      <c r="N113" s="233"/>
    </row>
    <row r="114" spans="6:14" x14ac:dyDescent="0.2">
      <c r="F114" s="226">
        <v>78</v>
      </c>
      <c r="G114" s="225" t="b">
        <v>0</v>
      </c>
      <c r="H114" s="225" t="b">
        <v>0</v>
      </c>
      <c r="I114" s="225" t="b">
        <v>0</v>
      </c>
      <c r="K114" s="233">
        <v>78</v>
      </c>
      <c r="L114" s="233"/>
      <c r="M114" s="233"/>
      <c r="N114" s="233"/>
    </row>
    <row r="115" spans="6:14" x14ac:dyDescent="0.2">
      <c r="F115" s="226">
        <v>79</v>
      </c>
      <c r="G115" s="225" t="b">
        <v>0</v>
      </c>
      <c r="H115" s="225" t="b">
        <v>0</v>
      </c>
      <c r="I115" s="225" t="b">
        <v>0</v>
      </c>
      <c r="K115" s="233">
        <v>79</v>
      </c>
      <c r="L115" s="233"/>
      <c r="M115" s="233"/>
      <c r="N115" s="233"/>
    </row>
    <row r="116" spans="6:14" x14ac:dyDescent="0.2">
      <c r="F116" s="226">
        <v>80</v>
      </c>
      <c r="G116" s="225" t="b">
        <v>0</v>
      </c>
      <c r="H116" s="225" t="b">
        <v>0</v>
      </c>
      <c r="I116" s="225" t="b">
        <v>0</v>
      </c>
      <c r="K116" s="233">
        <v>80</v>
      </c>
      <c r="L116" s="233"/>
      <c r="M116" s="233"/>
      <c r="N116" s="233"/>
    </row>
    <row r="117" spans="6:14" x14ac:dyDescent="0.2">
      <c r="F117" s="226">
        <v>81</v>
      </c>
      <c r="G117" s="225" t="b">
        <v>0</v>
      </c>
      <c r="H117" s="225" t="b">
        <v>0</v>
      </c>
      <c r="I117" s="225" t="b">
        <v>0</v>
      </c>
      <c r="K117" s="233">
        <v>81</v>
      </c>
      <c r="L117" s="233"/>
      <c r="M117" s="233"/>
      <c r="N117" s="233"/>
    </row>
    <row r="118" spans="6:14" x14ac:dyDescent="0.2">
      <c r="F118" s="226">
        <v>82</v>
      </c>
      <c r="G118" s="225" t="b">
        <v>0</v>
      </c>
      <c r="H118" s="225" t="b">
        <v>0</v>
      </c>
      <c r="I118" s="225" t="b">
        <v>0</v>
      </c>
      <c r="K118" s="233">
        <v>82</v>
      </c>
      <c r="L118" s="233"/>
      <c r="M118" s="233"/>
      <c r="N118" s="233"/>
    </row>
    <row r="119" spans="6:14" x14ac:dyDescent="0.2">
      <c r="F119" s="226">
        <v>83</v>
      </c>
      <c r="G119" s="225" t="b">
        <v>0</v>
      </c>
      <c r="H119" s="225" t="b">
        <v>0</v>
      </c>
      <c r="I119" s="225" t="b">
        <v>0</v>
      </c>
      <c r="K119" s="233">
        <v>83</v>
      </c>
      <c r="L119" s="233"/>
      <c r="M119" s="233"/>
      <c r="N119" s="233"/>
    </row>
    <row r="120" spans="6:14" x14ac:dyDescent="0.2">
      <c r="F120" s="226">
        <v>84</v>
      </c>
      <c r="G120" s="225" t="b">
        <v>0</v>
      </c>
      <c r="H120" s="225" t="b">
        <v>0</v>
      </c>
      <c r="I120" s="225" t="b">
        <v>0</v>
      </c>
      <c r="K120" s="233">
        <v>84</v>
      </c>
      <c r="L120" s="233"/>
      <c r="M120" s="233"/>
      <c r="N120" s="233"/>
    </row>
    <row r="121" spans="6:14" x14ac:dyDescent="0.2">
      <c r="F121" s="226">
        <v>85</v>
      </c>
      <c r="G121" s="225" t="b">
        <v>0</v>
      </c>
      <c r="H121" s="225" t="b">
        <v>0</v>
      </c>
      <c r="I121" s="225" t="b">
        <v>0</v>
      </c>
      <c r="K121" s="233">
        <v>85</v>
      </c>
      <c r="L121" s="233"/>
      <c r="M121" s="233"/>
      <c r="N121" s="233"/>
    </row>
    <row r="122" spans="6:14" x14ac:dyDescent="0.2">
      <c r="F122" s="226">
        <v>86</v>
      </c>
      <c r="G122" s="225" t="b">
        <v>0</v>
      </c>
      <c r="H122" s="225" t="b">
        <v>0</v>
      </c>
      <c r="I122" s="225" t="b">
        <v>0</v>
      </c>
      <c r="K122" s="233">
        <v>86</v>
      </c>
      <c r="L122" s="233"/>
      <c r="M122" s="233"/>
      <c r="N122" s="233"/>
    </row>
    <row r="123" spans="6:14" x14ac:dyDescent="0.2">
      <c r="F123" s="226">
        <v>87</v>
      </c>
      <c r="G123" s="225" t="b">
        <v>0</v>
      </c>
      <c r="H123" s="225" t="b">
        <v>0</v>
      </c>
      <c r="I123" s="225" t="b">
        <v>0</v>
      </c>
      <c r="K123" s="233">
        <v>87</v>
      </c>
      <c r="L123" s="233"/>
      <c r="M123" s="233"/>
      <c r="N123" s="233"/>
    </row>
    <row r="124" spans="6:14" x14ac:dyDescent="0.2">
      <c r="F124" s="226">
        <v>88</v>
      </c>
      <c r="G124" s="225" t="b">
        <v>0</v>
      </c>
      <c r="H124" s="225" t="b">
        <v>0</v>
      </c>
      <c r="I124" s="225" t="b">
        <v>0</v>
      </c>
      <c r="K124" s="233">
        <v>88</v>
      </c>
      <c r="L124" s="233"/>
      <c r="M124" s="233"/>
      <c r="N124" s="233"/>
    </row>
    <row r="125" spans="6:14" x14ac:dyDescent="0.2">
      <c r="F125" s="226">
        <v>89</v>
      </c>
      <c r="G125" s="225" t="b">
        <v>0</v>
      </c>
      <c r="H125" s="225" t="b">
        <v>0</v>
      </c>
      <c r="I125" s="225" t="b">
        <v>0</v>
      </c>
      <c r="K125" s="233">
        <v>89</v>
      </c>
      <c r="L125" s="233"/>
      <c r="M125" s="233"/>
      <c r="N125" s="233"/>
    </row>
    <row r="126" spans="6:14" x14ac:dyDescent="0.2">
      <c r="F126" s="226">
        <v>90</v>
      </c>
      <c r="G126" s="225" t="b">
        <v>0</v>
      </c>
      <c r="H126" s="225" t="b">
        <v>0</v>
      </c>
      <c r="I126" s="225" t="b">
        <v>0</v>
      </c>
      <c r="K126" s="233">
        <v>90</v>
      </c>
      <c r="L126" s="233"/>
      <c r="M126" s="233"/>
      <c r="N126" s="233"/>
    </row>
    <row r="127" spans="6:14" x14ac:dyDescent="0.2">
      <c r="F127" s="226">
        <v>91</v>
      </c>
      <c r="G127" s="225" t="b">
        <v>0</v>
      </c>
      <c r="H127" s="225" t="b">
        <v>0</v>
      </c>
      <c r="I127" s="225" t="b">
        <v>0</v>
      </c>
      <c r="K127" s="233">
        <v>91</v>
      </c>
      <c r="L127" s="233"/>
      <c r="M127" s="233"/>
      <c r="N127" s="233"/>
    </row>
    <row r="128" spans="6:14" x14ac:dyDescent="0.2">
      <c r="F128" s="226">
        <v>92</v>
      </c>
      <c r="G128" s="225" t="b">
        <v>0</v>
      </c>
      <c r="H128" s="225" t="b">
        <v>0</v>
      </c>
      <c r="I128" s="225" t="b">
        <v>0</v>
      </c>
      <c r="K128" s="233">
        <v>92</v>
      </c>
      <c r="L128" s="233"/>
      <c r="M128" s="233"/>
      <c r="N128" s="233"/>
    </row>
    <row r="129" spans="6:14" x14ac:dyDescent="0.2">
      <c r="F129" s="226">
        <v>93</v>
      </c>
      <c r="G129" s="225" t="b">
        <v>0</v>
      </c>
      <c r="H129" s="225" t="b">
        <v>0</v>
      </c>
      <c r="I129" s="225" t="b">
        <v>0</v>
      </c>
      <c r="K129" s="233">
        <v>93</v>
      </c>
      <c r="L129" s="233"/>
      <c r="M129" s="233"/>
      <c r="N129" s="233"/>
    </row>
    <row r="130" spans="6:14" x14ac:dyDescent="0.2">
      <c r="F130" s="226">
        <v>94</v>
      </c>
      <c r="G130" s="225" t="b">
        <v>0</v>
      </c>
      <c r="H130" s="225" t="b">
        <v>0</v>
      </c>
      <c r="I130" s="225" t="b">
        <v>0</v>
      </c>
      <c r="K130" s="233">
        <v>94</v>
      </c>
      <c r="L130" s="233"/>
      <c r="M130" s="233"/>
      <c r="N130" s="233"/>
    </row>
    <row r="131" spans="6:14" x14ac:dyDescent="0.2">
      <c r="F131" s="226">
        <v>95</v>
      </c>
      <c r="G131" s="225" t="b">
        <v>0</v>
      </c>
      <c r="H131" s="225" t="b">
        <v>0</v>
      </c>
      <c r="I131" s="225" t="b">
        <v>0</v>
      </c>
      <c r="K131" s="233">
        <v>95</v>
      </c>
      <c r="L131" s="233"/>
      <c r="M131" s="233"/>
      <c r="N131" s="233"/>
    </row>
    <row r="132" spans="6:14" x14ac:dyDescent="0.2">
      <c r="F132" s="226">
        <v>96</v>
      </c>
      <c r="G132" s="225" t="b">
        <v>0</v>
      </c>
      <c r="H132" s="225" t="b">
        <v>0</v>
      </c>
      <c r="I132" s="225" t="b">
        <v>0</v>
      </c>
      <c r="K132" s="233">
        <v>96</v>
      </c>
      <c r="L132" s="233"/>
      <c r="M132" s="233"/>
      <c r="N132" s="233"/>
    </row>
    <row r="133" spans="6:14" x14ac:dyDescent="0.2">
      <c r="F133" s="226">
        <v>97</v>
      </c>
      <c r="G133" s="225" t="b">
        <v>0</v>
      </c>
      <c r="H133" s="225" t="b">
        <v>0</v>
      </c>
      <c r="I133" s="225" t="b">
        <v>0</v>
      </c>
      <c r="K133" s="233">
        <v>97</v>
      </c>
      <c r="L133" s="233"/>
      <c r="M133" s="233"/>
      <c r="N133" s="233"/>
    </row>
    <row r="134" spans="6:14" x14ac:dyDescent="0.2">
      <c r="F134" s="226">
        <v>98</v>
      </c>
      <c r="G134" s="225" t="b">
        <v>0</v>
      </c>
      <c r="H134" s="225" t="b">
        <v>0</v>
      </c>
      <c r="I134" s="225" t="b">
        <v>0</v>
      </c>
      <c r="K134" s="233">
        <v>98</v>
      </c>
      <c r="L134" s="233"/>
      <c r="M134" s="233"/>
      <c r="N134" s="233"/>
    </row>
    <row r="135" spans="6:14" x14ac:dyDescent="0.2">
      <c r="F135" s="226">
        <v>99</v>
      </c>
      <c r="G135" s="225" t="b">
        <v>0</v>
      </c>
      <c r="H135" s="225" t="b">
        <v>0</v>
      </c>
      <c r="I135" s="225" t="b">
        <v>0</v>
      </c>
      <c r="K135" s="233">
        <v>99</v>
      </c>
      <c r="L135" s="233"/>
      <c r="M135" s="233"/>
      <c r="N135" s="233"/>
    </row>
    <row r="136" spans="6:14" x14ac:dyDescent="0.2">
      <c r="F136" s="226">
        <v>100</v>
      </c>
      <c r="G136" s="225" t="b">
        <v>0</v>
      </c>
      <c r="H136" s="225" t="b">
        <v>0</v>
      </c>
      <c r="I136" s="225" t="b">
        <v>0</v>
      </c>
      <c r="K136" s="233">
        <v>100</v>
      </c>
      <c r="L136" s="233"/>
      <c r="M136" s="233"/>
      <c r="N136" s="233"/>
    </row>
    <row r="137" spans="6:14" x14ac:dyDescent="0.2">
      <c r="F137" s="226">
        <v>101</v>
      </c>
      <c r="G137" s="225" t="b">
        <v>0</v>
      </c>
      <c r="H137" s="225" t="b">
        <v>0</v>
      </c>
      <c r="I137" s="225" t="b">
        <v>0</v>
      </c>
      <c r="K137" s="233">
        <v>101</v>
      </c>
    </row>
    <row r="138" spans="6:14" x14ac:dyDescent="0.2">
      <c r="F138" s="226">
        <v>102</v>
      </c>
      <c r="G138" s="225" t="b">
        <v>0</v>
      </c>
      <c r="H138" s="225" t="b">
        <v>0</v>
      </c>
      <c r="I138" s="225" t="b">
        <v>0</v>
      </c>
      <c r="K138" s="233">
        <v>102</v>
      </c>
    </row>
    <row r="139" spans="6:14" x14ac:dyDescent="0.2">
      <c r="F139" s="226">
        <v>103</v>
      </c>
      <c r="G139" s="225" t="b">
        <v>0</v>
      </c>
      <c r="H139" s="225" t="b">
        <v>0</v>
      </c>
      <c r="I139" s="225" t="b">
        <v>0</v>
      </c>
      <c r="K139" s="233">
        <v>103</v>
      </c>
    </row>
    <row r="140" spans="6:14" x14ac:dyDescent="0.2">
      <c r="F140" s="226">
        <v>104</v>
      </c>
      <c r="G140" s="225" t="b">
        <v>0</v>
      </c>
      <c r="H140" s="225" t="b">
        <v>0</v>
      </c>
      <c r="I140" s="225" t="b">
        <v>0</v>
      </c>
      <c r="K140" s="233">
        <v>104</v>
      </c>
    </row>
    <row r="141" spans="6:14" x14ac:dyDescent="0.2">
      <c r="F141" s="226">
        <v>105</v>
      </c>
      <c r="G141" s="225" t="b">
        <v>0</v>
      </c>
      <c r="H141" s="225" t="b">
        <v>0</v>
      </c>
      <c r="I141" s="225" t="b">
        <v>0</v>
      </c>
      <c r="K141" s="233">
        <v>105</v>
      </c>
    </row>
    <row r="142" spans="6:14" x14ac:dyDescent="0.2">
      <c r="F142" s="226">
        <v>106</v>
      </c>
      <c r="G142" s="225" t="b">
        <v>0</v>
      </c>
      <c r="H142" s="225" t="b">
        <v>0</v>
      </c>
      <c r="I142" s="225" t="b">
        <v>0</v>
      </c>
      <c r="K142" s="233">
        <v>106</v>
      </c>
    </row>
    <row r="143" spans="6:14" x14ac:dyDescent="0.2">
      <c r="F143" s="226">
        <v>107</v>
      </c>
      <c r="G143" s="225" t="b">
        <v>0</v>
      </c>
      <c r="H143" s="225" t="b">
        <v>0</v>
      </c>
      <c r="I143" s="225" t="b">
        <v>0</v>
      </c>
      <c r="K143" s="233">
        <v>107</v>
      </c>
    </row>
    <row r="144" spans="6:14" x14ac:dyDescent="0.2">
      <c r="F144" s="226">
        <v>108</v>
      </c>
      <c r="G144" s="225" t="b">
        <v>0</v>
      </c>
      <c r="H144" s="225" t="b">
        <v>0</v>
      </c>
      <c r="I144" s="225" t="b">
        <v>0</v>
      </c>
      <c r="K144" s="233">
        <v>108</v>
      </c>
    </row>
    <row r="145" spans="6:11" x14ac:dyDescent="0.2">
      <c r="F145" s="226">
        <v>109</v>
      </c>
      <c r="G145" s="225" t="b">
        <v>0</v>
      </c>
      <c r="H145" s="225" t="b">
        <v>0</v>
      </c>
      <c r="I145" s="225" t="b">
        <v>0</v>
      </c>
      <c r="K145" s="233">
        <v>109</v>
      </c>
    </row>
    <row r="146" spans="6:11" x14ac:dyDescent="0.2">
      <c r="F146" s="226">
        <v>110</v>
      </c>
      <c r="G146" s="225" t="b">
        <v>0</v>
      </c>
      <c r="H146" s="225" t="b">
        <v>0</v>
      </c>
      <c r="I146" s="225" t="b">
        <v>0</v>
      </c>
      <c r="K146" s="233">
        <v>110</v>
      </c>
    </row>
    <row r="147" spans="6:11" x14ac:dyDescent="0.2">
      <c r="F147" s="226">
        <v>111</v>
      </c>
      <c r="G147" s="225" t="b">
        <v>0</v>
      </c>
      <c r="H147" s="225" t="b">
        <v>0</v>
      </c>
      <c r="I147" s="225" t="b">
        <v>0</v>
      </c>
      <c r="K147" s="233">
        <v>111</v>
      </c>
    </row>
    <row r="148" spans="6:11" x14ac:dyDescent="0.2">
      <c r="F148" s="226">
        <v>112</v>
      </c>
      <c r="G148" s="225" t="b">
        <v>0</v>
      </c>
      <c r="H148" s="225" t="b">
        <v>0</v>
      </c>
      <c r="I148" s="225" t="b">
        <v>0</v>
      </c>
      <c r="K148" s="233">
        <v>112</v>
      </c>
    </row>
    <row r="149" spans="6:11" x14ac:dyDescent="0.2">
      <c r="F149" s="226">
        <v>113</v>
      </c>
      <c r="G149" s="225" t="b">
        <v>0</v>
      </c>
      <c r="H149" s="225" t="b">
        <v>0</v>
      </c>
      <c r="I149" s="225" t="b">
        <v>0</v>
      </c>
      <c r="K149" s="233">
        <v>113</v>
      </c>
    </row>
    <row r="150" spans="6:11" x14ac:dyDescent="0.2">
      <c r="F150" s="226">
        <v>114</v>
      </c>
      <c r="G150" s="225" t="b">
        <v>0</v>
      </c>
      <c r="H150" s="225" t="b">
        <v>0</v>
      </c>
      <c r="I150" s="225" t="b">
        <v>0</v>
      </c>
      <c r="K150" s="233">
        <v>114</v>
      </c>
    </row>
    <row r="151" spans="6:11" x14ac:dyDescent="0.2">
      <c r="F151" s="226">
        <v>115</v>
      </c>
      <c r="G151" s="225" t="b">
        <v>0</v>
      </c>
      <c r="H151" s="225" t="b">
        <v>0</v>
      </c>
      <c r="I151" s="225" t="b">
        <v>0</v>
      </c>
      <c r="K151" s="233">
        <v>115</v>
      </c>
    </row>
    <row r="152" spans="6:11" x14ac:dyDescent="0.2">
      <c r="F152" s="226">
        <v>116</v>
      </c>
      <c r="G152" s="225" t="b">
        <v>0</v>
      </c>
      <c r="H152" s="225" t="b">
        <v>0</v>
      </c>
      <c r="I152" s="225" t="b">
        <v>0</v>
      </c>
      <c r="K152" s="233">
        <v>116</v>
      </c>
    </row>
    <row r="153" spans="6:11" x14ac:dyDescent="0.2">
      <c r="F153" s="226">
        <v>117</v>
      </c>
      <c r="G153" s="225" t="b">
        <v>0</v>
      </c>
      <c r="H153" s="225" t="b">
        <v>0</v>
      </c>
      <c r="I153" s="225" t="b">
        <v>0</v>
      </c>
      <c r="K153" s="233">
        <v>117</v>
      </c>
    </row>
    <row r="154" spans="6:11" x14ac:dyDescent="0.2">
      <c r="F154" s="226">
        <v>118</v>
      </c>
      <c r="G154" s="225" t="b">
        <v>0</v>
      </c>
      <c r="H154" s="225" t="b">
        <v>0</v>
      </c>
      <c r="I154" s="225" t="b">
        <v>0</v>
      </c>
      <c r="K154" s="233">
        <v>118</v>
      </c>
    </row>
    <row r="155" spans="6:11" x14ac:dyDescent="0.2">
      <c r="F155" s="226">
        <v>119</v>
      </c>
      <c r="G155" s="225" t="b">
        <v>0</v>
      </c>
      <c r="H155" s="225" t="b">
        <v>0</v>
      </c>
      <c r="I155" s="225" t="b">
        <v>0</v>
      </c>
      <c r="K155" s="233">
        <v>119</v>
      </c>
    </row>
    <row r="156" spans="6:11" x14ac:dyDescent="0.2">
      <c r="F156" s="226">
        <v>120</v>
      </c>
      <c r="G156" s="225" t="b">
        <v>0</v>
      </c>
      <c r="H156" s="225" t="b">
        <v>0</v>
      </c>
      <c r="I156" s="225" t="b">
        <v>0</v>
      </c>
      <c r="K156" s="233">
        <v>120</v>
      </c>
    </row>
    <row r="157" spans="6:11" x14ac:dyDescent="0.2">
      <c r="F157" s="226">
        <v>121</v>
      </c>
      <c r="G157" s="225" t="b">
        <v>0</v>
      </c>
      <c r="H157" s="225" t="b">
        <v>0</v>
      </c>
      <c r="I157" s="225" t="b">
        <v>0</v>
      </c>
      <c r="K157" s="233">
        <v>121</v>
      </c>
    </row>
    <row r="158" spans="6:11" x14ac:dyDescent="0.2">
      <c r="F158" s="226">
        <v>122</v>
      </c>
      <c r="G158" s="225" t="b">
        <v>0</v>
      </c>
      <c r="H158" s="225" t="b">
        <v>0</v>
      </c>
      <c r="I158" s="225" t="b">
        <v>0</v>
      </c>
      <c r="K158" s="233">
        <v>122</v>
      </c>
    </row>
    <row r="159" spans="6:11" x14ac:dyDescent="0.2">
      <c r="F159" s="226">
        <v>123</v>
      </c>
      <c r="G159" s="225" t="b">
        <v>0</v>
      </c>
      <c r="H159" s="225" t="b">
        <v>0</v>
      </c>
      <c r="I159" s="225" t="b">
        <v>0</v>
      </c>
      <c r="K159" s="233">
        <v>123</v>
      </c>
    </row>
    <row r="160" spans="6:11" x14ac:dyDescent="0.2">
      <c r="F160" s="226">
        <v>124</v>
      </c>
      <c r="G160" s="225" t="b">
        <v>0</v>
      </c>
      <c r="H160" s="225" t="b">
        <v>0</v>
      </c>
      <c r="I160" s="225" t="b">
        <v>0</v>
      </c>
      <c r="K160" s="233">
        <v>124</v>
      </c>
    </row>
    <row r="161" spans="6:11" x14ac:dyDescent="0.2">
      <c r="F161" s="226">
        <v>125</v>
      </c>
      <c r="G161" s="225" t="b">
        <v>0</v>
      </c>
      <c r="H161" s="225" t="b">
        <v>0</v>
      </c>
      <c r="I161" s="225" t="b">
        <v>0</v>
      </c>
      <c r="K161" s="233">
        <v>125</v>
      </c>
    </row>
    <row r="162" spans="6:11" x14ac:dyDescent="0.2">
      <c r="F162" s="226">
        <v>126</v>
      </c>
      <c r="G162" s="225" t="b">
        <v>0</v>
      </c>
      <c r="H162" s="225" t="b">
        <v>0</v>
      </c>
      <c r="I162" s="225" t="b">
        <v>0</v>
      </c>
      <c r="K162" s="233">
        <v>126</v>
      </c>
    </row>
    <row r="163" spans="6:11" x14ac:dyDescent="0.2">
      <c r="F163" s="226">
        <v>127</v>
      </c>
      <c r="G163" s="225" t="b">
        <v>0</v>
      </c>
      <c r="H163" s="225" t="b">
        <v>0</v>
      </c>
      <c r="I163" s="225" t="b">
        <v>0</v>
      </c>
      <c r="K163" s="233">
        <v>127</v>
      </c>
    </row>
    <row r="164" spans="6:11" x14ac:dyDescent="0.2">
      <c r="F164" s="226">
        <v>128</v>
      </c>
      <c r="G164" s="225" t="b">
        <v>0</v>
      </c>
      <c r="H164" s="225" t="b">
        <v>0</v>
      </c>
      <c r="I164" s="225" t="b">
        <v>0</v>
      </c>
      <c r="K164" s="233">
        <v>128</v>
      </c>
    </row>
    <row r="165" spans="6:11" x14ac:dyDescent="0.2">
      <c r="F165" s="226">
        <v>129</v>
      </c>
      <c r="G165" s="225" t="b">
        <v>0</v>
      </c>
      <c r="H165" s="225" t="b">
        <v>0</v>
      </c>
      <c r="I165" s="225" t="b">
        <v>0</v>
      </c>
      <c r="K165" s="233">
        <v>129</v>
      </c>
    </row>
    <row r="166" spans="6:11" x14ac:dyDescent="0.2">
      <c r="F166" s="226">
        <v>130</v>
      </c>
      <c r="G166" s="225" t="b">
        <v>0</v>
      </c>
      <c r="H166" s="225" t="b">
        <v>0</v>
      </c>
      <c r="I166" s="225" t="b">
        <v>0</v>
      </c>
      <c r="K166" s="233">
        <v>130</v>
      </c>
    </row>
    <row r="167" spans="6:11" x14ac:dyDescent="0.2">
      <c r="F167" s="226">
        <v>131</v>
      </c>
      <c r="G167" s="225" t="b">
        <v>0</v>
      </c>
      <c r="H167" s="225" t="b">
        <v>0</v>
      </c>
      <c r="I167" s="225" t="b">
        <v>0</v>
      </c>
      <c r="K167" s="233">
        <v>131</v>
      </c>
    </row>
    <row r="168" spans="6:11" x14ac:dyDescent="0.2">
      <c r="F168" s="226">
        <v>132</v>
      </c>
      <c r="G168" s="225" t="b">
        <v>0</v>
      </c>
      <c r="H168" s="225" t="b">
        <v>0</v>
      </c>
      <c r="I168" s="225" t="b">
        <v>0</v>
      </c>
      <c r="K168" s="233">
        <v>132</v>
      </c>
    </row>
    <row r="169" spans="6:11" x14ac:dyDescent="0.2">
      <c r="F169" s="226">
        <v>133</v>
      </c>
      <c r="G169" s="225" t="b">
        <v>0</v>
      </c>
      <c r="H169" s="225" t="b">
        <v>0</v>
      </c>
      <c r="I169" s="225" t="b">
        <v>0</v>
      </c>
      <c r="K169" s="233">
        <v>133</v>
      </c>
    </row>
    <row r="170" spans="6:11" x14ac:dyDescent="0.2">
      <c r="F170" s="226">
        <v>134</v>
      </c>
      <c r="G170" s="225" t="b">
        <v>0</v>
      </c>
      <c r="H170" s="225" t="b">
        <v>0</v>
      </c>
      <c r="I170" s="225" t="b">
        <v>0</v>
      </c>
      <c r="K170" s="233">
        <v>134</v>
      </c>
    </row>
    <row r="171" spans="6:11" x14ac:dyDescent="0.2">
      <c r="F171" s="226">
        <v>135</v>
      </c>
      <c r="G171" s="225" t="b">
        <v>0</v>
      </c>
      <c r="H171" s="225" t="b">
        <v>0</v>
      </c>
      <c r="I171" s="225" t="b">
        <v>0</v>
      </c>
      <c r="K171" s="233">
        <v>135</v>
      </c>
    </row>
    <row r="172" spans="6:11" x14ac:dyDescent="0.2">
      <c r="F172" s="226">
        <v>136</v>
      </c>
      <c r="G172" s="225" t="b">
        <v>0</v>
      </c>
      <c r="H172" s="225" t="b">
        <v>0</v>
      </c>
      <c r="I172" s="225" t="b">
        <v>0</v>
      </c>
      <c r="K172" s="233">
        <v>136</v>
      </c>
    </row>
    <row r="173" spans="6:11" x14ac:dyDescent="0.2">
      <c r="F173" s="226">
        <v>137</v>
      </c>
      <c r="G173" s="225" t="b">
        <v>0</v>
      </c>
      <c r="H173" s="225" t="b">
        <v>0</v>
      </c>
      <c r="I173" s="225" t="b">
        <v>0</v>
      </c>
      <c r="K173" s="233">
        <v>137</v>
      </c>
    </row>
    <row r="174" spans="6:11" x14ac:dyDescent="0.2">
      <c r="F174" s="226">
        <v>138</v>
      </c>
      <c r="G174" s="225" t="b">
        <v>0</v>
      </c>
      <c r="H174" s="225" t="b">
        <v>0</v>
      </c>
      <c r="I174" s="225" t="b">
        <v>0</v>
      </c>
      <c r="K174" s="233">
        <v>138</v>
      </c>
    </row>
    <row r="175" spans="6:11" x14ac:dyDescent="0.2">
      <c r="F175" s="226">
        <v>139</v>
      </c>
      <c r="G175" s="225" t="b">
        <v>0</v>
      </c>
      <c r="H175" s="225" t="b">
        <v>0</v>
      </c>
      <c r="I175" s="225" t="b">
        <v>0</v>
      </c>
      <c r="K175" s="233">
        <v>139</v>
      </c>
    </row>
    <row r="176" spans="6:11" x14ac:dyDescent="0.2">
      <c r="F176" s="226">
        <v>140</v>
      </c>
      <c r="G176" s="225" t="b">
        <v>0</v>
      </c>
      <c r="H176" s="225" t="b">
        <v>0</v>
      </c>
      <c r="I176" s="225" t="b">
        <v>0</v>
      </c>
      <c r="K176" s="233">
        <v>140</v>
      </c>
    </row>
    <row r="177" spans="6:11" x14ac:dyDescent="0.2">
      <c r="F177" s="226">
        <v>141</v>
      </c>
      <c r="G177" s="225" t="b">
        <v>0</v>
      </c>
      <c r="H177" s="225" t="b">
        <v>0</v>
      </c>
      <c r="I177" s="225" t="b">
        <v>0</v>
      </c>
      <c r="K177" s="233">
        <v>141</v>
      </c>
    </row>
    <row r="178" spans="6:11" x14ac:dyDescent="0.2">
      <c r="F178" s="226">
        <v>142</v>
      </c>
      <c r="G178" s="225" t="b">
        <v>0</v>
      </c>
      <c r="H178" s="225" t="b">
        <v>0</v>
      </c>
      <c r="I178" s="225" t="b">
        <v>0</v>
      </c>
      <c r="K178" s="233">
        <v>142</v>
      </c>
    </row>
    <row r="179" spans="6:11" x14ac:dyDescent="0.2">
      <c r="F179" s="226">
        <v>143</v>
      </c>
      <c r="G179" s="225" t="b">
        <v>0</v>
      </c>
      <c r="H179" s="225" t="b">
        <v>0</v>
      </c>
      <c r="I179" s="225" t="b">
        <v>0</v>
      </c>
      <c r="K179" s="233">
        <v>143</v>
      </c>
    </row>
    <row r="180" spans="6:11" x14ac:dyDescent="0.2">
      <c r="F180" s="226">
        <v>144</v>
      </c>
      <c r="G180" s="225" t="b">
        <v>0</v>
      </c>
      <c r="H180" s="225" t="b">
        <v>0</v>
      </c>
      <c r="I180" s="225" t="b">
        <v>0</v>
      </c>
      <c r="K180" s="233">
        <v>144</v>
      </c>
    </row>
    <row r="181" spans="6:11" x14ac:dyDescent="0.2">
      <c r="F181" s="226">
        <v>145</v>
      </c>
      <c r="G181" s="225" t="b">
        <v>0</v>
      </c>
      <c r="H181" s="225" t="b">
        <v>0</v>
      </c>
      <c r="I181" s="225" t="b">
        <v>0</v>
      </c>
      <c r="K181" s="233">
        <v>145</v>
      </c>
    </row>
    <row r="182" spans="6:11" x14ac:dyDescent="0.2">
      <c r="F182" s="226">
        <v>146</v>
      </c>
      <c r="G182" s="225" t="b">
        <v>0</v>
      </c>
      <c r="H182" s="225" t="b">
        <v>0</v>
      </c>
      <c r="I182" s="225" t="b">
        <v>0</v>
      </c>
      <c r="K182" s="233">
        <v>146</v>
      </c>
    </row>
    <row r="183" spans="6:11" x14ac:dyDescent="0.2">
      <c r="F183" s="226">
        <v>147</v>
      </c>
      <c r="G183" s="225" t="b">
        <v>0</v>
      </c>
      <c r="H183" s="225" t="b">
        <v>0</v>
      </c>
      <c r="I183" s="225" t="b">
        <v>0</v>
      </c>
      <c r="K183" s="233">
        <v>147</v>
      </c>
    </row>
    <row r="184" spans="6:11" x14ac:dyDescent="0.2">
      <c r="F184" s="226">
        <v>148</v>
      </c>
      <c r="G184" s="225" t="b">
        <v>0</v>
      </c>
      <c r="H184" s="225" t="b">
        <v>0</v>
      </c>
      <c r="I184" s="225" t="b">
        <v>0</v>
      </c>
      <c r="K184" s="233">
        <v>148</v>
      </c>
    </row>
    <row r="185" spans="6:11" x14ac:dyDescent="0.2">
      <c r="F185" s="226">
        <v>149</v>
      </c>
      <c r="G185" s="225" t="b">
        <v>0</v>
      </c>
      <c r="H185" s="225" t="b">
        <v>0</v>
      </c>
      <c r="I185" s="225" t="b">
        <v>0</v>
      </c>
      <c r="K185" s="233">
        <v>149</v>
      </c>
    </row>
    <row r="186" spans="6:11" x14ac:dyDescent="0.2">
      <c r="F186" s="226">
        <v>150</v>
      </c>
      <c r="G186" s="225" t="b">
        <v>0</v>
      </c>
      <c r="H186" s="225" t="b">
        <v>0</v>
      </c>
      <c r="I186" s="225" t="b">
        <v>0</v>
      </c>
      <c r="K186" s="233">
        <v>150</v>
      </c>
    </row>
    <row r="187" spans="6:11" x14ac:dyDescent="0.2">
      <c r="F187" s="226">
        <v>151</v>
      </c>
      <c r="G187" s="225" t="b">
        <v>0</v>
      </c>
      <c r="H187" s="225" t="b">
        <v>0</v>
      </c>
      <c r="I187" s="225" t="b">
        <v>0</v>
      </c>
      <c r="K187" s="233">
        <v>151</v>
      </c>
    </row>
    <row r="188" spans="6:11" x14ac:dyDescent="0.2">
      <c r="F188" s="226">
        <v>152</v>
      </c>
      <c r="G188" s="225" t="b">
        <v>0</v>
      </c>
      <c r="H188" s="225" t="b">
        <v>0</v>
      </c>
      <c r="I188" s="225" t="b">
        <v>0</v>
      </c>
      <c r="K188" s="233">
        <v>152</v>
      </c>
    </row>
    <row r="189" spans="6:11" x14ac:dyDescent="0.2">
      <c r="F189" s="226">
        <v>153</v>
      </c>
      <c r="G189" s="225" t="b">
        <v>0</v>
      </c>
      <c r="H189" s="225" t="b">
        <v>0</v>
      </c>
      <c r="I189" s="225" t="b">
        <v>0</v>
      </c>
      <c r="K189" s="233">
        <v>153</v>
      </c>
    </row>
    <row r="190" spans="6:11" x14ac:dyDescent="0.2">
      <c r="F190" s="226">
        <v>154</v>
      </c>
      <c r="G190" s="225" t="b">
        <v>0</v>
      </c>
      <c r="H190" s="225" t="b">
        <v>0</v>
      </c>
      <c r="I190" s="225" t="b">
        <v>0</v>
      </c>
      <c r="K190" s="233">
        <v>154</v>
      </c>
    </row>
    <row r="191" spans="6:11" x14ac:dyDescent="0.2">
      <c r="F191" s="226">
        <v>155</v>
      </c>
      <c r="G191" s="225" t="b">
        <v>0</v>
      </c>
      <c r="H191" s="225" t="b">
        <v>0</v>
      </c>
      <c r="I191" s="225" t="b">
        <v>0</v>
      </c>
      <c r="K191" s="233">
        <v>155</v>
      </c>
    </row>
    <row r="192" spans="6:11" x14ac:dyDescent="0.2">
      <c r="F192" s="226">
        <v>156</v>
      </c>
      <c r="G192" s="225" t="b">
        <v>0</v>
      </c>
      <c r="H192" s="225" t="b">
        <v>0</v>
      </c>
      <c r="I192" s="225" t="b">
        <v>0</v>
      </c>
      <c r="K192" s="233">
        <v>156</v>
      </c>
    </row>
    <row r="193" spans="6:11" x14ac:dyDescent="0.2">
      <c r="F193" s="226">
        <v>157</v>
      </c>
      <c r="G193" s="225" t="b">
        <v>0</v>
      </c>
      <c r="H193" s="225" t="b">
        <v>0</v>
      </c>
      <c r="I193" s="225" t="b">
        <v>0</v>
      </c>
      <c r="K193" s="233">
        <v>157</v>
      </c>
    </row>
    <row r="194" spans="6:11" x14ac:dyDescent="0.2">
      <c r="F194" s="226">
        <v>158</v>
      </c>
      <c r="G194" s="225" t="b">
        <v>0</v>
      </c>
      <c r="H194" s="225" t="b">
        <v>0</v>
      </c>
      <c r="I194" s="225" t="b">
        <v>0</v>
      </c>
      <c r="K194" s="233">
        <v>158</v>
      </c>
    </row>
    <row r="195" spans="6:11" x14ac:dyDescent="0.2">
      <c r="F195" s="226">
        <v>159</v>
      </c>
      <c r="G195" s="225" t="b">
        <v>0</v>
      </c>
      <c r="H195" s="225" t="b">
        <v>0</v>
      </c>
      <c r="I195" s="225" t="b">
        <v>0</v>
      </c>
      <c r="K195" s="233">
        <v>159</v>
      </c>
    </row>
    <row r="196" spans="6:11" x14ac:dyDescent="0.2">
      <c r="F196" s="226">
        <v>160</v>
      </c>
      <c r="G196" s="225" t="b">
        <v>0</v>
      </c>
      <c r="H196" s="225" t="b">
        <v>0</v>
      </c>
      <c r="I196" s="225" t="b">
        <v>0</v>
      </c>
      <c r="K196" s="233">
        <v>160</v>
      </c>
    </row>
    <row r="197" spans="6:11" x14ac:dyDescent="0.2">
      <c r="F197" s="226">
        <v>161</v>
      </c>
      <c r="G197" s="225" t="b">
        <v>0</v>
      </c>
      <c r="H197" s="225" t="b">
        <v>0</v>
      </c>
      <c r="I197" s="225" t="b">
        <v>0</v>
      </c>
      <c r="K197" s="233">
        <v>161</v>
      </c>
    </row>
    <row r="198" spans="6:11" x14ac:dyDescent="0.2">
      <c r="F198" s="226">
        <v>162</v>
      </c>
      <c r="G198" s="225" t="b">
        <v>0</v>
      </c>
      <c r="H198" s="225" t="b">
        <v>0</v>
      </c>
      <c r="I198" s="225" t="b">
        <v>0</v>
      </c>
      <c r="K198" s="233">
        <v>162</v>
      </c>
    </row>
    <row r="199" spans="6:11" x14ac:dyDescent="0.2">
      <c r="F199" s="226">
        <v>163</v>
      </c>
      <c r="G199" s="225" t="b">
        <v>0</v>
      </c>
      <c r="H199" s="225" t="b">
        <v>0</v>
      </c>
      <c r="I199" s="225" t="b">
        <v>0</v>
      </c>
      <c r="K199" s="233">
        <v>163</v>
      </c>
    </row>
    <row r="200" spans="6:11" x14ac:dyDescent="0.2">
      <c r="F200" s="226">
        <v>164</v>
      </c>
      <c r="G200" s="225" t="b">
        <v>0</v>
      </c>
      <c r="H200" s="225" t="b">
        <v>0</v>
      </c>
      <c r="I200" s="225" t="b">
        <v>0</v>
      </c>
      <c r="K200" s="233">
        <v>164</v>
      </c>
    </row>
    <row r="201" spans="6:11" x14ac:dyDescent="0.2">
      <c r="F201" s="226">
        <v>165</v>
      </c>
      <c r="G201" s="225" t="b">
        <v>0</v>
      </c>
      <c r="H201" s="225" t="b">
        <v>0</v>
      </c>
      <c r="I201" s="225" t="b">
        <v>0</v>
      </c>
      <c r="K201" s="233">
        <v>165</v>
      </c>
    </row>
    <row r="202" spans="6:11" x14ac:dyDescent="0.2">
      <c r="F202" s="226">
        <v>166</v>
      </c>
      <c r="G202" s="225" t="b">
        <v>0</v>
      </c>
      <c r="H202" s="225" t="b">
        <v>0</v>
      </c>
      <c r="I202" s="225" t="b">
        <v>0</v>
      </c>
      <c r="K202" s="233">
        <v>166</v>
      </c>
    </row>
    <row r="203" spans="6:11" x14ac:dyDescent="0.2">
      <c r="F203" s="226">
        <v>167</v>
      </c>
      <c r="G203" s="225" t="b">
        <v>0</v>
      </c>
      <c r="H203" s="225" t="b">
        <v>0</v>
      </c>
      <c r="I203" s="225" t="b">
        <v>0</v>
      </c>
      <c r="K203" s="233">
        <v>167</v>
      </c>
    </row>
    <row r="204" spans="6:11" x14ac:dyDescent="0.2">
      <c r="F204" s="226">
        <v>168</v>
      </c>
      <c r="G204" s="225" t="b">
        <v>0</v>
      </c>
      <c r="H204" s="225" t="b">
        <v>0</v>
      </c>
      <c r="I204" s="225" t="b">
        <v>0</v>
      </c>
      <c r="K204" s="233">
        <v>168</v>
      </c>
    </row>
    <row r="205" spans="6:11" x14ac:dyDescent="0.2">
      <c r="F205" s="226">
        <v>169</v>
      </c>
      <c r="G205" s="225" t="b">
        <v>0</v>
      </c>
      <c r="H205" s="225" t="b">
        <v>0</v>
      </c>
      <c r="I205" s="225" t="b">
        <v>0</v>
      </c>
      <c r="K205" s="233">
        <v>169</v>
      </c>
    </row>
    <row r="206" spans="6:11" x14ac:dyDescent="0.2">
      <c r="F206" s="226">
        <v>170</v>
      </c>
      <c r="G206" s="225" t="b">
        <v>0</v>
      </c>
      <c r="H206" s="225" t="b">
        <v>0</v>
      </c>
      <c r="I206" s="225" t="b">
        <v>0</v>
      </c>
      <c r="K206" s="233">
        <v>170</v>
      </c>
    </row>
    <row r="207" spans="6:11" x14ac:dyDescent="0.2">
      <c r="F207" s="226">
        <v>171</v>
      </c>
      <c r="G207" s="225" t="b">
        <v>0</v>
      </c>
      <c r="H207" s="225" t="b">
        <v>0</v>
      </c>
      <c r="I207" s="225" t="b">
        <v>0</v>
      </c>
      <c r="K207" s="233">
        <v>171</v>
      </c>
    </row>
    <row r="208" spans="6:11" x14ac:dyDescent="0.2">
      <c r="F208" s="226">
        <v>172</v>
      </c>
      <c r="G208" s="225" t="b">
        <v>0</v>
      </c>
      <c r="H208" s="225" t="b">
        <v>0</v>
      </c>
      <c r="I208" s="225" t="b">
        <v>0</v>
      </c>
      <c r="K208" s="233">
        <v>172</v>
      </c>
    </row>
    <row r="209" spans="6:11" x14ac:dyDescent="0.2">
      <c r="F209" s="226">
        <v>173</v>
      </c>
      <c r="G209" s="225" t="b">
        <v>0</v>
      </c>
      <c r="H209" s="225" t="b">
        <v>0</v>
      </c>
      <c r="I209" s="225" t="b">
        <v>0</v>
      </c>
      <c r="K209" s="233">
        <v>173</v>
      </c>
    </row>
    <row r="210" spans="6:11" x14ac:dyDescent="0.2">
      <c r="F210" s="226">
        <v>174</v>
      </c>
      <c r="G210" s="225" t="b">
        <v>0</v>
      </c>
      <c r="H210" s="225" t="b">
        <v>0</v>
      </c>
      <c r="I210" s="225" t="b">
        <v>0</v>
      </c>
      <c r="K210" s="233">
        <v>174</v>
      </c>
    </row>
    <row r="211" spans="6:11" x14ac:dyDescent="0.2">
      <c r="F211" s="226">
        <v>175</v>
      </c>
      <c r="G211" s="225" t="b">
        <v>0</v>
      </c>
      <c r="H211" s="225" t="b">
        <v>0</v>
      </c>
      <c r="I211" s="225" t="b">
        <v>0</v>
      </c>
      <c r="K211" s="233">
        <v>175</v>
      </c>
    </row>
    <row r="212" spans="6:11" x14ac:dyDescent="0.2">
      <c r="F212" s="226">
        <v>176</v>
      </c>
      <c r="G212" s="225" t="b">
        <v>0</v>
      </c>
      <c r="H212" s="225" t="b">
        <v>0</v>
      </c>
      <c r="I212" s="225" t="b">
        <v>0</v>
      </c>
      <c r="K212" s="233">
        <v>176</v>
      </c>
    </row>
    <row r="213" spans="6:11" x14ac:dyDescent="0.2">
      <c r="F213" s="226">
        <v>177</v>
      </c>
      <c r="G213" s="225" t="b">
        <v>0</v>
      </c>
      <c r="H213" s="225" t="b">
        <v>0</v>
      </c>
      <c r="I213" s="225" t="b">
        <v>0</v>
      </c>
      <c r="K213" s="233">
        <v>177</v>
      </c>
    </row>
    <row r="214" spans="6:11" x14ac:dyDescent="0.2">
      <c r="F214" s="226">
        <v>178</v>
      </c>
      <c r="G214" s="225" t="b">
        <v>0</v>
      </c>
      <c r="H214" s="225" t="b">
        <v>0</v>
      </c>
      <c r="I214" s="225" t="b">
        <v>0</v>
      </c>
      <c r="K214" s="233">
        <v>178</v>
      </c>
    </row>
    <row r="215" spans="6:11" x14ac:dyDescent="0.2">
      <c r="F215" s="226">
        <v>179</v>
      </c>
      <c r="G215" s="225" t="b">
        <v>0</v>
      </c>
      <c r="H215" s="225" t="b">
        <v>0</v>
      </c>
      <c r="I215" s="225" t="b">
        <v>0</v>
      </c>
      <c r="K215" s="233">
        <v>179</v>
      </c>
    </row>
    <row r="216" spans="6:11" x14ac:dyDescent="0.2">
      <c r="F216" s="226">
        <v>180</v>
      </c>
      <c r="G216" s="225" t="b">
        <v>0</v>
      </c>
      <c r="H216" s="225" t="b">
        <v>0</v>
      </c>
      <c r="I216" s="225" t="b">
        <v>0</v>
      </c>
      <c r="K216" s="233">
        <v>180</v>
      </c>
    </row>
    <row r="217" spans="6:11" x14ac:dyDescent="0.2">
      <c r="F217" s="226">
        <v>181</v>
      </c>
      <c r="G217" s="225" t="b">
        <v>0</v>
      </c>
      <c r="H217" s="225" t="b">
        <v>0</v>
      </c>
      <c r="I217" s="225" t="b">
        <v>0</v>
      </c>
      <c r="K217" s="233">
        <v>181</v>
      </c>
    </row>
    <row r="218" spans="6:11" x14ac:dyDescent="0.2">
      <c r="F218" s="226">
        <v>182</v>
      </c>
      <c r="G218" s="225" t="b">
        <v>0</v>
      </c>
      <c r="H218" s="225" t="b">
        <v>0</v>
      </c>
      <c r="I218" s="225" t="b">
        <v>0</v>
      </c>
      <c r="K218" s="233">
        <v>182</v>
      </c>
    </row>
    <row r="219" spans="6:11" x14ac:dyDescent="0.2">
      <c r="F219" s="226">
        <v>183</v>
      </c>
      <c r="G219" s="225" t="b">
        <v>0</v>
      </c>
      <c r="H219" s="225" t="b">
        <v>0</v>
      </c>
      <c r="I219" s="225" t="b">
        <v>0</v>
      </c>
      <c r="K219" s="233">
        <v>183</v>
      </c>
    </row>
    <row r="220" spans="6:11" x14ac:dyDescent="0.2">
      <c r="F220" s="226">
        <v>184</v>
      </c>
      <c r="G220" s="225" t="b">
        <v>0</v>
      </c>
      <c r="H220" s="225" t="b">
        <v>0</v>
      </c>
      <c r="I220" s="225" t="b">
        <v>0</v>
      </c>
      <c r="K220" s="233">
        <v>184</v>
      </c>
    </row>
    <row r="221" spans="6:11" x14ac:dyDescent="0.2">
      <c r="F221" s="226">
        <v>185</v>
      </c>
      <c r="G221" s="225" t="b">
        <v>0</v>
      </c>
      <c r="H221" s="225" t="b">
        <v>0</v>
      </c>
      <c r="I221" s="225" t="b">
        <v>0</v>
      </c>
      <c r="K221" s="233">
        <v>185</v>
      </c>
    </row>
    <row r="222" spans="6:11" x14ac:dyDescent="0.2">
      <c r="F222" s="226">
        <v>186</v>
      </c>
      <c r="G222" s="225" t="b">
        <v>0</v>
      </c>
      <c r="H222" s="225" t="b">
        <v>0</v>
      </c>
      <c r="I222" s="225" t="b">
        <v>0</v>
      </c>
      <c r="K222" s="233">
        <v>186</v>
      </c>
    </row>
    <row r="223" spans="6:11" x14ac:dyDescent="0.2">
      <c r="F223" s="226">
        <v>187</v>
      </c>
      <c r="G223" s="225" t="b">
        <v>0</v>
      </c>
      <c r="H223" s="225" t="b">
        <v>0</v>
      </c>
      <c r="I223" s="225" t="b">
        <v>0</v>
      </c>
      <c r="K223" s="233">
        <v>187</v>
      </c>
    </row>
    <row r="224" spans="6:11" x14ac:dyDescent="0.2">
      <c r="F224" s="226">
        <v>188</v>
      </c>
      <c r="G224" s="225" t="b">
        <v>0</v>
      </c>
      <c r="H224" s="225" t="b">
        <v>0</v>
      </c>
      <c r="I224" s="225" t="b">
        <v>0</v>
      </c>
      <c r="K224" s="233">
        <v>188</v>
      </c>
    </row>
    <row r="225" spans="5:15" x14ac:dyDescent="0.2">
      <c r="F225" s="226">
        <v>189</v>
      </c>
      <c r="G225" s="225" t="b">
        <v>0</v>
      </c>
      <c r="H225" s="225" t="b">
        <v>0</v>
      </c>
      <c r="I225" s="225" t="b">
        <v>0</v>
      </c>
      <c r="K225" s="233">
        <v>189</v>
      </c>
    </row>
    <row r="226" spans="5:15" x14ac:dyDescent="0.2">
      <c r="F226" s="226">
        <v>190</v>
      </c>
      <c r="G226" s="225" t="b">
        <v>0</v>
      </c>
      <c r="H226" s="225" t="b">
        <v>0</v>
      </c>
      <c r="I226" s="225" t="b">
        <v>0</v>
      </c>
      <c r="K226" s="233">
        <v>190</v>
      </c>
    </row>
    <row r="227" spans="5:15" x14ac:dyDescent="0.2">
      <c r="F227" s="226">
        <v>191</v>
      </c>
      <c r="G227" s="225" t="b">
        <v>0</v>
      </c>
      <c r="H227" s="225" t="b">
        <v>0</v>
      </c>
      <c r="I227" s="225" t="b">
        <v>0</v>
      </c>
      <c r="K227" s="233">
        <v>191</v>
      </c>
    </row>
    <row r="228" spans="5:15" x14ac:dyDescent="0.2">
      <c r="F228" s="226">
        <v>192</v>
      </c>
      <c r="G228" s="225" t="b">
        <v>0</v>
      </c>
      <c r="H228" s="225" t="b">
        <v>0</v>
      </c>
      <c r="I228" s="225" t="b">
        <v>0</v>
      </c>
      <c r="K228" s="233">
        <v>192</v>
      </c>
    </row>
    <row r="229" spans="5:15" x14ac:dyDescent="0.2">
      <c r="F229" s="226">
        <v>193</v>
      </c>
      <c r="G229" s="225" t="b">
        <v>0</v>
      </c>
      <c r="H229" s="225" t="b">
        <v>0</v>
      </c>
      <c r="I229" s="225" t="b">
        <v>0</v>
      </c>
      <c r="K229" s="233">
        <v>193</v>
      </c>
    </row>
    <row r="230" spans="5:15" x14ac:dyDescent="0.2">
      <c r="F230" s="226">
        <v>194</v>
      </c>
      <c r="G230" s="225" t="b">
        <v>0</v>
      </c>
      <c r="H230" s="225" t="b">
        <v>0</v>
      </c>
      <c r="I230" s="225" t="b">
        <v>0</v>
      </c>
      <c r="K230" s="233">
        <v>194</v>
      </c>
    </row>
    <row r="231" spans="5:15" x14ac:dyDescent="0.2">
      <c r="F231" s="226">
        <v>195</v>
      </c>
      <c r="G231" s="225" t="b">
        <v>0</v>
      </c>
      <c r="H231" s="225" t="b">
        <v>0</v>
      </c>
      <c r="I231" s="225" t="b">
        <v>0</v>
      </c>
      <c r="K231" s="233">
        <v>195</v>
      </c>
    </row>
    <row r="232" spans="5:15" x14ac:dyDescent="0.2">
      <c r="F232" s="226">
        <v>196</v>
      </c>
      <c r="G232" s="225" t="b">
        <v>0</v>
      </c>
      <c r="H232" s="225" t="b">
        <v>0</v>
      </c>
      <c r="I232" s="225" t="b">
        <v>0</v>
      </c>
      <c r="K232" s="233">
        <v>196</v>
      </c>
    </row>
    <row r="233" spans="5:15" x14ac:dyDescent="0.2">
      <c r="F233" s="226">
        <v>197</v>
      </c>
      <c r="G233" s="225" t="b">
        <v>0</v>
      </c>
      <c r="H233" s="225" t="b">
        <v>0</v>
      </c>
      <c r="I233" s="225" t="b">
        <v>0</v>
      </c>
      <c r="K233" s="233">
        <v>197</v>
      </c>
    </row>
    <row r="234" spans="5:15" x14ac:dyDescent="0.2">
      <c r="F234" s="226">
        <v>198</v>
      </c>
      <c r="G234" s="225" t="b">
        <v>0</v>
      </c>
      <c r="H234" s="225" t="b">
        <v>0</v>
      </c>
      <c r="I234" s="225" t="b">
        <v>0</v>
      </c>
      <c r="K234" s="233">
        <v>198</v>
      </c>
    </row>
    <row r="235" spans="5:15" x14ac:dyDescent="0.2">
      <c r="F235" s="226">
        <v>199</v>
      </c>
      <c r="G235" s="225" t="b">
        <v>0</v>
      </c>
      <c r="H235" s="225" t="b">
        <v>0</v>
      </c>
      <c r="I235" s="225" t="b">
        <v>0</v>
      </c>
      <c r="K235" s="233">
        <v>199</v>
      </c>
    </row>
    <row r="236" spans="5:15" x14ac:dyDescent="0.2">
      <c r="F236" s="226">
        <v>200</v>
      </c>
      <c r="G236" s="225" t="b">
        <v>0</v>
      </c>
      <c r="H236" s="225" t="b">
        <v>0</v>
      </c>
      <c r="I236" s="225" t="b">
        <v>0</v>
      </c>
      <c r="K236" s="233">
        <v>200</v>
      </c>
    </row>
    <row r="239" spans="5:15" x14ac:dyDescent="0.2">
      <c r="E239" s="225" t="s">
        <v>113</v>
      </c>
      <c r="F239" s="226">
        <v>1</v>
      </c>
      <c r="G239" s="226" t="b">
        <v>0</v>
      </c>
      <c r="H239" s="226" t="b">
        <v>0</v>
      </c>
      <c r="I239" s="226" t="b">
        <v>0</v>
      </c>
      <c r="K239" s="226">
        <v>1</v>
      </c>
      <c r="L239" s="226">
        <v>1</v>
      </c>
      <c r="M239" s="226">
        <v>1</v>
      </c>
      <c r="N239" s="226">
        <v>1</v>
      </c>
      <c r="O239" s="225" t="s">
        <v>114</v>
      </c>
    </row>
    <row r="240" spans="5:15" x14ac:dyDescent="0.2">
      <c r="F240" s="226">
        <v>2</v>
      </c>
      <c r="G240" s="226" t="b">
        <v>0</v>
      </c>
      <c r="H240" s="226" t="b">
        <v>0</v>
      </c>
      <c r="I240" s="226" t="b">
        <v>0</v>
      </c>
      <c r="K240" s="226">
        <v>2</v>
      </c>
      <c r="L240" s="226">
        <v>1</v>
      </c>
      <c r="M240" s="226">
        <v>1</v>
      </c>
      <c r="N240" s="226">
        <v>1</v>
      </c>
    </row>
    <row r="241" spans="6:14" x14ac:dyDescent="0.2">
      <c r="F241" s="226">
        <v>3</v>
      </c>
      <c r="G241" s="226" t="b">
        <v>0</v>
      </c>
      <c r="H241" s="226" t="b">
        <v>0</v>
      </c>
      <c r="I241" s="226" t="b">
        <v>0</v>
      </c>
      <c r="K241" s="226">
        <v>3</v>
      </c>
      <c r="L241" s="226">
        <v>1</v>
      </c>
      <c r="M241" s="226">
        <v>1</v>
      </c>
      <c r="N241" s="226">
        <v>1</v>
      </c>
    </row>
    <row r="242" spans="6:14" x14ac:dyDescent="0.2">
      <c r="F242" s="226">
        <v>4</v>
      </c>
      <c r="G242" s="226" t="b">
        <v>0</v>
      </c>
      <c r="H242" s="226" t="b">
        <v>0</v>
      </c>
      <c r="I242" s="226" t="b">
        <v>0</v>
      </c>
      <c r="K242" s="226">
        <v>4</v>
      </c>
      <c r="L242" s="226">
        <v>1</v>
      </c>
      <c r="M242" s="226">
        <v>1</v>
      </c>
      <c r="N242" s="226">
        <v>1</v>
      </c>
    </row>
    <row r="243" spans="6:14" x14ac:dyDescent="0.2">
      <c r="F243" s="226">
        <v>5</v>
      </c>
      <c r="G243" s="226" t="b">
        <v>0</v>
      </c>
      <c r="H243" s="226" t="b">
        <v>0</v>
      </c>
      <c r="I243" s="226" t="b">
        <v>0</v>
      </c>
      <c r="K243" s="226">
        <v>5</v>
      </c>
      <c r="L243" s="226">
        <v>1</v>
      </c>
      <c r="M243" s="226">
        <v>1</v>
      </c>
      <c r="N243" s="226">
        <v>1</v>
      </c>
    </row>
    <row r="244" spans="6:14" x14ac:dyDescent="0.2">
      <c r="F244" s="226">
        <v>6</v>
      </c>
      <c r="G244" s="226" t="b">
        <v>0</v>
      </c>
      <c r="H244" s="226" t="b">
        <v>0</v>
      </c>
      <c r="I244" s="226" t="b">
        <v>0</v>
      </c>
      <c r="K244" s="226">
        <v>6</v>
      </c>
      <c r="L244" s="226">
        <v>1</v>
      </c>
      <c r="M244" s="226">
        <v>1</v>
      </c>
      <c r="N244" s="226">
        <v>1</v>
      </c>
    </row>
    <row r="245" spans="6:14" x14ac:dyDescent="0.2">
      <c r="F245" s="226">
        <v>7</v>
      </c>
      <c r="G245" s="226" t="b">
        <v>0</v>
      </c>
      <c r="H245" s="226" t="b">
        <v>0</v>
      </c>
      <c r="I245" s="226" t="b">
        <v>0</v>
      </c>
      <c r="K245" s="226">
        <v>7</v>
      </c>
      <c r="L245" s="226">
        <v>1</v>
      </c>
      <c r="M245" s="226">
        <v>1</v>
      </c>
      <c r="N245" s="226">
        <v>1</v>
      </c>
    </row>
    <row r="246" spans="6:14" x14ac:dyDescent="0.2">
      <c r="F246" s="226">
        <v>8</v>
      </c>
      <c r="G246" s="226" t="b">
        <v>0</v>
      </c>
      <c r="H246" s="226" t="b">
        <v>0</v>
      </c>
      <c r="I246" s="226" t="b">
        <v>0</v>
      </c>
      <c r="K246" s="226">
        <v>8</v>
      </c>
      <c r="L246" s="226">
        <v>1</v>
      </c>
      <c r="M246" s="226">
        <v>1</v>
      </c>
      <c r="N246" s="226">
        <v>1</v>
      </c>
    </row>
    <row r="247" spans="6:14" x14ac:dyDescent="0.2">
      <c r="F247" s="226">
        <v>9</v>
      </c>
      <c r="G247" s="226" t="b">
        <v>0</v>
      </c>
      <c r="H247" s="226" t="b">
        <v>0</v>
      </c>
      <c r="I247" s="226" t="b">
        <v>0</v>
      </c>
      <c r="K247" s="226">
        <v>9</v>
      </c>
      <c r="L247" s="226">
        <v>1</v>
      </c>
      <c r="M247" s="226">
        <v>1</v>
      </c>
      <c r="N247" s="226">
        <v>1</v>
      </c>
    </row>
    <row r="248" spans="6:14" x14ac:dyDescent="0.2">
      <c r="F248" s="226">
        <v>10</v>
      </c>
      <c r="G248" s="226" t="b">
        <v>0</v>
      </c>
      <c r="H248" s="226" t="b">
        <v>0</v>
      </c>
      <c r="I248" s="226" t="b">
        <v>0</v>
      </c>
      <c r="K248" s="226">
        <v>10</v>
      </c>
      <c r="L248" s="226">
        <v>1</v>
      </c>
      <c r="M248" s="226">
        <v>1</v>
      </c>
      <c r="N248" s="226">
        <v>1</v>
      </c>
    </row>
    <row r="249" spans="6:14" x14ac:dyDescent="0.2">
      <c r="F249" s="226">
        <v>11</v>
      </c>
      <c r="G249" s="226" t="b">
        <v>0</v>
      </c>
      <c r="H249" s="226" t="b">
        <v>0</v>
      </c>
      <c r="I249" s="226" t="b">
        <v>0</v>
      </c>
      <c r="K249" s="226">
        <v>11</v>
      </c>
      <c r="L249" s="226">
        <v>1</v>
      </c>
      <c r="M249" s="226">
        <v>1</v>
      </c>
      <c r="N249" s="226">
        <v>1</v>
      </c>
    </row>
    <row r="250" spans="6:14" x14ac:dyDescent="0.2">
      <c r="F250" s="226">
        <v>12</v>
      </c>
      <c r="G250" s="226" t="b">
        <v>0</v>
      </c>
      <c r="H250" s="226" t="b">
        <v>0</v>
      </c>
      <c r="I250" s="226" t="b">
        <v>0</v>
      </c>
      <c r="K250" s="226">
        <v>12</v>
      </c>
      <c r="L250" s="226">
        <v>1</v>
      </c>
      <c r="M250" s="226">
        <v>1</v>
      </c>
      <c r="N250" s="226">
        <v>1</v>
      </c>
    </row>
    <row r="251" spans="6:14" x14ac:dyDescent="0.2">
      <c r="F251" s="226">
        <v>13</v>
      </c>
      <c r="G251" s="226" t="b">
        <v>0</v>
      </c>
      <c r="H251" s="226" t="b">
        <v>0</v>
      </c>
      <c r="I251" s="226" t="b">
        <v>0</v>
      </c>
      <c r="K251" s="226">
        <v>13</v>
      </c>
      <c r="L251" s="226">
        <v>1</v>
      </c>
      <c r="M251" s="226">
        <v>1</v>
      </c>
      <c r="N251" s="226">
        <v>1</v>
      </c>
    </row>
    <row r="252" spans="6:14" x14ac:dyDescent="0.2">
      <c r="F252" s="226">
        <v>14</v>
      </c>
      <c r="G252" s="226" t="b">
        <v>0</v>
      </c>
      <c r="H252" s="226" t="b">
        <v>0</v>
      </c>
      <c r="I252" s="226" t="b">
        <v>0</v>
      </c>
      <c r="K252" s="226">
        <v>14</v>
      </c>
      <c r="L252" s="226">
        <v>1</v>
      </c>
      <c r="M252" s="226">
        <v>1</v>
      </c>
      <c r="N252" s="226">
        <v>1</v>
      </c>
    </row>
    <row r="253" spans="6:14" x14ac:dyDescent="0.2">
      <c r="F253" s="226">
        <v>15</v>
      </c>
      <c r="G253" s="226" t="b">
        <v>0</v>
      </c>
      <c r="H253" s="226" t="b">
        <v>0</v>
      </c>
      <c r="I253" s="226" t="b">
        <v>0</v>
      </c>
      <c r="K253" s="226">
        <v>15</v>
      </c>
      <c r="L253" s="226">
        <v>1</v>
      </c>
      <c r="M253" s="226">
        <v>1</v>
      </c>
      <c r="N253" s="226">
        <v>1</v>
      </c>
    </row>
    <row r="254" spans="6:14" x14ac:dyDescent="0.2">
      <c r="F254" s="226">
        <v>16</v>
      </c>
      <c r="G254" s="226" t="b">
        <v>0</v>
      </c>
      <c r="H254" s="226" t="b">
        <v>0</v>
      </c>
      <c r="I254" s="226" t="b">
        <v>0</v>
      </c>
      <c r="K254" s="226">
        <v>16</v>
      </c>
      <c r="L254" s="226">
        <v>1</v>
      </c>
      <c r="M254" s="226">
        <v>1</v>
      </c>
      <c r="N254" s="226">
        <v>1</v>
      </c>
    </row>
    <row r="255" spans="6:14" x14ac:dyDescent="0.2">
      <c r="F255" s="226">
        <v>17</v>
      </c>
      <c r="G255" s="226" t="b">
        <v>0</v>
      </c>
      <c r="H255" s="226" t="b">
        <v>0</v>
      </c>
      <c r="I255" s="226" t="b">
        <v>0</v>
      </c>
      <c r="K255" s="226">
        <v>17</v>
      </c>
      <c r="L255" s="226">
        <v>1</v>
      </c>
      <c r="M255" s="226">
        <v>1</v>
      </c>
      <c r="N255" s="226">
        <v>1</v>
      </c>
    </row>
    <row r="256" spans="6:14" x14ac:dyDescent="0.2">
      <c r="F256" s="226">
        <v>18</v>
      </c>
      <c r="G256" s="226" t="b">
        <v>0</v>
      </c>
      <c r="H256" s="226" t="b">
        <v>0</v>
      </c>
      <c r="I256" s="226" t="b">
        <v>0</v>
      </c>
      <c r="K256" s="226">
        <v>18</v>
      </c>
      <c r="L256" s="226">
        <v>1</v>
      </c>
      <c r="M256" s="226">
        <v>1</v>
      </c>
      <c r="N256" s="226">
        <v>1</v>
      </c>
    </row>
    <row r="257" spans="6:14" x14ac:dyDescent="0.2">
      <c r="F257" s="226">
        <v>19</v>
      </c>
      <c r="G257" s="226" t="b">
        <v>0</v>
      </c>
      <c r="H257" s="226" t="b">
        <v>0</v>
      </c>
      <c r="I257" s="226" t="b">
        <v>0</v>
      </c>
      <c r="K257" s="226">
        <v>19</v>
      </c>
      <c r="L257" s="226">
        <v>1</v>
      </c>
      <c r="M257" s="226">
        <v>1</v>
      </c>
      <c r="N257" s="226">
        <v>1</v>
      </c>
    </row>
    <row r="258" spans="6:14" x14ac:dyDescent="0.2">
      <c r="F258" s="226">
        <v>20</v>
      </c>
      <c r="G258" s="226" t="b">
        <v>0</v>
      </c>
      <c r="H258" s="226" t="b">
        <v>0</v>
      </c>
      <c r="I258" s="226" t="b">
        <v>0</v>
      </c>
      <c r="K258" s="226">
        <v>20</v>
      </c>
      <c r="L258" s="226">
        <v>1</v>
      </c>
      <c r="M258" s="226">
        <v>1</v>
      </c>
      <c r="N258" s="226">
        <v>1</v>
      </c>
    </row>
    <row r="259" spans="6:14" x14ac:dyDescent="0.2">
      <c r="F259" s="226">
        <v>21</v>
      </c>
      <c r="G259" s="226" t="b">
        <v>0</v>
      </c>
      <c r="H259" s="226" t="b">
        <v>0</v>
      </c>
      <c r="I259" s="226" t="b">
        <v>0</v>
      </c>
      <c r="K259" s="226">
        <v>21</v>
      </c>
      <c r="L259" s="226">
        <v>1</v>
      </c>
      <c r="M259" s="226">
        <v>1</v>
      </c>
      <c r="N259" s="226">
        <v>1</v>
      </c>
    </row>
    <row r="260" spans="6:14" x14ac:dyDescent="0.2">
      <c r="F260" s="226">
        <v>22</v>
      </c>
      <c r="G260" s="226" t="b">
        <v>0</v>
      </c>
      <c r="H260" s="226" t="b">
        <v>0</v>
      </c>
      <c r="I260" s="226" t="b">
        <v>0</v>
      </c>
      <c r="K260" s="226">
        <v>22</v>
      </c>
      <c r="L260" s="226">
        <v>1</v>
      </c>
      <c r="M260" s="226">
        <v>1</v>
      </c>
      <c r="N260" s="226">
        <v>1</v>
      </c>
    </row>
    <row r="261" spans="6:14" x14ac:dyDescent="0.2">
      <c r="F261" s="226">
        <v>23</v>
      </c>
      <c r="G261" s="226" t="b">
        <v>0</v>
      </c>
      <c r="H261" s="226" t="b">
        <v>0</v>
      </c>
      <c r="I261" s="226" t="b">
        <v>0</v>
      </c>
      <c r="K261" s="226">
        <v>23</v>
      </c>
      <c r="L261" s="226">
        <v>1</v>
      </c>
      <c r="M261" s="226">
        <v>1</v>
      </c>
      <c r="N261" s="226">
        <v>1</v>
      </c>
    </row>
    <row r="262" spans="6:14" x14ac:dyDescent="0.2">
      <c r="F262" s="226">
        <v>24</v>
      </c>
      <c r="G262" s="226" t="b">
        <v>0</v>
      </c>
      <c r="H262" s="226" t="b">
        <v>0</v>
      </c>
      <c r="I262" s="226" t="b">
        <v>0</v>
      </c>
      <c r="K262" s="226">
        <v>24</v>
      </c>
      <c r="L262" s="226">
        <v>1</v>
      </c>
      <c r="M262" s="226">
        <v>1</v>
      </c>
      <c r="N262" s="226">
        <v>1</v>
      </c>
    </row>
    <row r="263" spans="6:14" x14ac:dyDescent="0.2">
      <c r="F263" s="226">
        <v>25</v>
      </c>
      <c r="G263" s="226" t="b">
        <v>0</v>
      </c>
      <c r="H263" s="226" t="b">
        <v>0</v>
      </c>
      <c r="I263" s="226" t="b">
        <v>0</v>
      </c>
      <c r="K263" s="226">
        <v>25</v>
      </c>
      <c r="L263" s="226">
        <v>1</v>
      </c>
      <c r="M263" s="226">
        <v>1</v>
      </c>
      <c r="N263" s="226">
        <v>1</v>
      </c>
    </row>
    <row r="264" spans="6:14" x14ac:dyDescent="0.2">
      <c r="F264" s="226">
        <v>26</v>
      </c>
      <c r="G264" s="226" t="b">
        <v>0</v>
      </c>
      <c r="H264" s="226" t="b">
        <v>0</v>
      </c>
      <c r="I264" s="226" t="b">
        <v>0</v>
      </c>
      <c r="K264" s="226">
        <v>26</v>
      </c>
      <c r="L264" s="226">
        <v>1</v>
      </c>
      <c r="M264" s="226">
        <v>1</v>
      </c>
      <c r="N264" s="226">
        <v>1</v>
      </c>
    </row>
    <row r="265" spans="6:14" x14ac:dyDescent="0.2">
      <c r="F265" s="226">
        <v>27</v>
      </c>
      <c r="G265" s="226" t="b">
        <v>0</v>
      </c>
      <c r="H265" s="226" t="b">
        <v>0</v>
      </c>
      <c r="I265" s="226" t="b">
        <v>0</v>
      </c>
      <c r="K265" s="226">
        <v>27</v>
      </c>
      <c r="L265" s="226">
        <v>1</v>
      </c>
      <c r="M265" s="226">
        <v>1</v>
      </c>
      <c r="N265" s="226">
        <v>1</v>
      </c>
    </row>
    <row r="266" spans="6:14" x14ac:dyDescent="0.2">
      <c r="F266" s="226">
        <v>28</v>
      </c>
      <c r="G266" s="226" t="b">
        <v>0</v>
      </c>
      <c r="H266" s="226" t="b">
        <v>0</v>
      </c>
      <c r="I266" s="226" t="b">
        <v>0</v>
      </c>
      <c r="K266" s="226">
        <v>28</v>
      </c>
      <c r="L266" s="226">
        <v>1</v>
      </c>
      <c r="M266" s="226">
        <v>1</v>
      </c>
      <c r="N266" s="226">
        <v>1</v>
      </c>
    </row>
    <row r="267" spans="6:14" x14ac:dyDescent="0.2">
      <c r="F267" s="226">
        <v>29</v>
      </c>
      <c r="G267" s="226" t="b">
        <v>0</v>
      </c>
      <c r="H267" s="226" t="b">
        <v>0</v>
      </c>
      <c r="I267" s="226" t="b">
        <v>0</v>
      </c>
      <c r="K267" s="226">
        <v>29</v>
      </c>
      <c r="L267" s="226">
        <v>1</v>
      </c>
      <c r="M267" s="226">
        <v>1</v>
      </c>
      <c r="N267" s="226">
        <v>1</v>
      </c>
    </row>
    <row r="268" spans="6:14" x14ac:dyDescent="0.2">
      <c r="F268" s="226">
        <v>30</v>
      </c>
      <c r="G268" s="226" t="b">
        <v>0</v>
      </c>
      <c r="H268" s="226" t="b">
        <v>0</v>
      </c>
      <c r="I268" s="226" t="b">
        <v>0</v>
      </c>
      <c r="K268" s="226">
        <v>30</v>
      </c>
      <c r="L268" s="226">
        <v>1</v>
      </c>
      <c r="M268" s="226">
        <v>1</v>
      </c>
      <c r="N268" s="226">
        <v>1</v>
      </c>
    </row>
    <row r="269" spans="6:14" x14ac:dyDescent="0.2">
      <c r="F269" s="226">
        <v>31</v>
      </c>
      <c r="G269" s="226" t="b">
        <v>0</v>
      </c>
      <c r="H269" s="226" t="b">
        <v>0</v>
      </c>
      <c r="I269" s="226" t="b">
        <v>0</v>
      </c>
      <c r="K269" s="226">
        <v>31</v>
      </c>
      <c r="L269" s="226">
        <v>1</v>
      </c>
      <c r="M269" s="226">
        <v>1</v>
      </c>
      <c r="N269" s="226">
        <v>1</v>
      </c>
    </row>
    <row r="270" spans="6:14" x14ac:dyDescent="0.2">
      <c r="F270" s="226">
        <v>32</v>
      </c>
      <c r="G270" s="226" t="b">
        <v>0</v>
      </c>
      <c r="H270" s="226" t="b">
        <v>0</v>
      </c>
      <c r="I270" s="226" t="b">
        <v>0</v>
      </c>
      <c r="K270" s="226">
        <v>32</v>
      </c>
      <c r="L270" s="226">
        <v>1</v>
      </c>
      <c r="M270" s="226">
        <v>1</v>
      </c>
      <c r="N270" s="226">
        <v>1</v>
      </c>
    </row>
    <row r="271" spans="6:14" x14ac:dyDescent="0.2">
      <c r="F271" s="226">
        <v>33</v>
      </c>
      <c r="G271" s="226" t="b">
        <v>0</v>
      </c>
      <c r="H271" s="226" t="b">
        <v>0</v>
      </c>
      <c r="I271" s="226" t="b">
        <v>0</v>
      </c>
      <c r="K271" s="226">
        <v>33</v>
      </c>
      <c r="L271" s="226">
        <v>1</v>
      </c>
      <c r="M271" s="226">
        <v>1</v>
      </c>
      <c r="N271" s="226">
        <v>1</v>
      </c>
    </row>
    <row r="272" spans="6:14" x14ac:dyDescent="0.2">
      <c r="F272" s="226">
        <v>34</v>
      </c>
      <c r="G272" s="226" t="b">
        <v>0</v>
      </c>
      <c r="H272" s="226" t="b">
        <v>0</v>
      </c>
      <c r="I272" s="226" t="b">
        <v>0</v>
      </c>
      <c r="K272" s="226">
        <v>34</v>
      </c>
      <c r="L272" s="226">
        <v>1</v>
      </c>
      <c r="M272" s="226">
        <v>1</v>
      </c>
      <c r="N272" s="226">
        <v>1</v>
      </c>
    </row>
    <row r="273" spans="6:14" x14ac:dyDescent="0.2">
      <c r="F273" s="226">
        <v>35</v>
      </c>
      <c r="G273" s="226" t="b">
        <v>0</v>
      </c>
      <c r="H273" s="226" t="b">
        <v>0</v>
      </c>
      <c r="I273" s="226" t="b">
        <v>0</v>
      </c>
      <c r="K273" s="226">
        <v>35</v>
      </c>
      <c r="L273" s="226">
        <v>1</v>
      </c>
      <c r="M273" s="226">
        <v>1</v>
      </c>
      <c r="N273" s="226">
        <v>1</v>
      </c>
    </row>
    <row r="274" spans="6:14" x14ac:dyDescent="0.2">
      <c r="F274" s="226">
        <v>36</v>
      </c>
      <c r="G274" s="226" t="b">
        <v>0</v>
      </c>
      <c r="H274" s="226" t="b">
        <v>0</v>
      </c>
      <c r="I274" s="226" t="b">
        <v>0</v>
      </c>
      <c r="K274" s="226">
        <v>36</v>
      </c>
      <c r="L274" s="226">
        <v>1</v>
      </c>
      <c r="M274" s="226">
        <v>1</v>
      </c>
      <c r="N274" s="226">
        <v>1</v>
      </c>
    </row>
    <row r="275" spans="6:14" x14ac:dyDescent="0.2">
      <c r="F275" s="226">
        <v>37</v>
      </c>
      <c r="G275" s="226" t="b">
        <v>0</v>
      </c>
      <c r="H275" s="226" t="b">
        <v>0</v>
      </c>
      <c r="I275" s="226" t="b">
        <v>0</v>
      </c>
      <c r="K275" s="226">
        <v>37</v>
      </c>
      <c r="L275" s="226">
        <v>1</v>
      </c>
      <c r="M275" s="226">
        <v>1</v>
      </c>
      <c r="N275" s="226">
        <v>1</v>
      </c>
    </row>
    <row r="276" spans="6:14" x14ac:dyDescent="0.2">
      <c r="F276" s="226">
        <v>38</v>
      </c>
      <c r="G276" s="226" t="b">
        <v>0</v>
      </c>
      <c r="H276" s="226" t="b">
        <v>0</v>
      </c>
      <c r="I276" s="226" t="b">
        <v>0</v>
      </c>
      <c r="K276" s="226">
        <v>38</v>
      </c>
      <c r="L276" s="226">
        <v>1</v>
      </c>
      <c r="M276" s="226">
        <v>1</v>
      </c>
      <c r="N276" s="226">
        <v>1</v>
      </c>
    </row>
    <row r="277" spans="6:14" x14ac:dyDescent="0.2">
      <c r="F277" s="226">
        <v>39</v>
      </c>
      <c r="G277" s="226" t="b">
        <v>0</v>
      </c>
      <c r="H277" s="226" t="b">
        <v>0</v>
      </c>
      <c r="I277" s="226" t="b">
        <v>0</v>
      </c>
      <c r="K277" s="226">
        <v>39</v>
      </c>
      <c r="L277" s="226">
        <v>1</v>
      </c>
      <c r="M277" s="226">
        <v>1</v>
      </c>
      <c r="N277" s="226">
        <v>1</v>
      </c>
    </row>
    <row r="278" spans="6:14" x14ac:dyDescent="0.2">
      <c r="F278" s="226">
        <v>40</v>
      </c>
      <c r="G278" s="226" t="b">
        <v>0</v>
      </c>
      <c r="H278" s="226" t="b">
        <v>0</v>
      </c>
      <c r="I278" s="226" t="b">
        <v>0</v>
      </c>
      <c r="K278" s="226">
        <v>40</v>
      </c>
      <c r="L278" s="226">
        <v>1</v>
      </c>
      <c r="M278" s="226">
        <v>1</v>
      </c>
      <c r="N278" s="226">
        <v>1</v>
      </c>
    </row>
    <row r="279" spans="6:14" x14ac:dyDescent="0.2">
      <c r="F279" s="226">
        <v>41</v>
      </c>
      <c r="G279" s="226" t="b">
        <v>0</v>
      </c>
      <c r="H279" s="226" t="b">
        <v>0</v>
      </c>
      <c r="I279" s="226" t="b">
        <v>0</v>
      </c>
      <c r="K279" s="226">
        <v>41</v>
      </c>
      <c r="L279" s="226">
        <v>1</v>
      </c>
      <c r="M279" s="226">
        <v>1</v>
      </c>
      <c r="N279" s="226">
        <v>1</v>
      </c>
    </row>
    <row r="280" spans="6:14" x14ac:dyDescent="0.2">
      <c r="F280" s="226">
        <v>42</v>
      </c>
      <c r="G280" s="226" t="b">
        <v>0</v>
      </c>
      <c r="H280" s="226" t="b">
        <v>0</v>
      </c>
      <c r="I280" s="226" t="b">
        <v>0</v>
      </c>
      <c r="K280" s="226">
        <v>42</v>
      </c>
      <c r="L280" s="226">
        <v>1</v>
      </c>
      <c r="M280" s="226">
        <v>1</v>
      </c>
      <c r="N280" s="226">
        <v>1</v>
      </c>
    </row>
    <row r="281" spans="6:14" x14ac:dyDescent="0.2">
      <c r="F281" s="226">
        <v>43</v>
      </c>
      <c r="G281" s="226" t="b">
        <v>0</v>
      </c>
      <c r="H281" s="226" t="b">
        <v>0</v>
      </c>
      <c r="I281" s="226" t="b">
        <v>0</v>
      </c>
      <c r="K281" s="226">
        <v>43</v>
      </c>
      <c r="L281" s="226">
        <v>1</v>
      </c>
      <c r="M281" s="226">
        <v>1</v>
      </c>
      <c r="N281" s="226">
        <v>1</v>
      </c>
    </row>
    <row r="282" spans="6:14" x14ac:dyDescent="0.2">
      <c r="F282" s="226">
        <v>44</v>
      </c>
      <c r="G282" s="226" t="b">
        <v>0</v>
      </c>
      <c r="H282" s="226" t="b">
        <v>0</v>
      </c>
      <c r="I282" s="226" t="b">
        <v>0</v>
      </c>
      <c r="K282" s="226">
        <v>44</v>
      </c>
      <c r="L282" s="226">
        <v>1</v>
      </c>
      <c r="M282" s="226">
        <v>1</v>
      </c>
      <c r="N282" s="226">
        <v>1</v>
      </c>
    </row>
    <row r="283" spans="6:14" x14ac:dyDescent="0.2">
      <c r="F283" s="226">
        <v>45</v>
      </c>
      <c r="G283" s="226" t="b">
        <v>0</v>
      </c>
      <c r="H283" s="226" t="b">
        <v>0</v>
      </c>
      <c r="I283" s="226" t="b">
        <v>0</v>
      </c>
      <c r="K283" s="226">
        <v>45</v>
      </c>
      <c r="L283" s="226">
        <v>1</v>
      </c>
      <c r="M283" s="226">
        <v>1</v>
      </c>
      <c r="N283" s="226">
        <v>1</v>
      </c>
    </row>
    <row r="284" spans="6:14" x14ac:dyDescent="0.2">
      <c r="F284" s="226">
        <v>46</v>
      </c>
      <c r="G284" s="226" t="b">
        <v>0</v>
      </c>
      <c r="H284" s="226" t="b">
        <v>0</v>
      </c>
      <c r="I284" s="226" t="b">
        <v>0</v>
      </c>
      <c r="K284" s="226">
        <v>46</v>
      </c>
      <c r="L284" s="226">
        <v>1</v>
      </c>
      <c r="M284" s="226">
        <v>1</v>
      </c>
      <c r="N284" s="226">
        <v>1</v>
      </c>
    </row>
    <row r="285" spans="6:14" x14ac:dyDescent="0.2">
      <c r="F285" s="226">
        <v>47</v>
      </c>
      <c r="G285" s="226" t="b">
        <v>0</v>
      </c>
      <c r="H285" s="226" t="b">
        <v>0</v>
      </c>
      <c r="I285" s="226" t="b">
        <v>0</v>
      </c>
      <c r="K285" s="226">
        <v>47</v>
      </c>
      <c r="L285" s="226">
        <v>1</v>
      </c>
      <c r="M285" s="226">
        <v>1</v>
      </c>
      <c r="N285" s="226">
        <v>1</v>
      </c>
    </row>
    <row r="286" spans="6:14" x14ac:dyDescent="0.2">
      <c r="F286" s="226">
        <v>48</v>
      </c>
      <c r="G286" s="226" t="b">
        <v>0</v>
      </c>
      <c r="H286" s="226" t="b">
        <v>0</v>
      </c>
      <c r="I286" s="226" t="b">
        <v>0</v>
      </c>
      <c r="K286" s="226">
        <v>48</v>
      </c>
      <c r="L286" s="226">
        <v>1</v>
      </c>
      <c r="M286" s="226">
        <v>1</v>
      </c>
      <c r="N286" s="226">
        <v>1</v>
      </c>
    </row>
    <row r="287" spans="6:14" x14ac:dyDescent="0.2">
      <c r="F287" s="226">
        <v>49</v>
      </c>
      <c r="G287" s="226" t="b">
        <v>0</v>
      </c>
      <c r="H287" s="226" t="b">
        <v>0</v>
      </c>
      <c r="I287" s="226" t="b">
        <v>0</v>
      </c>
      <c r="K287" s="226">
        <v>49</v>
      </c>
      <c r="L287" s="226">
        <v>1</v>
      </c>
      <c r="M287" s="226">
        <v>1</v>
      </c>
      <c r="N287" s="226">
        <v>1</v>
      </c>
    </row>
    <row r="288" spans="6:14" x14ac:dyDescent="0.2">
      <c r="F288" s="226">
        <v>50</v>
      </c>
      <c r="G288" s="226" t="b">
        <v>0</v>
      </c>
      <c r="H288" s="226" t="b">
        <v>0</v>
      </c>
      <c r="I288" s="226" t="b">
        <v>0</v>
      </c>
      <c r="K288" s="226">
        <v>50</v>
      </c>
      <c r="L288" s="226">
        <v>1</v>
      </c>
      <c r="M288" s="226">
        <v>1</v>
      </c>
      <c r="N288" s="226">
        <v>1</v>
      </c>
    </row>
    <row r="289" spans="6:14" x14ac:dyDescent="0.2">
      <c r="F289" s="226">
        <v>51</v>
      </c>
      <c r="G289" s="226" t="b">
        <v>0</v>
      </c>
      <c r="H289" s="226" t="b">
        <v>0</v>
      </c>
      <c r="I289" s="226" t="b">
        <v>0</v>
      </c>
      <c r="K289" s="226">
        <v>51</v>
      </c>
      <c r="L289" s="226">
        <v>1</v>
      </c>
      <c r="M289" s="226">
        <v>1</v>
      </c>
      <c r="N289" s="226">
        <v>1</v>
      </c>
    </row>
    <row r="290" spans="6:14" x14ac:dyDescent="0.2">
      <c r="F290" s="226">
        <v>52</v>
      </c>
      <c r="G290" s="226" t="b">
        <v>0</v>
      </c>
      <c r="H290" s="226" t="b">
        <v>0</v>
      </c>
      <c r="I290" s="226" t="b">
        <v>0</v>
      </c>
      <c r="K290" s="226">
        <v>52</v>
      </c>
      <c r="L290" s="226">
        <v>1</v>
      </c>
      <c r="M290" s="226">
        <v>1</v>
      </c>
      <c r="N290" s="226">
        <v>1</v>
      </c>
    </row>
    <row r="291" spans="6:14" x14ac:dyDescent="0.2">
      <c r="F291" s="226">
        <v>53</v>
      </c>
      <c r="G291" s="226" t="b">
        <v>0</v>
      </c>
      <c r="H291" s="226" t="b">
        <v>0</v>
      </c>
      <c r="I291" s="226" t="b">
        <v>0</v>
      </c>
      <c r="K291" s="226">
        <v>53</v>
      </c>
      <c r="L291" s="226">
        <v>1</v>
      </c>
      <c r="M291" s="226">
        <v>1</v>
      </c>
      <c r="N291" s="226">
        <v>1</v>
      </c>
    </row>
    <row r="292" spans="6:14" x14ac:dyDescent="0.2">
      <c r="F292" s="226">
        <v>54</v>
      </c>
      <c r="G292" s="226" t="b">
        <v>0</v>
      </c>
      <c r="H292" s="226" t="b">
        <v>0</v>
      </c>
      <c r="I292" s="226" t="b">
        <v>0</v>
      </c>
      <c r="K292" s="226">
        <v>54</v>
      </c>
      <c r="L292" s="226">
        <v>1</v>
      </c>
      <c r="M292" s="226">
        <v>1</v>
      </c>
      <c r="N292" s="226">
        <v>1</v>
      </c>
    </row>
    <row r="293" spans="6:14" x14ac:dyDescent="0.2">
      <c r="F293" s="226">
        <v>55</v>
      </c>
      <c r="G293" s="226" t="b">
        <v>0</v>
      </c>
      <c r="H293" s="226" t="b">
        <v>0</v>
      </c>
      <c r="I293" s="226" t="b">
        <v>0</v>
      </c>
      <c r="K293" s="226">
        <v>55</v>
      </c>
      <c r="L293" s="226">
        <v>1</v>
      </c>
      <c r="M293" s="226">
        <v>1</v>
      </c>
      <c r="N293" s="226">
        <v>1</v>
      </c>
    </row>
    <row r="294" spans="6:14" x14ac:dyDescent="0.2">
      <c r="F294" s="226">
        <v>56</v>
      </c>
      <c r="G294" s="226" t="b">
        <v>0</v>
      </c>
      <c r="H294" s="226" t="b">
        <v>0</v>
      </c>
      <c r="I294" s="226" t="b">
        <v>0</v>
      </c>
      <c r="K294" s="226">
        <v>56</v>
      </c>
      <c r="L294" s="226">
        <v>1</v>
      </c>
      <c r="M294" s="226">
        <v>1</v>
      </c>
      <c r="N294" s="226">
        <v>1</v>
      </c>
    </row>
    <row r="295" spans="6:14" x14ac:dyDescent="0.2">
      <c r="F295" s="226">
        <v>57</v>
      </c>
      <c r="G295" s="226" t="b">
        <v>0</v>
      </c>
      <c r="H295" s="226" t="b">
        <v>0</v>
      </c>
      <c r="I295" s="226" t="b">
        <v>0</v>
      </c>
      <c r="K295" s="226">
        <v>57</v>
      </c>
      <c r="L295" s="226">
        <v>1</v>
      </c>
      <c r="M295" s="226">
        <v>1</v>
      </c>
      <c r="N295" s="226">
        <v>1</v>
      </c>
    </row>
    <row r="296" spans="6:14" x14ac:dyDescent="0.2">
      <c r="F296" s="226">
        <v>58</v>
      </c>
      <c r="G296" s="226" t="b">
        <v>0</v>
      </c>
      <c r="H296" s="226" t="b">
        <v>0</v>
      </c>
      <c r="I296" s="226" t="b">
        <v>0</v>
      </c>
      <c r="K296" s="226">
        <v>58</v>
      </c>
      <c r="L296" s="226">
        <v>1</v>
      </c>
      <c r="M296" s="226">
        <v>1</v>
      </c>
      <c r="N296" s="226">
        <v>1</v>
      </c>
    </row>
    <row r="297" spans="6:14" x14ac:dyDescent="0.2">
      <c r="F297" s="226">
        <v>59</v>
      </c>
      <c r="G297" s="226" t="b">
        <v>0</v>
      </c>
      <c r="H297" s="226" t="b">
        <v>0</v>
      </c>
      <c r="I297" s="226" t="b">
        <v>0</v>
      </c>
      <c r="K297" s="226">
        <v>59</v>
      </c>
      <c r="L297" s="226">
        <v>1</v>
      </c>
      <c r="M297" s="226">
        <v>1</v>
      </c>
      <c r="N297" s="226">
        <v>1</v>
      </c>
    </row>
    <row r="298" spans="6:14" x14ac:dyDescent="0.2">
      <c r="F298" s="226">
        <v>60</v>
      </c>
      <c r="G298" s="226" t="b">
        <v>0</v>
      </c>
      <c r="H298" s="226" t="b">
        <v>0</v>
      </c>
      <c r="I298" s="226" t="b">
        <v>0</v>
      </c>
      <c r="K298" s="226">
        <v>60</v>
      </c>
      <c r="L298" s="226">
        <v>1</v>
      </c>
      <c r="M298" s="226">
        <v>1</v>
      </c>
      <c r="N298" s="226">
        <v>1</v>
      </c>
    </row>
    <row r="299" spans="6:14" x14ac:dyDescent="0.2">
      <c r="F299" s="226">
        <v>61</v>
      </c>
      <c r="G299" s="226" t="b">
        <v>0</v>
      </c>
      <c r="H299" s="226" t="b">
        <v>0</v>
      </c>
      <c r="I299" s="226" t="b">
        <v>0</v>
      </c>
      <c r="K299" s="226">
        <v>61</v>
      </c>
      <c r="L299" s="226">
        <v>1</v>
      </c>
      <c r="M299" s="226">
        <v>1</v>
      </c>
      <c r="N299" s="226">
        <v>1</v>
      </c>
    </row>
    <row r="300" spans="6:14" x14ac:dyDescent="0.2">
      <c r="F300" s="226">
        <v>62</v>
      </c>
      <c r="G300" s="226" t="b">
        <v>0</v>
      </c>
      <c r="H300" s="226" t="b">
        <v>0</v>
      </c>
      <c r="I300" s="226" t="b">
        <v>0</v>
      </c>
      <c r="K300" s="226">
        <v>62</v>
      </c>
      <c r="L300" s="226">
        <v>1</v>
      </c>
      <c r="M300" s="226">
        <v>1</v>
      </c>
      <c r="N300" s="226">
        <v>1</v>
      </c>
    </row>
    <row r="301" spans="6:14" x14ac:dyDescent="0.2">
      <c r="F301" s="226">
        <v>63</v>
      </c>
      <c r="G301" s="226" t="b">
        <v>0</v>
      </c>
      <c r="H301" s="226" t="b">
        <v>0</v>
      </c>
      <c r="I301" s="226" t="b">
        <v>0</v>
      </c>
      <c r="K301" s="226">
        <v>63</v>
      </c>
      <c r="L301" s="226">
        <v>1</v>
      </c>
      <c r="M301" s="226">
        <v>1</v>
      </c>
      <c r="N301" s="226">
        <v>1</v>
      </c>
    </row>
    <row r="302" spans="6:14" x14ac:dyDescent="0.2">
      <c r="F302" s="226">
        <v>64</v>
      </c>
      <c r="G302" s="226" t="b">
        <v>0</v>
      </c>
      <c r="H302" s="226" t="b">
        <v>0</v>
      </c>
      <c r="I302" s="226" t="b">
        <v>0</v>
      </c>
      <c r="K302" s="226">
        <v>64</v>
      </c>
      <c r="L302" s="226">
        <v>1</v>
      </c>
      <c r="M302" s="226">
        <v>1</v>
      </c>
      <c r="N302" s="226">
        <v>1</v>
      </c>
    </row>
    <row r="303" spans="6:14" x14ac:dyDescent="0.2">
      <c r="F303" s="226">
        <v>65</v>
      </c>
      <c r="G303" s="226" t="b">
        <v>0</v>
      </c>
      <c r="H303" s="226" t="b">
        <v>0</v>
      </c>
      <c r="I303" s="226" t="b">
        <v>0</v>
      </c>
      <c r="K303" s="226">
        <v>65</v>
      </c>
      <c r="L303" s="226">
        <v>1</v>
      </c>
      <c r="M303" s="226">
        <v>1</v>
      </c>
      <c r="N303" s="226">
        <v>1</v>
      </c>
    </row>
    <row r="304" spans="6:14" x14ac:dyDescent="0.2">
      <c r="F304" s="226">
        <v>66</v>
      </c>
      <c r="G304" s="226" t="b">
        <v>0</v>
      </c>
      <c r="H304" s="226" t="b">
        <v>0</v>
      </c>
      <c r="I304" s="226" t="b">
        <v>0</v>
      </c>
      <c r="K304" s="226">
        <v>66</v>
      </c>
      <c r="L304" s="226">
        <v>1</v>
      </c>
      <c r="M304" s="226">
        <v>1</v>
      </c>
      <c r="N304" s="226">
        <v>1</v>
      </c>
    </row>
    <row r="305" spans="6:14" x14ac:dyDescent="0.2">
      <c r="F305" s="226">
        <v>67</v>
      </c>
      <c r="G305" s="226" t="b">
        <v>0</v>
      </c>
      <c r="H305" s="226" t="b">
        <v>0</v>
      </c>
      <c r="I305" s="226" t="b">
        <v>0</v>
      </c>
      <c r="K305" s="226">
        <v>67</v>
      </c>
      <c r="L305" s="226">
        <v>1</v>
      </c>
      <c r="M305" s="226">
        <v>1</v>
      </c>
      <c r="N305" s="226">
        <v>1</v>
      </c>
    </row>
    <row r="306" spans="6:14" x14ac:dyDescent="0.2">
      <c r="F306" s="226">
        <v>68</v>
      </c>
      <c r="G306" s="226" t="b">
        <v>0</v>
      </c>
      <c r="H306" s="226" t="b">
        <v>0</v>
      </c>
      <c r="I306" s="226" t="b">
        <v>0</v>
      </c>
      <c r="K306" s="226">
        <v>68</v>
      </c>
      <c r="L306" s="226">
        <v>1</v>
      </c>
      <c r="M306" s="226">
        <v>1</v>
      </c>
      <c r="N306" s="226">
        <v>1</v>
      </c>
    </row>
    <row r="307" spans="6:14" x14ac:dyDescent="0.2">
      <c r="F307" s="226">
        <v>69</v>
      </c>
      <c r="G307" s="226" t="b">
        <v>0</v>
      </c>
      <c r="H307" s="226" t="b">
        <v>0</v>
      </c>
      <c r="I307" s="226" t="b">
        <v>0</v>
      </c>
      <c r="K307" s="226">
        <v>69</v>
      </c>
      <c r="L307" s="226">
        <v>1</v>
      </c>
      <c r="M307" s="226">
        <v>1</v>
      </c>
      <c r="N307" s="226">
        <v>1</v>
      </c>
    </row>
    <row r="308" spans="6:14" x14ac:dyDescent="0.2">
      <c r="F308" s="226">
        <v>70</v>
      </c>
      <c r="G308" s="226" t="b">
        <v>0</v>
      </c>
      <c r="H308" s="226" t="b">
        <v>0</v>
      </c>
      <c r="I308" s="226" t="b">
        <v>0</v>
      </c>
      <c r="K308" s="226">
        <v>70</v>
      </c>
      <c r="L308" s="226">
        <v>1</v>
      </c>
      <c r="M308" s="226">
        <v>1</v>
      </c>
      <c r="N308" s="226">
        <v>1</v>
      </c>
    </row>
    <row r="309" spans="6:14" x14ac:dyDescent="0.2">
      <c r="F309" s="226">
        <v>71</v>
      </c>
      <c r="G309" s="226" t="b">
        <v>0</v>
      </c>
      <c r="H309" s="226" t="b">
        <v>0</v>
      </c>
      <c r="I309" s="226" t="b">
        <v>0</v>
      </c>
      <c r="K309" s="226">
        <v>71</v>
      </c>
      <c r="L309" s="226">
        <v>1</v>
      </c>
      <c r="M309" s="226">
        <v>1</v>
      </c>
      <c r="N309" s="226">
        <v>1</v>
      </c>
    </row>
    <row r="310" spans="6:14" x14ac:dyDescent="0.2">
      <c r="F310" s="226">
        <v>72</v>
      </c>
      <c r="G310" s="226" t="b">
        <v>0</v>
      </c>
      <c r="H310" s="226" t="b">
        <v>0</v>
      </c>
      <c r="I310" s="226" t="b">
        <v>0</v>
      </c>
      <c r="K310" s="226">
        <v>72</v>
      </c>
      <c r="L310" s="226">
        <v>1</v>
      </c>
      <c r="M310" s="226">
        <v>1</v>
      </c>
      <c r="N310" s="226">
        <v>1</v>
      </c>
    </row>
    <row r="311" spans="6:14" x14ac:dyDescent="0.2">
      <c r="F311" s="226">
        <v>73</v>
      </c>
      <c r="G311" s="226" t="b">
        <v>0</v>
      </c>
      <c r="H311" s="226" t="b">
        <v>0</v>
      </c>
      <c r="I311" s="226" t="b">
        <v>0</v>
      </c>
      <c r="K311" s="226">
        <v>73</v>
      </c>
      <c r="L311" s="226">
        <v>1</v>
      </c>
      <c r="M311" s="226">
        <v>1</v>
      </c>
      <c r="N311" s="226">
        <v>1</v>
      </c>
    </row>
    <row r="312" spans="6:14" x14ac:dyDescent="0.2">
      <c r="F312" s="226">
        <v>74</v>
      </c>
      <c r="G312" s="226" t="b">
        <v>0</v>
      </c>
      <c r="H312" s="226" t="b">
        <v>0</v>
      </c>
      <c r="I312" s="226" t="b">
        <v>0</v>
      </c>
      <c r="K312" s="226">
        <v>74</v>
      </c>
      <c r="L312" s="226">
        <v>1</v>
      </c>
      <c r="M312" s="226">
        <v>1</v>
      </c>
      <c r="N312" s="226">
        <v>1</v>
      </c>
    </row>
    <row r="313" spans="6:14" x14ac:dyDescent="0.2">
      <c r="F313" s="226">
        <v>75</v>
      </c>
      <c r="G313" s="226" t="b">
        <v>0</v>
      </c>
      <c r="H313" s="226" t="b">
        <v>0</v>
      </c>
      <c r="I313" s="226" t="b">
        <v>0</v>
      </c>
      <c r="K313" s="226">
        <v>75</v>
      </c>
      <c r="L313" s="226">
        <v>1</v>
      </c>
      <c r="M313" s="226">
        <v>1</v>
      </c>
      <c r="N313" s="226">
        <v>1</v>
      </c>
    </row>
    <row r="314" spans="6:14" x14ac:dyDescent="0.2">
      <c r="F314" s="226">
        <v>76</v>
      </c>
      <c r="G314" s="226" t="b">
        <v>0</v>
      </c>
      <c r="H314" s="226" t="b">
        <v>0</v>
      </c>
      <c r="I314" s="226" t="b">
        <v>0</v>
      </c>
      <c r="K314" s="226">
        <v>76</v>
      </c>
      <c r="L314" s="226">
        <v>1</v>
      </c>
      <c r="M314" s="226">
        <v>1</v>
      </c>
      <c r="N314" s="226">
        <v>1</v>
      </c>
    </row>
    <row r="315" spans="6:14" x14ac:dyDescent="0.2">
      <c r="F315" s="226">
        <v>77</v>
      </c>
      <c r="G315" s="226" t="b">
        <v>0</v>
      </c>
      <c r="H315" s="226" t="b">
        <v>0</v>
      </c>
      <c r="I315" s="226" t="b">
        <v>0</v>
      </c>
      <c r="K315" s="226">
        <v>77</v>
      </c>
      <c r="L315" s="226">
        <v>1</v>
      </c>
      <c r="M315" s="226">
        <v>1</v>
      </c>
      <c r="N315" s="226">
        <v>1</v>
      </c>
    </row>
    <row r="316" spans="6:14" x14ac:dyDescent="0.2">
      <c r="F316" s="226">
        <v>78</v>
      </c>
      <c r="G316" s="226" t="b">
        <v>0</v>
      </c>
      <c r="H316" s="226" t="b">
        <v>0</v>
      </c>
      <c r="I316" s="226" t="b">
        <v>0</v>
      </c>
      <c r="K316" s="226">
        <v>78</v>
      </c>
      <c r="L316" s="226">
        <v>1</v>
      </c>
      <c r="M316" s="226">
        <v>1</v>
      </c>
      <c r="N316" s="226">
        <v>1</v>
      </c>
    </row>
    <row r="317" spans="6:14" x14ac:dyDescent="0.2">
      <c r="F317" s="226">
        <v>79</v>
      </c>
      <c r="G317" s="226" t="b">
        <v>0</v>
      </c>
      <c r="H317" s="226" t="b">
        <v>0</v>
      </c>
      <c r="I317" s="226" t="b">
        <v>0</v>
      </c>
      <c r="K317" s="226">
        <v>79</v>
      </c>
      <c r="L317" s="226">
        <v>1</v>
      </c>
      <c r="M317" s="226">
        <v>1</v>
      </c>
      <c r="N317" s="226">
        <v>1</v>
      </c>
    </row>
    <row r="318" spans="6:14" x14ac:dyDescent="0.2">
      <c r="F318" s="226">
        <v>80</v>
      </c>
      <c r="G318" s="226" t="b">
        <v>0</v>
      </c>
      <c r="H318" s="226" t="b">
        <v>0</v>
      </c>
      <c r="I318" s="226" t="b">
        <v>0</v>
      </c>
      <c r="K318" s="226">
        <v>80</v>
      </c>
      <c r="L318" s="226">
        <v>1</v>
      </c>
      <c r="M318" s="226">
        <v>1</v>
      </c>
      <c r="N318" s="226">
        <v>1</v>
      </c>
    </row>
    <row r="319" spans="6:14" x14ac:dyDescent="0.2">
      <c r="F319" s="226">
        <v>81</v>
      </c>
      <c r="G319" s="226" t="b">
        <v>0</v>
      </c>
      <c r="H319" s="226" t="b">
        <v>0</v>
      </c>
      <c r="I319" s="226" t="b">
        <v>0</v>
      </c>
      <c r="K319" s="226">
        <v>81</v>
      </c>
      <c r="L319" s="226">
        <v>1</v>
      </c>
      <c r="M319" s="226">
        <v>1</v>
      </c>
      <c r="N319" s="226">
        <v>1</v>
      </c>
    </row>
    <row r="320" spans="6:14" x14ac:dyDescent="0.2">
      <c r="F320" s="226">
        <v>82</v>
      </c>
      <c r="G320" s="226" t="b">
        <v>0</v>
      </c>
      <c r="H320" s="226" t="b">
        <v>0</v>
      </c>
      <c r="I320" s="226" t="b">
        <v>0</v>
      </c>
      <c r="K320" s="226">
        <v>82</v>
      </c>
      <c r="L320" s="226">
        <v>1</v>
      </c>
      <c r="M320" s="226">
        <v>1</v>
      </c>
      <c r="N320" s="226">
        <v>1</v>
      </c>
    </row>
    <row r="321" spans="6:14" x14ac:dyDescent="0.2">
      <c r="F321" s="226">
        <v>83</v>
      </c>
      <c r="G321" s="226" t="b">
        <v>0</v>
      </c>
      <c r="H321" s="226" t="b">
        <v>0</v>
      </c>
      <c r="I321" s="226" t="b">
        <v>0</v>
      </c>
      <c r="K321" s="226">
        <v>83</v>
      </c>
      <c r="L321" s="226">
        <v>1</v>
      </c>
      <c r="M321" s="226">
        <v>1</v>
      </c>
      <c r="N321" s="226">
        <v>1</v>
      </c>
    </row>
    <row r="322" spans="6:14" x14ac:dyDescent="0.2">
      <c r="F322" s="226">
        <v>84</v>
      </c>
      <c r="G322" s="226" t="b">
        <v>0</v>
      </c>
      <c r="H322" s="226" t="b">
        <v>0</v>
      </c>
      <c r="I322" s="226" t="b">
        <v>0</v>
      </c>
      <c r="K322" s="226">
        <v>84</v>
      </c>
      <c r="L322" s="226">
        <v>1</v>
      </c>
      <c r="M322" s="226">
        <v>1</v>
      </c>
      <c r="N322" s="226">
        <v>1</v>
      </c>
    </row>
    <row r="323" spans="6:14" x14ac:dyDescent="0.2">
      <c r="F323" s="226">
        <v>85</v>
      </c>
      <c r="G323" s="226" t="b">
        <v>0</v>
      </c>
      <c r="H323" s="226" t="b">
        <v>0</v>
      </c>
      <c r="I323" s="226" t="b">
        <v>0</v>
      </c>
      <c r="K323" s="226">
        <v>85</v>
      </c>
      <c r="L323" s="226">
        <v>1</v>
      </c>
      <c r="M323" s="226">
        <v>1</v>
      </c>
      <c r="N323" s="226">
        <v>1</v>
      </c>
    </row>
    <row r="324" spans="6:14" x14ac:dyDescent="0.2">
      <c r="F324" s="226">
        <v>86</v>
      </c>
      <c r="G324" s="226" t="b">
        <v>0</v>
      </c>
      <c r="H324" s="226" t="b">
        <v>0</v>
      </c>
      <c r="I324" s="226" t="b">
        <v>0</v>
      </c>
      <c r="K324" s="226">
        <v>86</v>
      </c>
      <c r="L324" s="226">
        <v>1</v>
      </c>
      <c r="M324" s="226">
        <v>1</v>
      </c>
      <c r="N324" s="226">
        <v>1</v>
      </c>
    </row>
    <row r="325" spans="6:14" x14ac:dyDescent="0.2">
      <c r="F325" s="226">
        <v>87</v>
      </c>
      <c r="G325" s="226" t="b">
        <v>0</v>
      </c>
      <c r="H325" s="226" t="b">
        <v>0</v>
      </c>
      <c r="I325" s="226" t="b">
        <v>0</v>
      </c>
      <c r="K325" s="226">
        <v>87</v>
      </c>
      <c r="L325" s="226">
        <v>1</v>
      </c>
      <c r="M325" s="226">
        <v>1</v>
      </c>
      <c r="N325" s="226">
        <v>1</v>
      </c>
    </row>
    <row r="326" spans="6:14" x14ac:dyDescent="0.2">
      <c r="F326" s="226">
        <v>88</v>
      </c>
      <c r="G326" s="226" t="b">
        <v>0</v>
      </c>
      <c r="H326" s="226" t="b">
        <v>0</v>
      </c>
      <c r="I326" s="226" t="b">
        <v>0</v>
      </c>
      <c r="K326" s="226">
        <v>88</v>
      </c>
      <c r="L326" s="226">
        <v>1</v>
      </c>
      <c r="M326" s="226">
        <v>1</v>
      </c>
      <c r="N326" s="226">
        <v>1</v>
      </c>
    </row>
    <row r="327" spans="6:14" x14ac:dyDescent="0.2">
      <c r="F327" s="226">
        <v>89</v>
      </c>
      <c r="G327" s="226" t="b">
        <v>0</v>
      </c>
      <c r="H327" s="226" t="b">
        <v>0</v>
      </c>
      <c r="I327" s="226" t="b">
        <v>0</v>
      </c>
      <c r="K327" s="226">
        <v>89</v>
      </c>
      <c r="L327" s="226">
        <v>1</v>
      </c>
      <c r="M327" s="226">
        <v>1</v>
      </c>
      <c r="N327" s="226">
        <v>1</v>
      </c>
    </row>
    <row r="328" spans="6:14" x14ac:dyDescent="0.2">
      <c r="F328" s="226">
        <v>90</v>
      </c>
      <c r="G328" s="226" t="b">
        <v>0</v>
      </c>
      <c r="H328" s="226" t="b">
        <v>0</v>
      </c>
      <c r="I328" s="226" t="b">
        <v>0</v>
      </c>
      <c r="K328" s="226">
        <v>90</v>
      </c>
      <c r="L328" s="226">
        <v>1</v>
      </c>
      <c r="M328" s="226">
        <v>1</v>
      </c>
      <c r="N328" s="226">
        <v>1</v>
      </c>
    </row>
    <row r="329" spans="6:14" x14ac:dyDescent="0.2">
      <c r="F329" s="226">
        <v>91</v>
      </c>
      <c r="G329" s="226" t="b">
        <v>0</v>
      </c>
      <c r="H329" s="226" t="b">
        <v>0</v>
      </c>
      <c r="I329" s="226" t="b">
        <v>0</v>
      </c>
      <c r="K329" s="226">
        <v>91</v>
      </c>
      <c r="L329" s="226">
        <v>1</v>
      </c>
      <c r="M329" s="226">
        <v>1</v>
      </c>
      <c r="N329" s="226">
        <v>1</v>
      </c>
    </row>
    <row r="330" spans="6:14" x14ac:dyDescent="0.2">
      <c r="F330" s="226">
        <v>92</v>
      </c>
      <c r="G330" s="226" t="b">
        <v>0</v>
      </c>
      <c r="H330" s="226" t="b">
        <v>0</v>
      </c>
      <c r="I330" s="226" t="b">
        <v>0</v>
      </c>
      <c r="K330" s="226">
        <v>92</v>
      </c>
      <c r="L330" s="226">
        <v>1</v>
      </c>
      <c r="M330" s="226">
        <v>1</v>
      </c>
      <c r="N330" s="226">
        <v>1</v>
      </c>
    </row>
    <row r="331" spans="6:14" x14ac:dyDescent="0.2">
      <c r="F331" s="226">
        <v>93</v>
      </c>
      <c r="G331" s="226" t="b">
        <v>0</v>
      </c>
      <c r="H331" s="226" t="b">
        <v>0</v>
      </c>
      <c r="I331" s="226" t="b">
        <v>0</v>
      </c>
      <c r="K331" s="226">
        <v>93</v>
      </c>
      <c r="L331" s="226">
        <v>1</v>
      </c>
      <c r="M331" s="226">
        <v>1</v>
      </c>
      <c r="N331" s="226">
        <v>1</v>
      </c>
    </row>
    <row r="332" spans="6:14" x14ac:dyDescent="0.2">
      <c r="F332" s="226">
        <v>94</v>
      </c>
      <c r="G332" s="226" t="b">
        <v>0</v>
      </c>
      <c r="H332" s="226" t="b">
        <v>0</v>
      </c>
      <c r="I332" s="226" t="b">
        <v>0</v>
      </c>
      <c r="K332" s="226">
        <v>94</v>
      </c>
      <c r="L332" s="226">
        <v>1</v>
      </c>
      <c r="M332" s="226">
        <v>1</v>
      </c>
      <c r="N332" s="226">
        <v>1</v>
      </c>
    </row>
    <row r="333" spans="6:14" x14ac:dyDescent="0.2">
      <c r="F333" s="226">
        <v>95</v>
      </c>
      <c r="G333" s="226" t="b">
        <v>0</v>
      </c>
      <c r="H333" s="226" t="b">
        <v>0</v>
      </c>
      <c r="I333" s="226" t="b">
        <v>0</v>
      </c>
      <c r="K333" s="226">
        <v>95</v>
      </c>
      <c r="L333" s="226">
        <v>1</v>
      </c>
      <c r="M333" s="226">
        <v>1</v>
      </c>
      <c r="N333" s="226">
        <v>1</v>
      </c>
    </row>
    <row r="334" spans="6:14" x14ac:dyDescent="0.2">
      <c r="F334" s="226">
        <v>96</v>
      </c>
      <c r="G334" s="226" t="b">
        <v>0</v>
      </c>
      <c r="H334" s="226" t="b">
        <v>0</v>
      </c>
      <c r="I334" s="226" t="b">
        <v>0</v>
      </c>
      <c r="K334" s="226">
        <v>96</v>
      </c>
      <c r="L334" s="226">
        <v>1</v>
      </c>
      <c r="M334" s="226">
        <v>1</v>
      </c>
      <c r="N334" s="226">
        <v>1</v>
      </c>
    </row>
    <row r="335" spans="6:14" x14ac:dyDescent="0.2">
      <c r="F335" s="226">
        <v>97</v>
      </c>
      <c r="G335" s="226" t="b">
        <v>0</v>
      </c>
      <c r="H335" s="226" t="b">
        <v>0</v>
      </c>
      <c r="I335" s="226" t="b">
        <v>0</v>
      </c>
      <c r="K335" s="226">
        <v>97</v>
      </c>
      <c r="L335" s="226">
        <v>1</v>
      </c>
      <c r="M335" s="226">
        <v>1</v>
      </c>
      <c r="N335" s="226">
        <v>1</v>
      </c>
    </row>
    <row r="336" spans="6:14" x14ac:dyDescent="0.2">
      <c r="F336" s="226">
        <v>98</v>
      </c>
      <c r="G336" s="226" t="b">
        <v>0</v>
      </c>
      <c r="H336" s="226" t="b">
        <v>0</v>
      </c>
      <c r="I336" s="226" t="b">
        <v>0</v>
      </c>
      <c r="K336" s="226">
        <v>98</v>
      </c>
      <c r="L336" s="226">
        <v>1</v>
      </c>
      <c r="M336" s="226">
        <v>1</v>
      </c>
      <c r="N336" s="226">
        <v>1</v>
      </c>
    </row>
    <row r="337" spans="6:14" x14ac:dyDescent="0.2">
      <c r="F337" s="226">
        <v>99</v>
      </c>
      <c r="G337" s="226" t="b">
        <v>0</v>
      </c>
      <c r="H337" s="226" t="b">
        <v>0</v>
      </c>
      <c r="I337" s="226" t="b">
        <v>0</v>
      </c>
      <c r="K337" s="226">
        <v>99</v>
      </c>
      <c r="L337" s="226">
        <v>1</v>
      </c>
      <c r="M337" s="226">
        <v>1</v>
      </c>
      <c r="N337" s="226">
        <v>1</v>
      </c>
    </row>
    <row r="338" spans="6:14" x14ac:dyDescent="0.2">
      <c r="F338" s="226">
        <v>100</v>
      </c>
      <c r="G338" s="226" t="b">
        <v>0</v>
      </c>
      <c r="H338" s="226" t="b">
        <v>0</v>
      </c>
      <c r="I338" s="226" t="b">
        <v>0</v>
      </c>
      <c r="K338" s="226">
        <v>100</v>
      </c>
      <c r="L338" s="226">
        <v>1</v>
      </c>
      <c r="M338" s="226">
        <v>1</v>
      </c>
      <c r="N338" s="226">
        <v>1</v>
      </c>
    </row>
    <row r="339" spans="6:14" x14ac:dyDescent="0.2">
      <c r="F339" s="226">
        <v>101</v>
      </c>
      <c r="G339" s="226" t="b">
        <v>0</v>
      </c>
      <c r="H339" s="226" t="b">
        <v>0</v>
      </c>
      <c r="I339" s="226" t="b">
        <v>0</v>
      </c>
      <c r="K339" s="226">
        <v>101</v>
      </c>
      <c r="L339" s="226">
        <v>1</v>
      </c>
      <c r="M339" s="226">
        <v>1</v>
      </c>
      <c r="N339" s="226">
        <v>1</v>
      </c>
    </row>
    <row r="340" spans="6:14" x14ac:dyDescent="0.2">
      <c r="F340" s="226">
        <v>102</v>
      </c>
      <c r="G340" s="226" t="b">
        <v>0</v>
      </c>
      <c r="H340" s="226" t="b">
        <v>0</v>
      </c>
      <c r="I340" s="226" t="b">
        <v>0</v>
      </c>
      <c r="K340" s="226">
        <v>102</v>
      </c>
      <c r="L340" s="226">
        <v>1</v>
      </c>
      <c r="M340" s="226">
        <v>1</v>
      </c>
      <c r="N340" s="226">
        <v>1</v>
      </c>
    </row>
    <row r="341" spans="6:14" x14ac:dyDescent="0.2">
      <c r="F341" s="226">
        <v>103</v>
      </c>
      <c r="G341" s="226" t="b">
        <v>0</v>
      </c>
      <c r="H341" s="226" t="b">
        <v>0</v>
      </c>
      <c r="I341" s="226" t="b">
        <v>0</v>
      </c>
      <c r="K341" s="226">
        <v>103</v>
      </c>
      <c r="L341" s="226">
        <v>1</v>
      </c>
      <c r="M341" s="226">
        <v>1</v>
      </c>
      <c r="N341" s="226">
        <v>1</v>
      </c>
    </row>
    <row r="342" spans="6:14" x14ac:dyDescent="0.2">
      <c r="F342" s="226">
        <v>104</v>
      </c>
      <c r="G342" s="226" t="b">
        <v>0</v>
      </c>
      <c r="H342" s="226" t="b">
        <v>0</v>
      </c>
      <c r="I342" s="226" t="b">
        <v>0</v>
      </c>
      <c r="K342" s="226">
        <v>104</v>
      </c>
      <c r="L342" s="226">
        <v>1</v>
      </c>
      <c r="M342" s="226">
        <v>1</v>
      </c>
      <c r="N342" s="226">
        <v>1</v>
      </c>
    </row>
    <row r="343" spans="6:14" x14ac:dyDescent="0.2">
      <c r="F343" s="226">
        <v>105</v>
      </c>
      <c r="G343" s="226" t="b">
        <v>0</v>
      </c>
      <c r="H343" s="226" t="b">
        <v>0</v>
      </c>
      <c r="I343" s="226" t="b">
        <v>0</v>
      </c>
      <c r="K343" s="226">
        <v>105</v>
      </c>
      <c r="L343" s="226">
        <v>1</v>
      </c>
      <c r="M343" s="226">
        <v>1</v>
      </c>
      <c r="N343" s="226">
        <v>1</v>
      </c>
    </row>
    <row r="344" spans="6:14" x14ac:dyDescent="0.2">
      <c r="F344" s="226">
        <v>106</v>
      </c>
      <c r="G344" s="226" t="b">
        <v>0</v>
      </c>
      <c r="H344" s="226" t="b">
        <v>0</v>
      </c>
      <c r="I344" s="226" t="b">
        <v>0</v>
      </c>
      <c r="K344" s="226">
        <v>106</v>
      </c>
      <c r="L344" s="226">
        <v>1</v>
      </c>
      <c r="M344" s="226">
        <v>1</v>
      </c>
      <c r="N344" s="226">
        <v>1</v>
      </c>
    </row>
    <row r="345" spans="6:14" x14ac:dyDescent="0.2">
      <c r="F345" s="226">
        <v>107</v>
      </c>
      <c r="G345" s="226" t="b">
        <v>0</v>
      </c>
      <c r="H345" s="226" t="b">
        <v>0</v>
      </c>
      <c r="I345" s="226" t="b">
        <v>0</v>
      </c>
      <c r="K345" s="226">
        <v>107</v>
      </c>
      <c r="L345" s="226">
        <v>1</v>
      </c>
      <c r="M345" s="226">
        <v>1</v>
      </c>
      <c r="N345" s="226">
        <v>1</v>
      </c>
    </row>
    <row r="346" spans="6:14" x14ac:dyDescent="0.2">
      <c r="F346" s="226">
        <v>108</v>
      </c>
      <c r="G346" s="226" t="b">
        <v>0</v>
      </c>
      <c r="H346" s="226" t="b">
        <v>0</v>
      </c>
      <c r="I346" s="226" t="b">
        <v>0</v>
      </c>
      <c r="K346" s="226">
        <v>108</v>
      </c>
      <c r="L346" s="226">
        <v>1</v>
      </c>
      <c r="M346" s="226">
        <v>1</v>
      </c>
      <c r="N346" s="226">
        <v>1</v>
      </c>
    </row>
    <row r="347" spans="6:14" x14ac:dyDescent="0.2">
      <c r="F347" s="226">
        <v>109</v>
      </c>
      <c r="G347" s="226" t="b">
        <v>0</v>
      </c>
      <c r="H347" s="226" t="b">
        <v>0</v>
      </c>
      <c r="I347" s="226" t="b">
        <v>0</v>
      </c>
      <c r="K347" s="226">
        <v>109</v>
      </c>
      <c r="L347" s="226">
        <v>1</v>
      </c>
      <c r="M347" s="226">
        <v>1</v>
      </c>
      <c r="N347" s="226">
        <v>1</v>
      </c>
    </row>
    <row r="348" spans="6:14" x14ac:dyDescent="0.2">
      <c r="F348" s="226">
        <v>110</v>
      </c>
      <c r="G348" s="226" t="b">
        <v>0</v>
      </c>
      <c r="H348" s="226" t="b">
        <v>0</v>
      </c>
      <c r="I348" s="226" t="b">
        <v>0</v>
      </c>
      <c r="K348" s="226">
        <v>110</v>
      </c>
      <c r="L348" s="226">
        <v>1</v>
      </c>
      <c r="M348" s="226">
        <v>1</v>
      </c>
      <c r="N348" s="226">
        <v>1</v>
      </c>
    </row>
    <row r="349" spans="6:14" x14ac:dyDescent="0.2">
      <c r="F349" s="226">
        <v>111</v>
      </c>
      <c r="G349" s="226" t="b">
        <v>0</v>
      </c>
      <c r="H349" s="226" t="b">
        <v>0</v>
      </c>
      <c r="I349" s="226" t="b">
        <v>0</v>
      </c>
      <c r="K349" s="226">
        <v>111</v>
      </c>
      <c r="L349" s="226">
        <v>1</v>
      </c>
      <c r="M349" s="226">
        <v>1</v>
      </c>
      <c r="N349" s="226">
        <v>1</v>
      </c>
    </row>
    <row r="350" spans="6:14" x14ac:dyDescent="0.2">
      <c r="F350" s="226">
        <v>112</v>
      </c>
      <c r="G350" s="226" t="b">
        <v>0</v>
      </c>
      <c r="H350" s="226" t="b">
        <v>0</v>
      </c>
      <c r="I350" s="226" t="b">
        <v>0</v>
      </c>
      <c r="K350" s="226">
        <v>112</v>
      </c>
      <c r="L350" s="226">
        <v>1</v>
      </c>
      <c r="M350" s="226">
        <v>1</v>
      </c>
      <c r="N350" s="226">
        <v>1</v>
      </c>
    </row>
    <row r="351" spans="6:14" x14ac:dyDescent="0.2">
      <c r="F351" s="226">
        <v>113</v>
      </c>
      <c r="G351" s="226" t="b">
        <v>0</v>
      </c>
      <c r="H351" s="226" t="b">
        <v>0</v>
      </c>
      <c r="I351" s="226" t="b">
        <v>0</v>
      </c>
      <c r="K351" s="226">
        <v>113</v>
      </c>
      <c r="L351" s="226">
        <v>1</v>
      </c>
      <c r="M351" s="226">
        <v>1</v>
      </c>
      <c r="N351" s="226">
        <v>1</v>
      </c>
    </row>
    <row r="352" spans="6:14" x14ac:dyDescent="0.2">
      <c r="F352" s="226">
        <v>114</v>
      </c>
      <c r="G352" s="226" t="b">
        <v>0</v>
      </c>
      <c r="H352" s="226" t="b">
        <v>0</v>
      </c>
      <c r="I352" s="226" t="b">
        <v>0</v>
      </c>
      <c r="K352" s="226">
        <v>114</v>
      </c>
      <c r="L352" s="226">
        <v>1</v>
      </c>
      <c r="M352" s="226">
        <v>1</v>
      </c>
      <c r="N352" s="226">
        <v>1</v>
      </c>
    </row>
    <row r="353" spans="6:14" x14ac:dyDescent="0.2">
      <c r="F353" s="226">
        <v>115</v>
      </c>
      <c r="G353" s="226" t="b">
        <v>0</v>
      </c>
      <c r="H353" s="226" t="b">
        <v>0</v>
      </c>
      <c r="I353" s="226" t="b">
        <v>0</v>
      </c>
      <c r="K353" s="226">
        <v>115</v>
      </c>
      <c r="L353" s="226">
        <v>1</v>
      </c>
      <c r="M353" s="226">
        <v>1</v>
      </c>
      <c r="N353" s="226">
        <v>1</v>
      </c>
    </row>
    <row r="354" spans="6:14" x14ac:dyDescent="0.2">
      <c r="F354" s="226">
        <v>116</v>
      </c>
      <c r="G354" s="226" t="b">
        <v>0</v>
      </c>
      <c r="H354" s="226" t="b">
        <v>0</v>
      </c>
      <c r="I354" s="226" t="b">
        <v>0</v>
      </c>
      <c r="K354" s="226">
        <v>116</v>
      </c>
      <c r="L354" s="226">
        <v>1</v>
      </c>
      <c r="M354" s="226">
        <v>1</v>
      </c>
      <c r="N354" s="226">
        <v>1</v>
      </c>
    </row>
    <row r="355" spans="6:14" x14ac:dyDescent="0.2">
      <c r="F355" s="226">
        <v>117</v>
      </c>
      <c r="G355" s="226" t="b">
        <v>0</v>
      </c>
      <c r="H355" s="226" t="b">
        <v>0</v>
      </c>
      <c r="I355" s="226" t="b">
        <v>0</v>
      </c>
      <c r="K355" s="226">
        <v>117</v>
      </c>
      <c r="L355" s="226">
        <v>1</v>
      </c>
      <c r="M355" s="226">
        <v>1</v>
      </c>
      <c r="N355" s="226">
        <v>1</v>
      </c>
    </row>
    <row r="356" spans="6:14" x14ac:dyDescent="0.2">
      <c r="F356" s="226">
        <v>118</v>
      </c>
      <c r="G356" s="226" t="b">
        <v>0</v>
      </c>
      <c r="H356" s="226" t="b">
        <v>0</v>
      </c>
      <c r="I356" s="226" t="b">
        <v>0</v>
      </c>
      <c r="K356" s="226">
        <v>118</v>
      </c>
      <c r="L356" s="226">
        <v>1</v>
      </c>
      <c r="M356" s="226">
        <v>1</v>
      </c>
      <c r="N356" s="226">
        <v>1</v>
      </c>
    </row>
    <row r="357" spans="6:14" x14ac:dyDescent="0.2">
      <c r="F357" s="226">
        <v>119</v>
      </c>
      <c r="G357" s="226" t="b">
        <v>0</v>
      </c>
      <c r="H357" s="226" t="b">
        <v>0</v>
      </c>
      <c r="I357" s="226" t="b">
        <v>0</v>
      </c>
      <c r="K357" s="226">
        <v>119</v>
      </c>
      <c r="L357" s="226">
        <v>1</v>
      </c>
      <c r="M357" s="226">
        <v>1</v>
      </c>
      <c r="N357" s="226">
        <v>1</v>
      </c>
    </row>
    <row r="358" spans="6:14" x14ac:dyDescent="0.2">
      <c r="F358" s="226">
        <v>120</v>
      </c>
      <c r="G358" s="226" t="b">
        <v>0</v>
      </c>
      <c r="H358" s="226" t="b">
        <v>0</v>
      </c>
      <c r="I358" s="226" t="b">
        <v>0</v>
      </c>
      <c r="K358" s="226">
        <v>120</v>
      </c>
      <c r="L358" s="226">
        <v>1</v>
      </c>
      <c r="M358" s="226">
        <v>1</v>
      </c>
      <c r="N358" s="226">
        <v>1</v>
      </c>
    </row>
    <row r="359" spans="6:14" x14ac:dyDescent="0.2">
      <c r="F359" s="226">
        <v>121</v>
      </c>
      <c r="G359" s="226" t="b">
        <v>0</v>
      </c>
      <c r="H359" s="226" t="b">
        <v>0</v>
      </c>
      <c r="I359" s="226" t="b">
        <v>0</v>
      </c>
      <c r="K359" s="226">
        <v>121</v>
      </c>
      <c r="L359" s="226">
        <v>1</v>
      </c>
      <c r="M359" s="226">
        <v>1</v>
      </c>
      <c r="N359" s="226">
        <v>1</v>
      </c>
    </row>
    <row r="360" spans="6:14" x14ac:dyDescent="0.2">
      <c r="F360" s="226">
        <v>122</v>
      </c>
      <c r="G360" s="226" t="b">
        <v>0</v>
      </c>
      <c r="H360" s="226" t="b">
        <v>0</v>
      </c>
      <c r="I360" s="226" t="b">
        <v>0</v>
      </c>
      <c r="K360" s="226">
        <v>122</v>
      </c>
      <c r="L360" s="226">
        <v>1</v>
      </c>
      <c r="M360" s="226">
        <v>1</v>
      </c>
      <c r="N360" s="226">
        <v>1</v>
      </c>
    </row>
    <row r="361" spans="6:14" x14ac:dyDescent="0.2">
      <c r="F361" s="226">
        <v>123</v>
      </c>
      <c r="G361" s="226" t="b">
        <v>0</v>
      </c>
      <c r="H361" s="226" t="b">
        <v>0</v>
      </c>
      <c r="I361" s="226" t="b">
        <v>0</v>
      </c>
      <c r="K361" s="226">
        <v>123</v>
      </c>
      <c r="L361" s="226">
        <v>1</v>
      </c>
      <c r="M361" s="226">
        <v>1</v>
      </c>
      <c r="N361" s="226">
        <v>1</v>
      </c>
    </row>
    <row r="362" spans="6:14" x14ac:dyDescent="0.2">
      <c r="F362" s="226">
        <v>124</v>
      </c>
      <c r="G362" s="226" t="b">
        <v>0</v>
      </c>
      <c r="H362" s="226" t="b">
        <v>0</v>
      </c>
      <c r="I362" s="226" t="b">
        <v>0</v>
      </c>
      <c r="K362" s="226">
        <v>124</v>
      </c>
      <c r="L362" s="226">
        <v>1</v>
      </c>
      <c r="M362" s="226">
        <v>1</v>
      </c>
      <c r="N362" s="226">
        <v>1</v>
      </c>
    </row>
    <row r="363" spans="6:14" x14ac:dyDescent="0.2">
      <c r="F363" s="226">
        <v>125</v>
      </c>
      <c r="G363" s="226" t="b">
        <v>0</v>
      </c>
      <c r="H363" s="226" t="b">
        <v>0</v>
      </c>
      <c r="I363" s="226" t="b">
        <v>0</v>
      </c>
      <c r="K363" s="226">
        <v>125</v>
      </c>
      <c r="L363" s="226">
        <v>1</v>
      </c>
      <c r="M363" s="226">
        <v>1</v>
      </c>
      <c r="N363" s="226">
        <v>1</v>
      </c>
    </row>
    <row r="364" spans="6:14" x14ac:dyDescent="0.2">
      <c r="F364" s="226">
        <v>126</v>
      </c>
      <c r="G364" s="226" t="b">
        <v>0</v>
      </c>
      <c r="H364" s="226" t="b">
        <v>0</v>
      </c>
      <c r="I364" s="226" t="b">
        <v>0</v>
      </c>
      <c r="K364" s="226">
        <v>126</v>
      </c>
      <c r="L364" s="226">
        <v>1</v>
      </c>
      <c r="M364" s="226">
        <v>1</v>
      </c>
      <c r="N364" s="226">
        <v>1</v>
      </c>
    </row>
    <row r="365" spans="6:14" x14ac:dyDescent="0.2">
      <c r="F365" s="226">
        <v>127</v>
      </c>
      <c r="G365" s="226" t="b">
        <v>0</v>
      </c>
      <c r="H365" s="226" t="b">
        <v>0</v>
      </c>
      <c r="I365" s="226" t="b">
        <v>0</v>
      </c>
      <c r="K365" s="226">
        <v>127</v>
      </c>
      <c r="L365" s="226">
        <v>1</v>
      </c>
      <c r="M365" s="226">
        <v>1</v>
      </c>
      <c r="N365" s="226">
        <v>1</v>
      </c>
    </row>
    <row r="366" spans="6:14" x14ac:dyDescent="0.2">
      <c r="F366" s="226">
        <v>128</v>
      </c>
      <c r="G366" s="226" t="b">
        <v>0</v>
      </c>
      <c r="H366" s="226" t="b">
        <v>0</v>
      </c>
      <c r="I366" s="226" t="b">
        <v>0</v>
      </c>
      <c r="K366" s="226">
        <v>128</v>
      </c>
      <c r="L366" s="226">
        <v>1</v>
      </c>
      <c r="M366" s="226">
        <v>1</v>
      </c>
      <c r="N366" s="226">
        <v>1</v>
      </c>
    </row>
    <row r="367" spans="6:14" x14ac:dyDescent="0.2">
      <c r="F367" s="226">
        <v>129</v>
      </c>
      <c r="G367" s="226" t="b">
        <v>0</v>
      </c>
      <c r="H367" s="226" t="b">
        <v>0</v>
      </c>
      <c r="I367" s="226" t="b">
        <v>0</v>
      </c>
      <c r="K367" s="226">
        <v>129</v>
      </c>
      <c r="L367" s="226">
        <v>1</v>
      </c>
      <c r="M367" s="226">
        <v>1</v>
      </c>
      <c r="N367" s="226">
        <v>1</v>
      </c>
    </row>
    <row r="368" spans="6:14" x14ac:dyDescent="0.2">
      <c r="F368" s="226">
        <v>130</v>
      </c>
      <c r="G368" s="226" t="b">
        <v>0</v>
      </c>
      <c r="H368" s="226" t="b">
        <v>0</v>
      </c>
      <c r="I368" s="226" t="b">
        <v>0</v>
      </c>
      <c r="K368" s="226">
        <v>130</v>
      </c>
      <c r="L368" s="226">
        <v>1</v>
      </c>
      <c r="M368" s="226">
        <v>1</v>
      </c>
      <c r="N368" s="226">
        <v>1</v>
      </c>
    </row>
    <row r="369" spans="6:14" x14ac:dyDescent="0.2">
      <c r="F369" s="226">
        <v>131</v>
      </c>
      <c r="G369" s="226" t="b">
        <v>0</v>
      </c>
      <c r="H369" s="226" t="b">
        <v>0</v>
      </c>
      <c r="I369" s="226" t="b">
        <v>0</v>
      </c>
      <c r="K369" s="226">
        <v>131</v>
      </c>
      <c r="L369" s="226">
        <v>1</v>
      </c>
      <c r="M369" s="226">
        <v>1</v>
      </c>
      <c r="N369" s="226">
        <v>1</v>
      </c>
    </row>
    <row r="370" spans="6:14" x14ac:dyDescent="0.2">
      <c r="F370" s="226">
        <v>132</v>
      </c>
      <c r="G370" s="226" t="b">
        <v>0</v>
      </c>
      <c r="H370" s="226" t="b">
        <v>0</v>
      </c>
      <c r="I370" s="226" t="b">
        <v>0</v>
      </c>
      <c r="K370" s="226">
        <v>132</v>
      </c>
      <c r="L370" s="226">
        <v>1</v>
      </c>
      <c r="M370" s="226">
        <v>1</v>
      </c>
      <c r="N370" s="226">
        <v>1</v>
      </c>
    </row>
    <row r="371" spans="6:14" x14ac:dyDescent="0.2">
      <c r="F371" s="226">
        <v>133</v>
      </c>
      <c r="G371" s="226" t="b">
        <v>0</v>
      </c>
      <c r="H371" s="226" t="b">
        <v>0</v>
      </c>
      <c r="I371" s="226" t="b">
        <v>0</v>
      </c>
      <c r="K371" s="226">
        <v>133</v>
      </c>
      <c r="L371" s="226">
        <v>1</v>
      </c>
      <c r="M371" s="226">
        <v>1</v>
      </c>
      <c r="N371" s="226">
        <v>1</v>
      </c>
    </row>
    <row r="372" spans="6:14" x14ac:dyDescent="0.2">
      <c r="F372" s="226">
        <v>134</v>
      </c>
      <c r="G372" s="226" t="b">
        <v>0</v>
      </c>
      <c r="H372" s="226" t="b">
        <v>0</v>
      </c>
      <c r="I372" s="226" t="b">
        <v>0</v>
      </c>
      <c r="K372" s="226">
        <v>134</v>
      </c>
      <c r="L372" s="226">
        <v>1</v>
      </c>
      <c r="M372" s="226">
        <v>1</v>
      </c>
      <c r="N372" s="226">
        <v>1</v>
      </c>
    </row>
    <row r="373" spans="6:14" x14ac:dyDescent="0.2">
      <c r="F373" s="226">
        <v>135</v>
      </c>
      <c r="G373" s="226" t="b">
        <v>0</v>
      </c>
      <c r="H373" s="226" t="b">
        <v>0</v>
      </c>
      <c r="I373" s="226" t="b">
        <v>0</v>
      </c>
      <c r="K373" s="226">
        <v>135</v>
      </c>
      <c r="L373" s="226">
        <v>1</v>
      </c>
      <c r="M373" s="226">
        <v>1</v>
      </c>
      <c r="N373" s="226">
        <v>1</v>
      </c>
    </row>
    <row r="374" spans="6:14" x14ac:dyDescent="0.2">
      <c r="F374" s="226">
        <v>136</v>
      </c>
      <c r="G374" s="226" t="b">
        <v>0</v>
      </c>
      <c r="H374" s="226" t="b">
        <v>0</v>
      </c>
      <c r="I374" s="226" t="b">
        <v>0</v>
      </c>
      <c r="K374" s="226">
        <v>136</v>
      </c>
      <c r="L374" s="226">
        <v>1</v>
      </c>
      <c r="M374" s="226">
        <v>1</v>
      </c>
      <c r="N374" s="226">
        <v>1</v>
      </c>
    </row>
    <row r="375" spans="6:14" x14ac:dyDescent="0.2">
      <c r="F375" s="226">
        <v>137</v>
      </c>
      <c r="G375" s="226" t="b">
        <v>0</v>
      </c>
      <c r="H375" s="226" t="b">
        <v>0</v>
      </c>
      <c r="I375" s="226" t="b">
        <v>0</v>
      </c>
      <c r="K375" s="226">
        <v>137</v>
      </c>
      <c r="L375" s="226">
        <v>1</v>
      </c>
      <c r="M375" s="226">
        <v>1</v>
      </c>
      <c r="N375" s="226">
        <v>1</v>
      </c>
    </row>
    <row r="376" spans="6:14" x14ac:dyDescent="0.2">
      <c r="F376" s="226">
        <v>138</v>
      </c>
      <c r="G376" s="226" t="b">
        <v>0</v>
      </c>
      <c r="H376" s="226" t="b">
        <v>0</v>
      </c>
      <c r="I376" s="226" t="b">
        <v>0</v>
      </c>
      <c r="K376" s="226">
        <v>138</v>
      </c>
      <c r="L376" s="226">
        <v>1</v>
      </c>
      <c r="M376" s="226">
        <v>1</v>
      </c>
      <c r="N376" s="226">
        <v>1</v>
      </c>
    </row>
    <row r="377" spans="6:14" x14ac:dyDescent="0.2">
      <c r="F377" s="226">
        <v>139</v>
      </c>
      <c r="G377" s="226" t="b">
        <v>0</v>
      </c>
      <c r="H377" s="226" t="b">
        <v>0</v>
      </c>
      <c r="I377" s="226" t="b">
        <v>0</v>
      </c>
      <c r="K377" s="226">
        <v>139</v>
      </c>
      <c r="L377" s="226">
        <v>1</v>
      </c>
      <c r="M377" s="226">
        <v>1</v>
      </c>
      <c r="N377" s="226">
        <v>1</v>
      </c>
    </row>
    <row r="378" spans="6:14" x14ac:dyDescent="0.2">
      <c r="F378" s="226">
        <v>140</v>
      </c>
      <c r="G378" s="226" t="b">
        <v>0</v>
      </c>
      <c r="H378" s="226" t="b">
        <v>0</v>
      </c>
      <c r="I378" s="226" t="b">
        <v>0</v>
      </c>
      <c r="K378" s="226">
        <v>140</v>
      </c>
      <c r="L378" s="226">
        <v>1</v>
      </c>
      <c r="M378" s="226">
        <v>1</v>
      </c>
      <c r="N378" s="226">
        <v>1</v>
      </c>
    </row>
    <row r="379" spans="6:14" x14ac:dyDescent="0.2">
      <c r="F379" s="226">
        <v>141</v>
      </c>
      <c r="G379" s="226" t="b">
        <v>0</v>
      </c>
      <c r="H379" s="226" t="b">
        <v>0</v>
      </c>
      <c r="I379" s="226" t="b">
        <v>0</v>
      </c>
      <c r="K379" s="226">
        <v>141</v>
      </c>
      <c r="L379" s="226">
        <v>1</v>
      </c>
      <c r="M379" s="226">
        <v>1</v>
      </c>
      <c r="N379" s="226">
        <v>1</v>
      </c>
    </row>
    <row r="380" spans="6:14" x14ac:dyDescent="0.2">
      <c r="F380" s="226">
        <v>142</v>
      </c>
      <c r="G380" s="226" t="b">
        <v>0</v>
      </c>
      <c r="H380" s="226" t="b">
        <v>0</v>
      </c>
      <c r="I380" s="226" t="b">
        <v>0</v>
      </c>
      <c r="K380" s="226">
        <v>142</v>
      </c>
      <c r="L380" s="226">
        <v>1</v>
      </c>
      <c r="M380" s="226">
        <v>1</v>
      </c>
      <c r="N380" s="226">
        <v>1</v>
      </c>
    </row>
    <row r="381" spans="6:14" x14ac:dyDescent="0.2">
      <c r="F381" s="226">
        <v>143</v>
      </c>
      <c r="G381" s="226" t="b">
        <v>0</v>
      </c>
      <c r="H381" s="226" t="b">
        <v>0</v>
      </c>
      <c r="I381" s="226" t="b">
        <v>0</v>
      </c>
      <c r="K381" s="226">
        <v>143</v>
      </c>
      <c r="L381" s="226">
        <v>1</v>
      </c>
      <c r="M381" s="226">
        <v>1</v>
      </c>
      <c r="N381" s="226">
        <v>1</v>
      </c>
    </row>
    <row r="382" spans="6:14" x14ac:dyDescent="0.2">
      <c r="F382" s="226">
        <v>144</v>
      </c>
      <c r="G382" s="226" t="b">
        <v>0</v>
      </c>
      <c r="H382" s="226" t="b">
        <v>0</v>
      </c>
      <c r="I382" s="226" t="b">
        <v>0</v>
      </c>
      <c r="K382" s="226">
        <v>144</v>
      </c>
      <c r="L382" s="226">
        <v>1</v>
      </c>
      <c r="M382" s="226">
        <v>1</v>
      </c>
      <c r="N382" s="226">
        <v>1</v>
      </c>
    </row>
    <row r="383" spans="6:14" x14ac:dyDescent="0.2">
      <c r="F383" s="226">
        <v>145</v>
      </c>
      <c r="G383" s="226" t="b">
        <v>0</v>
      </c>
      <c r="H383" s="226" t="b">
        <v>0</v>
      </c>
      <c r="I383" s="226" t="b">
        <v>0</v>
      </c>
      <c r="K383" s="226">
        <v>145</v>
      </c>
      <c r="L383" s="226">
        <v>1</v>
      </c>
      <c r="M383" s="226">
        <v>1</v>
      </c>
      <c r="N383" s="226">
        <v>1</v>
      </c>
    </row>
    <row r="384" spans="6:14" x14ac:dyDescent="0.2">
      <c r="F384" s="226">
        <v>146</v>
      </c>
      <c r="G384" s="226" t="b">
        <v>0</v>
      </c>
      <c r="H384" s="226" t="b">
        <v>0</v>
      </c>
      <c r="I384" s="226" t="b">
        <v>0</v>
      </c>
      <c r="K384" s="226">
        <v>146</v>
      </c>
      <c r="L384" s="226">
        <v>1</v>
      </c>
      <c r="M384" s="226">
        <v>1</v>
      </c>
      <c r="N384" s="226">
        <v>1</v>
      </c>
    </row>
    <row r="385" spans="6:14" x14ac:dyDescent="0.2">
      <c r="F385" s="226">
        <v>147</v>
      </c>
      <c r="G385" s="226" t="b">
        <v>0</v>
      </c>
      <c r="H385" s="226" t="b">
        <v>0</v>
      </c>
      <c r="I385" s="226" t="b">
        <v>0</v>
      </c>
      <c r="K385" s="226">
        <v>147</v>
      </c>
      <c r="L385" s="226">
        <v>1</v>
      </c>
      <c r="M385" s="226">
        <v>1</v>
      </c>
      <c r="N385" s="226">
        <v>1</v>
      </c>
    </row>
    <row r="386" spans="6:14" x14ac:dyDescent="0.2">
      <c r="F386" s="226">
        <v>148</v>
      </c>
      <c r="G386" s="226" t="b">
        <v>0</v>
      </c>
      <c r="H386" s="226" t="b">
        <v>0</v>
      </c>
      <c r="I386" s="226" t="b">
        <v>0</v>
      </c>
      <c r="K386" s="226">
        <v>148</v>
      </c>
      <c r="L386" s="226">
        <v>1</v>
      </c>
      <c r="M386" s="226">
        <v>1</v>
      </c>
      <c r="N386" s="226">
        <v>1</v>
      </c>
    </row>
    <row r="387" spans="6:14" x14ac:dyDescent="0.2">
      <c r="F387" s="226">
        <v>149</v>
      </c>
      <c r="G387" s="226" t="b">
        <v>0</v>
      </c>
      <c r="H387" s="226" t="b">
        <v>0</v>
      </c>
      <c r="I387" s="226" t="b">
        <v>0</v>
      </c>
      <c r="K387" s="226">
        <v>149</v>
      </c>
      <c r="L387" s="226">
        <v>1</v>
      </c>
      <c r="M387" s="226">
        <v>1</v>
      </c>
      <c r="N387" s="226">
        <v>1</v>
      </c>
    </row>
    <row r="388" spans="6:14" x14ac:dyDescent="0.2">
      <c r="F388" s="226">
        <v>150</v>
      </c>
      <c r="G388" s="226" t="b">
        <v>0</v>
      </c>
      <c r="H388" s="226" t="b">
        <v>0</v>
      </c>
      <c r="I388" s="226" t="b">
        <v>0</v>
      </c>
      <c r="K388" s="226">
        <v>150</v>
      </c>
      <c r="L388" s="226">
        <v>1</v>
      </c>
      <c r="M388" s="226">
        <v>1</v>
      </c>
      <c r="N388" s="226">
        <v>1</v>
      </c>
    </row>
    <row r="389" spans="6:14" x14ac:dyDescent="0.2">
      <c r="F389" s="226">
        <v>151</v>
      </c>
      <c r="G389" s="226" t="b">
        <v>0</v>
      </c>
      <c r="H389" s="226" t="b">
        <v>0</v>
      </c>
      <c r="I389" s="226" t="b">
        <v>0</v>
      </c>
      <c r="K389" s="226">
        <v>151</v>
      </c>
      <c r="L389" s="226">
        <v>1</v>
      </c>
      <c r="M389" s="226">
        <v>1</v>
      </c>
      <c r="N389" s="226">
        <v>1</v>
      </c>
    </row>
    <row r="390" spans="6:14" x14ac:dyDescent="0.2">
      <c r="F390" s="226">
        <v>152</v>
      </c>
      <c r="G390" s="226" t="b">
        <v>0</v>
      </c>
      <c r="H390" s="226" t="b">
        <v>0</v>
      </c>
      <c r="I390" s="226" t="b">
        <v>0</v>
      </c>
      <c r="K390" s="226">
        <v>152</v>
      </c>
      <c r="L390" s="226">
        <v>1</v>
      </c>
      <c r="M390" s="226">
        <v>1</v>
      </c>
      <c r="N390" s="226">
        <v>1</v>
      </c>
    </row>
    <row r="391" spans="6:14" x14ac:dyDescent="0.2">
      <c r="F391" s="226">
        <v>153</v>
      </c>
      <c r="G391" s="226" t="b">
        <v>0</v>
      </c>
      <c r="H391" s="226" t="b">
        <v>0</v>
      </c>
      <c r="I391" s="226" t="b">
        <v>0</v>
      </c>
      <c r="K391" s="226">
        <v>153</v>
      </c>
      <c r="L391" s="226">
        <v>1</v>
      </c>
      <c r="M391" s="226">
        <v>1</v>
      </c>
      <c r="N391" s="226">
        <v>1</v>
      </c>
    </row>
    <row r="392" spans="6:14" x14ac:dyDescent="0.2">
      <c r="F392" s="226">
        <v>154</v>
      </c>
      <c r="G392" s="226" t="b">
        <v>0</v>
      </c>
      <c r="H392" s="226" t="b">
        <v>0</v>
      </c>
      <c r="I392" s="226" t="b">
        <v>0</v>
      </c>
      <c r="K392" s="226">
        <v>154</v>
      </c>
      <c r="L392" s="226">
        <v>1</v>
      </c>
      <c r="M392" s="226">
        <v>1</v>
      </c>
      <c r="N392" s="226">
        <v>1</v>
      </c>
    </row>
    <row r="393" spans="6:14" x14ac:dyDescent="0.2">
      <c r="F393" s="226">
        <v>155</v>
      </c>
      <c r="G393" s="226" t="b">
        <v>0</v>
      </c>
      <c r="H393" s="226" t="b">
        <v>0</v>
      </c>
      <c r="I393" s="226" t="b">
        <v>0</v>
      </c>
      <c r="K393" s="226">
        <v>155</v>
      </c>
      <c r="L393" s="226">
        <v>1</v>
      </c>
      <c r="M393" s="226">
        <v>1</v>
      </c>
      <c r="N393" s="226">
        <v>1</v>
      </c>
    </row>
    <row r="394" spans="6:14" x14ac:dyDescent="0.2">
      <c r="F394" s="226">
        <v>156</v>
      </c>
      <c r="G394" s="226" t="b">
        <v>0</v>
      </c>
      <c r="H394" s="226" t="b">
        <v>0</v>
      </c>
      <c r="I394" s="226" t="b">
        <v>0</v>
      </c>
      <c r="K394" s="226">
        <v>156</v>
      </c>
      <c r="L394" s="226">
        <v>1</v>
      </c>
      <c r="M394" s="226">
        <v>1</v>
      </c>
      <c r="N394" s="226">
        <v>1</v>
      </c>
    </row>
    <row r="395" spans="6:14" x14ac:dyDescent="0.2">
      <c r="F395" s="226">
        <v>157</v>
      </c>
      <c r="G395" s="226" t="b">
        <v>0</v>
      </c>
      <c r="H395" s="226" t="b">
        <v>0</v>
      </c>
      <c r="I395" s="226" t="b">
        <v>0</v>
      </c>
      <c r="K395" s="226">
        <v>157</v>
      </c>
      <c r="L395" s="226">
        <v>1</v>
      </c>
      <c r="M395" s="226">
        <v>1</v>
      </c>
      <c r="N395" s="226">
        <v>1</v>
      </c>
    </row>
    <row r="396" spans="6:14" x14ac:dyDescent="0.2">
      <c r="F396" s="226">
        <v>158</v>
      </c>
      <c r="G396" s="226" t="b">
        <v>0</v>
      </c>
      <c r="H396" s="226" t="b">
        <v>0</v>
      </c>
      <c r="I396" s="226" t="b">
        <v>0</v>
      </c>
      <c r="K396" s="226">
        <v>158</v>
      </c>
      <c r="L396" s="226">
        <v>1</v>
      </c>
      <c r="M396" s="226">
        <v>1</v>
      </c>
      <c r="N396" s="226">
        <v>1</v>
      </c>
    </row>
    <row r="397" spans="6:14" x14ac:dyDescent="0.2">
      <c r="F397" s="226">
        <v>159</v>
      </c>
      <c r="G397" s="226" t="b">
        <v>0</v>
      </c>
      <c r="H397" s="226" t="b">
        <v>0</v>
      </c>
      <c r="I397" s="226" t="b">
        <v>0</v>
      </c>
      <c r="K397" s="226">
        <v>159</v>
      </c>
      <c r="L397" s="226">
        <v>1</v>
      </c>
      <c r="M397" s="226">
        <v>1</v>
      </c>
      <c r="N397" s="226">
        <v>1</v>
      </c>
    </row>
    <row r="398" spans="6:14" x14ac:dyDescent="0.2">
      <c r="F398" s="226">
        <v>160</v>
      </c>
      <c r="G398" s="226" t="b">
        <v>0</v>
      </c>
      <c r="H398" s="226" t="b">
        <v>0</v>
      </c>
      <c r="I398" s="226" t="b">
        <v>0</v>
      </c>
      <c r="K398" s="226">
        <v>160</v>
      </c>
      <c r="L398" s="226">
        <v>1</v>
      </c>
      <c r="M398" s="226">
        <v>1</v>
      </c>
      <c r="N398" s="226">
        <v>1</v>
      </c>
    </row>
    <row r="399" spans="6:14" x14ac:dyDescent="0.2">
      <c r="F399" s="226">
        <v>161</v>
      </c>
      <c r="G399" s="226" t="b">
        <v>0</v>
      </c>
      <c r="H399" s="226" t="b">
        <v>0</v>
      </c>
      <c r="I399" s="226" t="b">
        <v>0</v>
      </c>
      <c r="K399" s="226">
        <v>161</v>
      </c>
      <c r="L399" s="226">
        <v>1</v>
      </c>
      <c r="M399" s="226">
        <v>1</v>
      </c>
      <c r="N399" s="226">
        <v>1</v>
      </c>
    </row>
    <row r="400" spans="6:14" x14ac:dyDescent="0.2">
      <c r="F400" s="226">
        <v>162</v>
      </c>
      <c r="G400" s="226" t="b">
        <v>0</v>
      </c>
      <c r="H400" s="226" t="b">
        <v>0</v>
      </c>
      <c r="I400" s="226" t="b">
        <v>0</v>
      </c>
      <c r="K400" s="226">
        <v>162</v>
      </c>
      <c r="L400" s="226">
        <v>1</v>
      </c>
      <c r="M400" s="226">
        <v>1</v>
      </c>
      <c r="N400" s="226">
        <v>1</v>
      </c>
    </row>
    <row r="401" spans="6:14" x14ac:dyDescent="0.2">
      <c r="F401" s="226">
        <v>163</v>
      </c>
      <c r="G401" s="226" t="b">
        <v>0</v>
      </c>
      <c r="H401" s="226" t="b">
        <v>0</v>
      </c>
      <c r="I401" s="226" t="b">
        <v>0</v>
      </c>
      <c r="K401" s="226">
        <v>163</v>
      </c>
      <c r="L401" s="226">
        <v>1</v>
      </c>
      <c r="M401" s="226">
        <v>1</v>
      </c>
      <c r="N401" s="226">
        <v>1</v>
      </c>
    </row>
    <row r="402" spans="6:14" x14ac:dyDescent="0.2">
      <c r="F402" s="226">
        <v>164</v>
      </c>
      <c r="G402" s="226" t="b">
        <v>0</v>
      </c>
      <c r="H402" s="226" t="b">
        <v>0</v>
      </c>
      <c r="I402" s="226" t="b">
        <v>0</v>
      </c>
      <c r="K402" s="226">
        <v>164</v>
      </c>
      <c r="L402" s="226">
        <v>1</v>
      </c>
      <c r="M402" s="226">
        <v>1</v>
      </c>
      <c r="N402" s="226">
        <v>1</v>
      </c>
    </row>
    <row r="403" spans="6:14" x14ac:dyDescent="0.2">
      <c r="F403" s="226">
        <v>165</v>
      </c>
      <c r="G403" s="226" t="b">
        <v>0</v>
      </c>
      <c r="H403" s="226" t="b">
        <v>0</v>
      </c>
      <c r="I403" s="226" t="b">
        <v>0</v>
      </c>
      <c r="K403" s="226">
        <v>165</v>
      </c>
      <c r="L403" s="226">
        <v>1</v>
      </c>
      <c r="M403" s="226">
        <v>1</v>
      </c>
      <c r="N403" s="226">
        <v>1</v>
      </c>
    </row>
    <row r="404" spans="6:14" x14ac:dyDescent="0.2">
      <c r="F404" s="226">
        <v>166</v>
      </c>
      <c r="G404" s="226" t="b">
        <v>0</v>
      </c>
      <c r="H404" s="226" t="b">
        <v>0</v>
      </c>
      <c r="I404" s="226" t="b">
        <v>0</v>
      </c>
      <c r="K404" s="226">
        <v>166</v>
      </c>
      <c r="L404" s="226">
        <v>1</v>
      </c>
      <c r="M404" s="226">
        <v>1</v>
      </c>
      <c r="N404" s="226">
        <v>1</v>
      </c>
    </row>
    <row r="405" spans="6:14" x14ac:dyDescent="0.2">
      <c r="F405" s="226">
        <v>167</v>
      </c>
      <c r="G405" s="226" t="b">
        <v>0</v>
      </c>
      <c r="H405" s="226" t="b">
        <v>0</v>
      </c>
      <c r="I405" s="226" t="b">
        <v>0</v>
      </c>
      <c r="K405" s="226">
        <v>167</v>
      </c>
      <c r="L405" s="226">
        <v>1</v>
      </c>
      <c r="M405" s="226">
        <v>1</v>
      </c>
      <c r="N405" s="226">
        <v>1</v>
      </c>
    </row>
    <row r="406" spans="6:14" x14ac:dyDescent="0.2">
      <c r="F406" s="226">
        <v>168</v>
      </c>
      <c r="G406" s="226" t="b">
        <v>0</v>
      </c>
      <c r="H406" s="226" t="b">
        <v>0</v>
      </c>
      <c r="I406" s="226" t="b">
        <v>0</v>
      </c>
      <c r="K406" s="226">
        <v>168</v>
      </c>
      <c r="L406" s="226">
        <v>1</v>
      </c>
      <c r="M406" s="226">
        <v>1</v>
      </c>
      <c r="N406" s="226">
        <v>1</v>
      </c>
    </row>
    <row r="407" spans="6:14" x14ac:dyDescent="0.2">
      <c r="F407" s="226">
        <v>169</v>
      </c>
      <c r="G407" s="226" t="b">
        <v>0</v>
      </c>
      <c r="H407" s="226" t="b">
        <v>0</v>
      </c>
      <c r="I407" s="226" t="b">
        <v>0</v>
      </c>
      <c r="K407" s="226">
        <v>169</v>
      </c>
      <c r="L407" s="226">
        <v>1</v>
      </c>
      <c r="M407" s="226">
        <v>1</v>
      </c>
      <c r="N407" s="226">
        <v>1</v>
      </c>
    </row>
    <row r="408" spans="6:14" x14ac:dyDescent="0.2">
      <c r="F408" s="226">
        <v>170</v>
      </c>
      <c r="G408" s="226" t="b">
        <v>0</v>
      </c>
      <c r="H408" s="226" t="b">
        <v>0</v>
      </c>
      <c r="I408" s="226" t="b">
        <v>0</v>
      </c>
      <c r="K408" s="226">
        <v>170</v>
      </c>
      <c r="L408" s="226">
        <v>1</v>
      </c>
      <c r="M408" s="226">
        <v>1</v>
      </c>
      <c r="N408" s="226">
        <v>1</v>
      </c>
    </row>
    <row r="409" spans="6:14" x14ac:dyDescent="0.2">
      <c r="F409" s="226">
        <v>171</v>
      </c>
      <c r="G409" s="226" t="b">
        <v>0</v>
      </c>
      <c r="H409" s="226" t="b">
        <v>0</v>
      </c>
      <c r="I409" s="226" t="b">
        <v>0</v>
      </c>
      <c r="K409" s="226">
        <v>171</v>
      </c>
      <c r="L409" s="226">
        <v>1</v>
      </c>
      <c r="M409" s="226">
        <v>1</v>
      </c>
      <c r="N409" s="226">
        <v>1</v>
      </c>
    </row>
    <row r="410" spans="6:14" x14ac:dyDescent="0.2">
      <c r="F410" s="226">
        <v>172</v>
      </c>
      <c r="G410" s="226" t="b">
        <v>0</v>
      </c>
      <c r="H410" s="226" t="b">
        <v>0</v>
      </c>
      <c r="I410" s="226" t="b">
        <v>0</v>
      </c>
      <c r="K410" s="226">
        <v>172</v>
      </c>
      <c r="L410" s="226">
        <v>1</v>
      </c>
      <c r="M410" s="226">
        <v>1</v>
      </c>
      <c r="N410" s="226">
        <v>1</v>
      </c>
    </row>
    <row r="411" spans="6:14" x14ac:dyDescent="0.2">
      <c r="F411" s="226">
        <v>173</v>
      </c>
      <c r="G411" s="226" t="b">
        <v>0</v>
      </c>
      <c r="H411" s="226" t="b">
        <v>0</v>
      </c>
      <c r="I411" s="226" t="b">
        <v>0</v>
      </c>
      <c r="K411" s="226">
        <v>173</v>
      </c>
      <c r="L411" s="226">
        <v>1</v>
      </c>
      <c r="M411" s="226">
        <v>1</v>
      </c>
      <c r="N411" s="226">
        <v>1</v>
      </c>
    </row>
    <row r="412" spans="6:14" x14ac:dyDescent="0.2">
      <c r="F412" s="226">
        <v>174</v>
      </c>
      <c r="G412" s="226" t="b">
        <v>0</v>
      </c>
      <c r="H412" s="226" t="b">
        <v>0</v>
      </c>
      <c r="I412" s="226" t="b">
        <v>0</v>
      </c>
      <c r="K412" s="226">
        <v>174</v>
      </c>
      <c r="L412" s="226">
        <v>1</v>
      </c>
      <c r="M412" s="226">
        <v>1</v>
      </c>
      <c r="N412" s="226">
        <v>1</v>
      </c>
    </row>
    <row r="413" spans="6:14" x14ac:dyDescent="0.2">
      <c r="F413" s="226">
        <v>175</v>
      </c>
      <c r="G413" s="226" t="b">
        <v>0</v>
      </c>
      <c r="H413" s="226" t="b">
        <v>0</v>
      </c>
      <c r="I413" s="226" t="b">
        <v>0</v>
      </c>
      <c r="K413" s="226">
        <v>175</v>
      </c>
      <c r="L413" s="226">
        <v>1</v>
      </c>
      <c r="M413" s="226">
        <v>1</v>
      </c>
      <c r="N413" s="226">
        <v>1</v>
      </c>
    </row>
    <row r="414" spans="6:14" x14ac:dyDescent="0.2">
      <c r="F414" s="226">
        <v>176</v>
      </c>
      <c r="G414" s="226" t="b">
        <v>0</v>
      </c>
      <c r="H414" s="226" t="b">
        <v>0</v>
      </c>
      <c r="I414" s="226" t="b">
        <v>0</v>
      </c>
      <c r="K414" s="226">
        <v>176</v>
      </c>
      <c r="L414" s="226">
        <v>1</v>
      </c>
      <c r="M414" s="226">
        <v>1</v>
      </c>
      <c r="N414" s="226">
        <v>1</v>
      </c>
    </row>
    <row r="415" spans="6:14" x14ac:dyDescent="0.2">
      <c r="F415" s="226">
        <v>177</v>
      </c>
      <c r="G415" s="226" t="b">
        <v>0</v>
      </c>
      <c r="H415" s="226" t="b">
        <v>0</v>
      </c>
      <c r="I415" s="226" t="b">
        <v>0</v>
      </c>
      <c r="K415" s="226">
        <v>177</v>
      </c>
      <c r="L415" s="226">
        <v>1</v>
      </c>
      <c r="M415" s="226">
        <v>1</v>
      </c>
      <c r="N415" s="226">
        <v>1</v>
      </c>
    </row>
    <row r="416" spans="6:14" x14ac:dyDescent="0.2">
      <c r="F416" s="226">
        <v>178</v>
      </c>
      <c r="G416" s="226" t="b">
        <v>0</v>
      </c>
      <c r="H416" s="226" t="b">
        <v>0</v>
      </c>
      <c r="I416" s="226" t="b">
        <v>0</v>
      </c>
      <c r="K416" s="226">
        <v>178</v>
      </c>
      <c r="L416" s="226">
        <v>1</v>
      </c>
      <c r="M416" s="226">
        <v>1</v>
      </c>
      <c r="N416" s="226">
        <v>1</v>
      </c>
    </row>
    <row r="417" spans="6:14" x14ac:dyDescent="0.2">
      <c r="F417" s="226">
        <v>179</v>
      </c>
      <c r="G417" s="226" t="b">
        <v>0</v>
      </c>
      <c r="H417" s="226" t="b">
        <v>0</v>
      </c>
      <c r="I417" s="226" t="b">
        <v>0</v>
      </c>
      <c r="K417" s="226">
        <v>179</v>
      </c>
      <c r="L417" s="226">
        <v>1</v>
      </c>
      <c r="M417" s="226">
        <v>1</v>
      </c>
      <c r="N417" s="226">
        <v>1</v>
      </c>
    </row>
    <row r="418" spans="6:14" x14ac:dyDescent="0.2">
      <c r="F418" s="226">
        <v>180</v>
      </c>
      <c r="G418" s="226" t="b">
        <v>0</v>
      </c>
      <c r="H418" s="226" t="b">
        <v>0</v>
      </c>
      <c r="I418" s="226" t="b">
        <v>0</v>
      </c>
      <c r="K418" s="226">
        <v>180</v>
      </c>
      <c r="L418" s="226">
        <v>1</v>
      </c>
      <c r="M418" s="226">
        <v>1</v>
      </c>
      <c r="N418" s="226">
        <v>1</v>
      </c>
    </row>
    <row r="419" spans="6:14" x14ac:dyDescent="0.2">
      <c r="F419" s="226">
        <v>181</v>
      </c>
      <c r="G419" s="226" t="b">
        <v>0</v>
      </c>
      <c r="H419" s="226" t="b">
        <v>0</v>
      </c>
      <c r="I419" s="226" t="b">
        <v>0</v>
      </c>
      <c r="K419" s="226">
        <v>181</v>
      </c>
      <c r="L419" s="226">
        <v>1</v>
      </c>
      <c r="M419" s="226">
        <v>1</v>
      </c>
      <c r="N419" s="226">
        <v>1</v>
      </c>
    </row>
    <row r="420" spans="6:14" x14ac:dyDescent="0.2">
      <c r="F420" s="226">
        <v>182</v>
      </c>
      <c r="G420" s="226" t="b">
        <v>0</v>
      </c>
      <c r="H420" s="226" t="b">
        <v>0</v>
      </c>
      <c r="I420" s="226" t="b">
        <v>0</v>
      </c>
      <c r="K420" s="226">
        <v>182</v>
      </c>
      <c r="L420" s="226">
        <v>1</v>
      </c>
      <c r="M420" s="226">
        <v>1</v>
      </c>
      <c r="N420" s="226">
        <v>1</v>
      </c>
    </row>
    <row r="421" spans="6:14" x14ac:dyDescent="0.2">
      <c r="F421" s="226">
        <v>183</v>
      </c>
      <c r="G421" s="226" t="b">
        <v>0</v>
      </c>
      <c r="H421" s="226" t="b">
        <v>0</v>
      </c>
      <c r="I421" s="226" t="b">
        <v>0</v>
      </c>
      <c r="K421" s="226">
        <v>183</v>
      </c>
      <c r="L421" s="226">
        <v>1</v>
      </c>
      <c r="M421" s="226">
        <v>1</v>
      </c>
      <c r="N421" s="226">
        <v>1</v>
      </c>
    </row>
    <row r="422" spans="6:14" x14ac:dyDescent="0.2">
      <c r="F422" s="226">
        <v>184</v>
      </c>
      <c r="G422" s="226" t="b">
        <v>0</v>
      </c>
      <c r="H422" s="226" t="b">
        <v>0</v>
      </c>
      <c r="I422" s="226" t="b">
        <v>0</v>
      </c>
      <c r="K422" s="226">
        <v>184</v>
      </c>
      <c r="L422" s="226">
        <v>1</v>
      </c>
      <c r="M422" s="226">
        <v>1</v>
      </c>
      <c r="N422" s="226">
        <v>1</v>
      </c>
    </row>
    <row r="423" spans="6:14" x14ac:dyDescent="0.2">
      <c r="F423" s="226">
        <v>185</v>
      </c>
      <c r="G423" s="226" t="b">
        <v>0</v>
      </c>
      <c r="H423" s="226" t="b">
        <v>0</v>
      </c>
      <c r="I423" s="226" t="b">
        <v>0</v>
      </c>
      <c r="K423" s="226">
        <v>185</v>
      </c>
      <c r="L423" s="226">
        <v>1</v>
      </c>
      <c r="M423" s="226">
        <v>1</v>
      </c>
      <c r="N423" s="226">
        <v>1</v>
      </c>
    </row>
    <row r="424" spans="6:14" x14ac:dyDescent="0.2">
      <c r="F424" s="226">
        <v>186</v>
      </c>
      <c r="G424" s="226" t="b">
        <v>0</v>
      </c>
      <c r="H424" s="226" t="b">
        <v>0</v>
      </c>
      <c r="I424" s="226" t="b">
        <v>0</v>
      </c>
      <c r="K424" s="226">
        <v>186</v>
      </c>
      <c r="L424" s="226">
        <v>1</v>
      </c>
      <c r="M424" s="226">
        <v>1</v>
      </c>
      <c r="N424" s="226">
        <v>1</v>
      </c>
    </row>
    <row r="425" spans="6:14" x14ac:dyDescent="0.2">
      <c r="F425" s="226">
        <v>187</v>
      </c>
      <c r="G425" s="226" t="b">
        <v>0</v>
      </c>
      <c r="H425" s="226" t="b">
        <v>0</v>
      </c>
      <c r="I425" s="226" t="b">
        <v>0</v>
      </c>
      <c r="K425" s="226">
        <v>187</v>
      </c>
      <c r="L425" s="226">
        <v>1</v>
      </c>
      <c r="M425" s="226">
        <v>1</v>
      </c>
      <c r="N425" s="226">
        <v>1</v>
      </c>
    </row>
    <row r="426" spans="6:14" x14ac:dyDescent="0.2">
      <c r="F426" s="226">
        <v>188</v>
      </c>
      <c r="G426" s="226" t="b">
        <v>0</v>
      </c>
      <c r="H426" s="226" t="b">
        <v>0</v>
      </c>
      <c r="I426" s="226" t="b">
        <v>0</v>
      </c>
      <c r="K426" s="226">
        <v>188</v>
      </c>
      <c r="L426" s="226">
        <v>1</v>
      </c>
      <c r="M426" s="226">
        <v>1</v>
      </c>
      <c r="N426" s="226">
        <v>1</v>
      </c>
    </row>
    <row r="427" spans="6:14" x14ac:dyDescent="0.2">
      <c r="F427" s="226">
        <v>189</v>
      </c>
      <c r="G427" s="226" t="b">
        <v>0</v>
      </c>
      <c r="H427" s="226" t="b">
        <v>0</v>
      </c>
      <c r="I427" s="226" t="b">
        <v>0</v>
      </c>
      <c r="K427" s="226">
        <v>189</v>
      </c>
      <c r="L427" s="226">
        <v>1</v>
      </c>
      <c r="M427" s="226">
        <v>1</v>
      </c>
      <c r="N427" s="226">
        <v>1</v>
      </c>
    </row>
    <row r="428" spans="6:14" x14ac:dyDescent="0.2">
      <c r="F428" s="226">
        <v>190</v>
      </c>
      <c r="G428" s="226" t="b">
        <v>0</v>
      </c>
      <c r="H428" s="226" t="b">
        <v>0</v>
      </c>
      <c r="I428" s="226" t="b">
        <v>0</v>
      </c>
      <c r="K428" s="226">
        <v>190</v>
      </c>
      <c r="L428" s="226">
        <v>1</v>
      </c>
      <c r="M428" s="226">
        <v>1</v>
      </c>
      <c r="N428" s="226">
        <v>1</v>
      </c>
    </row>
    <row r="429" spans="6:14" x14ac:dyDescent="0.2">
      <c r="F429" s="226">
        <v>191</v>
      </c>
      <c r="G429" s="226" t="b">
        <v>0</v>
      </c>
      <c r="H429" s="226" t="b">
        <v>0</v>
      </c>
      <c r="I429" s="226" t="b">
        <v>0</v>
      </c>
      <c r="K429" s="226">
        <v>191</v>
      </c>
      <c r="L429" s="226">
        <v>1</v>
      </c>
      <c r="M429" s="226">
        <v>1</v>
      </c>
      <c r="N429" s="226">
        <v>1</v>
      </c>
    </row>
    <row r="430" spans="6:14" x14ac:dyDescent="0.2">
      <c r="F430" s="226">
        <v>192</v>
      </c>
      <c r="G430" s="226" t="b">
        <v>0</v>
      </c>
      <c r="H430" s="226" t="b">
        <v>0</v>
      </c>
      <c r="I430" s="226" t="b">
        <v>0</v>
      </c>
      <c r="K430" s="226">
        <v>192</v>
      </c>
      <c r="L430" s="226">
        <v>1</v>
      </c>
      <c r="M430" s="226">
        <v>1</v>
      </c>
      <c r="N430" s="226">
        <v>1</v>
      </c>
    </row>
    <row r="431" spans="6:14" x14ac:dyDescent="0.2">
      <c r="F431" s="226">
        <v>193</v>
      </c>
      <c r="G431" s="226" t="b">
        <v>0</v>
      </c>
      <c r="H431" s="226" t="b">
        <v>0</v>
      </c>
      <c r="I431" s="226" t="b">
        <v>0</v>
      </c>
      <c r="K431" s="226">
        <v>193</v>
      </c>
      <c r="L431" s="226">
        <v>1</v>
      </c>
      <c r="M431" s="226">
        <v>1</v>
      </c>
      <c r="N431" s="226">
        <v>1</v>
      </c>
    </row>
    <row r="432" spans="6:14" x14ac:dyDescent="0.2">
      <c r="F432" s="226">
        <v>194</v>
      </c>
      <c r="G432" s="226" t="b">
        <v>0</v>
      </c>
      <c r="H432" s="226" t="b">
        <v>0</v>
      </c>
      <c r="I432" s="226" t="b">
        <v>0</v>
      </c>
      <c r="K432" s="226">
        <v>194</v>
      </c>
      <c r="L432" s="226">
        <v>1</v>
      </c>
      <c r="M432" s="226">
        <v>1</v>
      </c>
      <c r="N432" s="226">
        <v>1</v>
      </c>
    </row>
    <row r="433" spans="1:201" x14ac:dyDescent="0.2">
      <c r="F433" s="226">
        <v>195</v>
      </c>
      <c r="G433" s="226" t="b">
        <v>0</v>
      </c>
      <c r="H433" s="226" t="b">
        <v>0</v>
      </c>
      <c r="I433" s="226" t="b">
        <v>0</v>
      </c>
      <c r="K433" s="226">
        <v>195</v>
      </c>
      <c r="L433" s="226">
        <v>1</v>
      </c>
      <c r="M433" s="226">
        <v>1</v>
      </c>
      <c r="N433" s="226">
        <v>1</v>
      </c>
    </row>
    <row r="434" spans="1:201" x14ac:dyDescent="0.2">
      <c r="F434" s="226">
        <v>196</v>
      </c>
      <c r="G434" s="226" t="b">
        <v>0</v>
      </c>
      <c r="H434" s="226" t="b">
        <v>0</v>
      </c>
      <c r="I434" s="226" t="b">
        <v>0</v>
      </c>
      <c r="K434" s="226">
        <v>196</v>
      </c>
      <c r="L434" s="226">
        <v>1</v>
      </c>
      <c r="M434" s="226">
        <v>1</v>
      </c>
      <c r="N434" s="226">
        <v>1</v>
      </c>
    </row>
    <row r="435" spans="1:201" x14ac:dyDescent="0.2">
      <c r="F435" s="226">
        <v>197</v>
      </c>
      <c r="G435" s="226" t="b">
        <v>0</v>
      </c>
      <c r="H435" s="226" t="b">
        <v>0</v>
      </c>
      <c r="I435" s="226" t="b">
        <v>0</v>
      </c>
      <c r="K435" s="226">
        <v>197</v>
      </c>
      <c r="L435" s="226">
        <v>1</v>
      </c>
      <c r="M435" s="226">
        <v>1</v>
      </c>
      <c r="N435" s="226">
        <v>1</v>
      </c>
    </row>
    <row r="436" spans="1:201" x14ac:dyDescent="0.2">
      <c r="F436" s="226">
        <v>198</v>
      </c>
      <c r="G436" s="226" t="b">
        <v>0</v>
      </c>
      <c r="H436" s="226" t="b">
        <v>0</v>
      </c>
      <c r="I436" s="226" t="b">
        <v>0</v>
      </c>
      <c r="K436" s="226">
        <v>198</v>
      </c>
      <c r="L436" s="226">
        <v>1</v>
      </c>
      <c r="M436" s="226">
        <v>1</v>
      </c>
      <c r="N436" s="226">
        <v>1</v>
      </c>
    </row>
    <row r="437" spans="1:201" x14ac:dyDescent="0.2">
      <c r="F437" s="226">
        <v>199</v>
      </c>
      <c r="G437" s="226" t="b">
        <v>0</v>
      </c>
      <c r="H437" s="226" t="b">
        <v>0</v>
      </c>
      <c r="I437" s="226" t="b">
        <v>0</v>
      </c>
      <c r="K437" s="226">
        <v>199</v>
      </c>
      <c r="L437" s="226">
        <v>1</v>
      </c>
      <c r="M437" s="226">
        <v>1</v>
      </c>
      <c r="N437" s="226">
        <v>1</v>
      </c>
    </row>
    <row r="438" spans="1:201" x14ac:dyDescent="0.2">
      <c r="F438" s="226">
        <v>200</v>
      </c>
      <c r="G438" s="226" t="b">
        <v>0</v>
      </c>
      <c r="H438" s="226" t="b">
        <v>0</v>
      </c>
      <c r="I438" s="226" t="b">
        <v>0</v>
      </c>
      <c r="K438" s="226">
        <v>200</v>
      </c>
      <c r="L438" s="226">
        <v>1</v>
      </c>
      <c r="M438" s="226">
        <v>1</v>
      </c>
      <c r="N438" s="226">
        <v>1</v>
      </c>
    </row>
    <row r="440" spans="1:201" x14ac:dyDescent="0.2">
      <c r="A440" s="225" t="s">
        <v>116</v>
      </c>
      <c r="B440" s="225">
        <f>IF(G239,1,0)</f>
        <v>0</v>
      </c>
      <c r="C440" s="225">
        <f>IF(G240,1,0)</f>
        <v>0</v>
      </c>
      <c r="D440" s="225">
        <f>IF(G241,1,0)</f>
        <v>0</v>
      </c>
      <c r="E440" s="225">
        <f>IF(G242,1,0)</f>
        <v>0</v>
      </c>
      <c r="F440" s="225">
        <f>IF(G243,1,0)</f>
        <v>0</v>
      </c>
      <c r="G440" s="225">
        <f>IF(G244,1,0)</f>
        <v>0</v>
      </c>
      <c r="H440" s="225">
        <f>IF(G245,1,0)</f>
        <v>0</v>
      </c>
      <c r="I440" s="225">
        <f>IF(G246,1,0)</f>
        <v>0</v>
      </c>
      <c r="J440" s="225">
        <f>IF(G247,1,0)</f>
        <v>0</v>
      </c>
      <c r="K440" s="225">
        <f>IF(G248,1,0)</f>
        <v>0</v>
      </c>
      <c r="L440" s="225">
        <f>IF(G249,1,0)</f>
        <v>0</v>
      </c>
      <c r="M440" s="225">
        <f>IF(G250,1,0)</f>
        <v>0</v>
      </c>
      <c r="N440" s="225">
        <f>IF(G251,1,0)</f>
        <v>0</v>
      </c>
      <c r="O440" s="225">
        <f>IF(G252,1,0)</f>
        <v>0</v>
      </c>
      <c r="P440" s="225">
        <f>IF(G253,1,0)</f>
        <v>0</v>
      </c>
      <c r="Q440" s="225">
        <f>IF(G254,1,0)</f>
        <v>0</v>
      </c>
      <c r="R440" s="225">
        <f>IF(G255,1,0)</f>
        <v>0</v>
      </c>
      <c r="S440" s="225">
        <f>IF(G256,1,0)</f>
        <v>0</v>
      </c>
      <c r="T440" s="225">
        <f>IF(G257,1,0)</f>
        <v>0</v>
      </c>
      <c r="U440" s="225">
        <f>IF(G258,1,0)</f>
        <v>0</v>
      </c>
      <c r="V440" s="225">
        <f>IF(G259,1,0)</f>
        <v>0</v>
      </c>
      <c r="W440" s="225">
        <f>IF(G260,1,0)</f>
        <v>0</v>
      </c>
      <c r="X440" s="225">
        <f>IF(G261,1,0)</f>
        <v>0</v>
      </c>
      <c r="Y440" s="225">
        <f>IF(G262,1,0)</f>
        <v>0</v>
      </c>
      <c r="Z440" s="225">
        <f>IF(G263,1,0)</f>
        <v>0</v>
      </c>
      <c r="AA440" s="225">
        <f>IF(G264,1,0)</f>
        <v>0</v>
      </c>
      <c r="AB440" s="225">
        <f>IF(G265,1,0)</f>
        <v>0</v>
      </c>
      <c r="AC440" s="225">
        <f>IF(G266,1,0)</f>
        <v>0</v>
      </c>
      <c r="AD440" s="225">
        <f>IF(G267,1,0)</f>
        <v>0</v>
      </c>
      <c r="AE440" s="225">
        <f>IF(G268,1,0)</f>
        <v>0</v>
      </c>
      <c r="AF440" s="225">
        <f>IF(G269,1,0)</f>
        <v>0</v>
      </c>
      <c r="AG440" s="225">
        <f>IF(G270,1,0)</f>
        <v>0</v>
      </c>
      <c r="AH440" s="225">
        <f>IF(G271,1,0)</f>
        <v>0</v>
      </c>
      <c r="AI440" s="225">
        <f>IF(G272,1,0)</f>
        <v>0</v>
      </c>
      <c r="AJ440" s="225">
        <f>IF(G273,1,0)</f>
        <v>0</v>
      </c>
      <c r="AK440" s="225">
        <f>IF(G274,1,0)</f>
        <v>0</v>
      </c>
      <c r="AL440" s="225">
        <f>IF(G275,1,0)</f>
        <v>0</v>
      </c>
      <c r="AM440" s="225">
        <f>IF(G276,1,0)</f>
        <v>0</v>
      </c>
      <c r="AN440" s="225">
        <f>IF(G277,1,0)</f>
        <v>0</v>
      </c>
      <c r="AO440" s="225">
        <f>IF(G278,1,0)</f>
        <v>0</v>
      </c>
      <c r="AP440" s="225">
        <f>IF(G279,1,0)</f>
        <v>0</v>
      </c>
      <c r="AQ440" s="225">
        <f>IF(G280,1,0)</f>
        <v>0</v>
      </c>
      <c r="AR440" s="225">
        <f>IF(G281,1,0)</f>
        <v>0</v>
      </c>
      <c r="AS440" s="225">
        <f>IF(G282,1,0)</f>
        <v>0</v>
      </c>
      <c r="AT440" s="225">
        <f>IF(G283,1,0)</f>
        <v>0</v>
      </c>
      <c r="AU440" s="225">
        <f>IF(G284,1,0)</f>
        <v>0</v>
      </c>
      <c r="AV440" s="225">
        <f>IF(G285,1,0)</f>
        <v>0</v>
      </c>
      <c r="AW440" s="225">
        <f>IF(G286,1,0)</f>
        <v>0</v>
      </c>
      <c r="AX440" s="225">
        <f>IF(G287,1,0)</f>
        <v>0</v>
      </c>
      <c r="AY440" s="225">
        <f>IF(G288,1,0)</f>
        <v>0</v>
      </c>
      <c r="AZ440" s="225">
        <f>IF(G289,1,0)</f>
        <v>0</v>
      </c>
      <c r="BA440" s="225">
        <f>IF(G290,1,0)</f>
        <v>0</v>
      </c>
      <c r="BB440" s="225">
        <f>IF(G291,1,0)</f>
        <v>0</v>
      </c>
      <c r="BC440" s="225">
        <f>IF(G292,1,0)</f>
        <v>0</v>
      </c>
      <c r="BD440" s="225">
        <f>IF(G293,1,0)</f>
        <v>0</v>
      </c>
      <c r="BE440" s="225">
        <f>IF(G294,1,0)</f>
        <v>0</v>
      </c>
      <c r="BF440" s="225">
        <f>IF(G295,1,0)</f>
        <v>0</v>
      </c>
      <c r="BG440" s="225">
        <f>IF(G296,1,0)</f>
        <v>0</v>
      </c>
      <c r="BH440" s="225">
        <f>IF(G297,1,0)</f>
        <v>0</v>
      </c>
      <c r="BI440" s="225">
        <f>IF(G298,1,0)</f>
        <v>0</v>
      </c>
      <c r="BJ440" s="225">
        <f>IF(G299,1,0)</f>
        <v>0</v>
      </c>
      <c r="BK440" s="225">
        <f>IF(G300,1,0)</f>
        <v>0</v>
      </c>
      <c r="BL440" s="225">
        <f>IF(G301,1,0)</f>
        <v>0</v>
      </c>
      <c r="BM440" s="225">
        <f>IF(G302,1,0)</f>
        <v>0</v>
      </c>
      <c r="BN440" s="225">
        <f>IF(G303,1,0)</f>
        <v>0</v>
      </c>
      <c r="BO440" s="225">
        <f>IF(G304,1,0)</f>
        <v>0</v>
      </c>
      <c r="BP440" s="225">
        <f>IF(G305,1,0)</f>
        <v>0</v>
      </c>
      <c r="BQ440" s="225">
        <f>IF(G306,1,0)</f>
        <v>0</v>
      </c>
      <c r="BR440" s="225">
        <f>IF(G307,1,0)</f>
        <v>0</v>
      </c>
      <c r="BS440" s="225">
        <f>IF(G308,1,0)</f>
        <v>0</v>
      </c>
      <c r="BT440" s="225">
        <f>IF(G309,1,0)</f>
        <v>0</v>
      </c>
      <c r="BU440" s="225">
        <f>IF(G310,1,0)</f>
        <v>0</v>
      </c>
      <c r="BV440" s="225">
        <f>IF(G311,1,0)</f>
        <v>0</v>
      </c>
      <c r="BW440" s="225">
        <f>IF(G312,1,0)</f>
        <v>0</v>
      </c>
      <c r="BX440" s="225">
        <f>IF(G313,1,0)</f>
        <v>0</v>
      </c>
      <c r="BY440" s="225">
        <f>IF(G314,1,0)</f>
        <v>0</v>
      </c>
      <c r="BZ440" s="225">
        <f>IF(G315,1,0)</f>
        <v>0</v>
      </c>
      <c r="CA440" s="225">
        <f>IF(G316,1,0)</f>
        <v>0</v>
      </c>
      <c r="CB440" s="225">
        <f>IF(G317,1,0)</f>
        <v>0</v>
      </c>
      <c r="CC440" s="225">
        <f>IF(G318,1,0)</f>
        <v>0</v>
      </c>
      <c r="CD440" s="225">
        <f>IF(G319,1,0)</f>
        <v>0</v>
      </c>
      <c r="CE440" s="225">
        <f>IF(G320,1,0)</f>
        <v>0</v>
      </c>
      <c r="CF440" s="225">
        <f>IF(G321,1,0)</f>
        <v>0</v>
      </c>
      <c r="CG440" s="225">
        <f>IF(G322,1,0)</f>
        <v>0</v>
      </c>
      <c r="CH440" s="225">
        <f>IF(G323,1,0)</f>
        <v>0</v>
      </c>
      <c r="CI440" s="225">
        <f>IF(G324,1,0)</f>
        <v>0</v>
      </c>
      <c r="CJ440" s="225">
        <f>IF(G325,1,0)</f>
        <v>0</v>
      </c>
      <c r="CK440" s="225">
        <f>IF(G326,1,0)</f>
        <v>0</v>
      </c>
      <c r="CL440" s="225">
        <f>IF(G327,1,0)</f>
        <v>0</v>
      </c>
      <c r="CM440" s="225">
        <f>IF(G328,1,0)</f>
        <v>0</v>
      </c>
      <c r="CN440" s="225">
        <f>IF(G329,1,0)</f>
        <v>0</v>
      </c>
      <c r="CO440" s="225">
        <f>IF(G330,1,0)</f>
        <v>0</v>
      </c>
      <c r="CP440" s="225">
        <f>IF(G331,1,0)</f>
        <v>0</v>
      </c>
      <c r="CQ440" s="225">
        <f>IF(G332,1,0)</f>
        <v>0</v>
      </c>
      <c r="CR440" s="225">
        <f>IF(G333,1,0)</f>
        <v>0</v>
      </c>
      <c r="CS440" s="225">
        <f>IF(G334,1,0)</f>
        <v>0</v>
      </c>
      <c r="CT440" s="225">
        <f>IF(G335,1,0)</f>
        <v>0</v>
      </c>
      <c r="CU440" s="225">
        <f>IF(G336,1,0)</f>
        <v>0</v>
      </c>
      <c r="CV440" s="225">
        <f>IF(G337,1,0)</f>
        <v>0</v>
      </c>
      <c r="CW440" s="225">
        <f>IF(G338,1,0)</f>
        <v>0</v>
      </c>
      <c r="CX440" s="225">
        <f>IF(G339,1,0)</f>
        <v>0</v>
      </c>
      <c r="CY440" s="225">
        <f>IF(G340,1,0)</f>
        <v>0</v>
      </c>
      <c r="CZ440" s="225">
        <f>IF(G341,1,0)</f>
        <v>0</v>
      </c>
      <c r="DA440" s="225">
        <f>IF(G342,1,0)</f>
        <v>0</v>
      </c>
      <c r="DB440" s="225">
        <f>IF(G343,1,0)</f>
        <v>0</v>
      </c>
      <c r="DC440" s="225">
        <f>IF(G344,1,0)</f>
        <v>0</v>
      </c>
      <c r="DD440" s="225">
        <f>IF(G345,1,0)</f>
        <v>0</v>
      </c>
      <c r="DE440" s="225">
        <f>IF(G346,1,0)</f>
        <v>0</v>
      </c>
      <c r="DF440" s="225">
        <f>IF(G347,1,0)</f>
        <v>0</v>
      </c>
      <c r="DG440" s="225">
        <f>IF(G348,1,0)</f>
        <v>0</v>
      </c>
      <c r="DH440" s="225">
        <f>IF(G349,1,0)</f>
        <v>0</v>
      </c>
      <c r="DI440" s="225">
        <f>IF(G350,1,0)</f>
        <v>0</v>
      </c>
      <c r="DJ440" s="225">
        <f>IF(G351,1,0)</f>
        <v>0</v>
      </c>
      <c r="DK440" s="225">
        <f>IF(G352,1,0)</f>
        <v>0</v>
      </c>
      <c r="DL440" s="225">
        <f>IF(G353,1,0)</f>
        <v>0</v>
      </c>
      <c r="DM440" s="225">
        <f>IF(G354,1,0)</f>
        <v>0</v>
      </c>
      <c r="DN440" s="225">
        <f>IF(G355,1,0)</f>
        <v>0</v>
      </c>
      <c r="DO440" s="225">
        <f>IF(G356,1,0)</f>
        <v>0</v>
      </c>
      <c r="DP440" s="225">
        <f>IF(G357,1,0)</f>
        <v>0</v>
      </c>
      <c r="DQ440" s="225">
        <f>IF(G358,1,0)</f>
        <v>0</v>
      </c>
      <c r="DR440" s="225">
        <f>IF(G359,1,0)</f>
        <v>0</v>
      </c>
      <c r="DS440" s="225">
        <f>IF(G360,1,0)</f>
        <v>0</v>
      </c>
      <c r="DT440" s="225">
        <f>IF(G361,1,0)</f>
        <v>0</v>
      </c>
      <c r="DU440" s="225">
        <f>IF(G362,1,0)</f>
        <v>0</v>
      </c>
      <c r="DV440" s="225">
        <f>IF(G363,1,0)</f>
        <v>0</v>
      </c>
      <c r="DW440" s="225">
        <f>IF(G364,1,0)</f>
        <v>0</v>
      </c>
      <c r="DX440" s="225">
        <f>IF(G365,1,0)</f>
        <v>0</v>
      </c>
      <c r="DY440" s="225">
        <f>IF(G366,1,0)</f>
        <v>0</v>
      </c>
      <c r="DZ440" s="225">
        <f>IF(G367,1,0)</f>
        <v>0</v>
      </c>
      <c r="EA440" s="225">
        <f>IF(G368,1,0)</f>
        <v>0</v>
      </c>
      <c r="EB440" s="225">
        <f>IF(G369,1,0)</f>
        <v>0</v>
      </c>
      <c r="EC440" s="225">
        <f>IF(G370,1,0)</f>
        <v>0</v>
      </c>
      <c r="ED440" s="225">
        <f>IF(G371,1,0)</f>
        <v>0</v>
      </c>
      <c r="EE440" s="225">
        <f>IF(G372,1,0)</f>
        <v>0</v>
      </c>
      <c r="EF440" s="225">
        <f>IF(G373,1,0)</f>
        <v>0</v>
      </c>
      <c r="EG440" s="225">
        <f>IF(G374,1,0)</f>
        <v>0</v>
      </c>
      <c r="EH440" s="225">
        <f>IF(G375,1,0)</f>
        <v>0</v>
      </c>
      <c r="EI440" s="225">
        <f>IF(G376,1,0)</f>
        <v>0</v>
      </c>
      <c r="EJ440" s="225">
        <f>IF(G377,1,0)</f>
        <v>0</v>
      </c>
      <c r="EK440" s="225">
        <f>IF(G378,1,0)</f>
        <v>0</v>
      </c>
      <c r="EL440" s="225">
        <f>IF(G379,1,0)</f>
        <v>0</v>
      </c>
      <c r="EM440" s="225">
        <f>IF(G380,1,0)</f>
        <v>0</v>
      </c>
      <c r="EN440" s="225">
        <f>IF(G381,1,0)</f>
        <v>0</v>
      </c>
      <c r="EO440" s="225">
        <f>IF(G382,1,0)</f>
        <v>0</v>
      </c>
      <c r="EP440" s="225">
        <f>IF(G383,1,0)</f>
        <v>0</v>
      </c>
      <c r="EQ440" s="225">
        <f>IF(G384,1,0)</f>
        <v>0</v>
      </c>
      <c r="ER440" s="225">
        <f>IF(G385,1,0)</f>
        <v>0</v>
      </c>
      <c r="ES440" s="225">
        <f>IF(G386,1,0)</f>
        <v>0</v>
      </c>
      <c r="ET440" s="225">
        <f>IF(G387,1,0)</f>
        <v>0</v>
      </c>
      <c r="EU440" s="225">
        <f>IF(G388,1,0)</f>
        <v>0</v>
      </c>
      <c r="EV440" s="225">
        <f>IF(G389,1,0)</f>
        <v>0</v>
      </c>
      <c r="EW440" s="225">
        <f>IF(G390,1,0)</f>
        <v>0</v>
      </c>
      <c r="EX440" s="225">
        <f>IF(G391,1,0)</f>
        <v>0</v>
      </c>
      <c r="EY440" s="225">
        <f>IF(G392,1,0)</f>
        <v>0</v>
      </c>
      <c r="EZ440" s="225">
        <f>IF(G393,1,0)</f>
        <v>0</v>
      </c>
      <c r="FA440" s="225">
        <f>IF(G394,1,0)</f>
        <v>0</v>
      </c>
      <c r="FB440" s="225">
        <f>IF(G395,1,0)</f>
        <v>0</v>
      </c>
      <c r="FC440" s="225">
        <f>IF(G396,1,0)</f>
        <v>0</v>
      </c>
      <c r="FD440" s="225">
        <f>IF(G397,1,0)</f>
        <v>0</v>
      </c>
      <c r="FE440" s="225">
        <f>IF(G398,1,0)</f>
        <v>0</v>
      </c>
      <c r="FF440" s="225">
        <f>IF(G399,1,0)</f>
        <v>0</v>
      </c>
      <c r="FG440" s="225">
        <f>IF(G400,1,0)</f>
        <v>0</v>
      </c>
      <c r="FH440" s="225">
        <f>IF(G401,1,0)</f>
        <v>0</v>
      </c>
      <c r="FI440" s="225">
        <f>IF(G402,1,0)</f>
        <v>0</v>
      </c>
      <c r="FJ440" s="225">
        <f>IF(G403,1,0)</f>
        <v>0</v>
      </c>
      <c r="FK440" s="225">
        <f>IF(G404,1,0)</f>
        <v>0</v>
      </c>
      <c r="FL440" s="225">
        <f>IF(G405,1,0)</f>
        <v>0</v>
      </c>
      <c r="FM440" s="225">
        <f>IF(G406,1,0)</f>
        <v>0</v>
      </c>
      <c r="FN440" s="225">
        <f>IF(G407,1,0)</f>
        <v>0</v>
      </c>
      <c r="FO440" s="225">
        <f>IF(G408,1,0)</f>
        <v>0</v>
      </c>
      <c r="FP440" s="225">
        <f>IF(G409,1,0)</f>
        <v>0</v>
      </c>
      <c r="FQ440" s="225">
        <f>IF(G410,1,0)</f>
        <v>0</v>
      </c>
      <c r="FR440" s="225">
        <f>IF(G411,1,0)</f>
        <v>0</v>
      </c>
      <c r="FS440" s="225">
        <f>IF(G412,1,0)</f>
        <v>0</v>
      </c>
      <c r="FT440" s="225">
        <f>IF(G413,1,0)</f>
        <v>0</v>
      </c>
      <c r="FU440" s="225">
        <f>IF(G414,1,0)</f>
        <v>0</v>
      </c>
      <c r="FV440" s="225">
        <f>IF(G415,1,0)</f>
        <v>0</v>
      </c>
      <c r="FW440" s="225">
        <f>IF(G416,1,0)</f>
        <v>0</v>
      </c>
      <c r="FX440" s="225">
        <f>IF(G417,1,0)</f>
        <v>0</v>
      </c>
      <c r="FY440" s="225">
        <f>IF(G418,1,0)</f>
        <v>0</v>
      </c>
      <c r="FZ440" s="225">
        <f>IF(G419,1,0)</f>
        <v>0</v>
      </c>
      <c r="GA440" s="225">
        <f>IF(G420,1,0)</f>
        <v>0</v>
      </c>
      <c r="GB440" s="225">
        <f>IF(G421,1,0)</f>
        <v>0</v>
      </c>
      <c r="GC440" s="225">
        <f>IF(G422,1,0)</f>
        <v>0</v>
      </c>
      <c r="GD440" s="225">
        <f>IF(G423,1,0)</f>
        <v>0</v>
      </c>
      <c r="GE440" s="225">
        <f>IF(G424,1,0)</f>
        <v>0</v>
      </c>
      <c r="GF440" s="225">
        <f>IF(G425,1,0)</f>
        <v>0</v>
      </c>
      <c r="GG440" s="225">
        <f>IF(G426,1,0)</f>
        <v>0</v>
      </c>
      <c r="GH440" s="225">
        <f>IF(G427,1,0)</f>
        <v>0</v>
      </c>
      <c r="GI440" s="225">
        <f>IF(G428,1,0)</f>
        <v>0</v>
      </c>
      <c r="GJ440" s="225">
        <f>IF(G429,1,0)</f>
        <v>0</v>
      </c>
      <c r="GK440" s="225">
        <f>IF(G430,1,0)</f>
        <v>0</v>
      </c>
      <c r="GL440" s="225">
        <f>IF(G431,1,0)</f>
        <v>0</v>
      </c>
      <c r="GM440" s="225">
        <f>IF(G432,1,0)</f>
        <v>0</v>
      </c>
      <c r="GN440" s="225">
        <f>IF(G433,1,0)</f>
        <v>0</v>
      </c>
      <c r="GO440" s="225">
        <f>IF(G434,1,0)</f>
        <v>0</v>
      </c>
      <c r="GP440" s="225">
        <f>IF(G435,1,0)</f>
        <v>0</v>
      </c>
      <c r="GQ440" s="225">
        <f>IF(G436,1,0)</f>
        <v>0</v>
      </c>
      <c r="GR440" s="225">
        <f>IF(G437,1,0)</f>
        <v>0</v>
      </c>
      <c r="GS440" s="225">
        <f>IF(G438,1,0)</f>
        <v>0</v>
      </c>
    </row>
    <row r="442" spans="1:201" x14ac:dyDescent="0.2">
      <c r="A442" s="225" t="s">
        <v>114</v>
      </c>
      <c r="B442" s="225">
        <f>IF($T$41,L239,1)</f>
        <v>1</v>
      </c>
      <c r="C442" s="225">
        <f>IF($T$41,L240,1)</f>
        <v>1</v>
      </c>
      <c r="D442" s="225">
        <f>IF($T$41,L241,1)</f>
        <v>1</v>
      </c>
      <c r="E442" s="225">
        <f>IF($T$41,L242,1)</f>
        <v>1</v>
      </c>
      <c r="F442" s="225">
        <f>IF($T$41,L243,1)</f>
        <v>1</v>
      </c>
      <c r="G442" s="225">
        <f>IF($T$41,L244,1)</f>
        <v>1</v>
      </c>
      <c r="H442" s="225">
        <f>IF($T$41,L245,1)</f>
        <v>1</v>
      </c>
      <c r="I442" s="225">
        <f>IF($T$41,L246,1)</f>
        <v>1</v>
      </c>
      <c r="J442" s="225">
        <f>IF($T$41,L247,1)</f>
        <v>1</v>
      </c>
      <c r="K442" s="225">
        <f>IF($T$41,L248,1)</f>
        <v>1</v>
      </c>
      <c r="L442" s="225">
        <f>IF($T$41,L249,1)</f>
        <v>1</v>
      </c>
      <c r="M442" s="225">
        <f>IF($T$41,L250,1)</f>
        <v>1</v>
      </c>
      <c r="N442" s="225">
        <f>IF($T$41,L251,1)</f>
        <v>1</v>
      </c>
      <c r="O442" s="225">
        <f>IF($T$41,L252,1)</f>
        <v>1</v>
      </c>
      <c r="P442" s="225">
        <f>IF($T$41,L253,1)</f>
        <v>1</v>
      </c>
      <c r="Q442" s="225">
        <f>IF($T$41,L254,1)</f>
        <v>1</v>
      </c>
      <c r="R442" s="225">
        <f>IF($T$41,L255,1)</f>
        <v>1</v>
      </c>
      <c r="S442" s="225">
        <f>IF($T$41,L256,1)</f>
        <v>1</v>
      </c>
      <c r="T442" s="225">
        <f>IF($T$41,L257,1)</f>
        <v>1</v>
      </c>
      <c r="U442" s="225">
        <f>IF($T$41,L258,1)</f>
        <v>1</v>
      </c>
      <c r="V442" s="225">
        <f>IF($T$41,L259,1)</f>
        <v>1</v>
      </c>
      <c r="W442" s="225">
        <f>IF($T$41,L260,1)</f>
        <v>1</v>
      </c>
      <c r="X442" s="225">
        <f>IF($T$41,L261,1)</f>
        <v>1</v>
      </c>
      <c r="Y442" s="225">
        <f>IF($T$41,L262,1)</f>
        <v>1</v>
      </c>
      <c r="Z442" s="225">
        <f>IF($T$41,L263,1)</f>
        <v>1</v>
      </c>
      <c r="AA442" s="225">
        <f>IF($T$41,L264,1)</f>
        <v>1</v>
      </c>
      <c r="AB442" s="225">
        <f>IF($T$41,L265,1)</f>
        <v>1</v>
      </c>
      <c r="AC442" s="225">
        <f>IF($T$41,L266,1)</f>
        <v>1</v>
      </c>
      <c r="AD442" s="225">
        <f>IF($T$41,L267,1)</f>
        <v>1</v>
      </c>
      <c r="AE442" s="225">
        <f>IF($T$41,L268,1)</f>
        <v>1</v>
      </c>
      <c r="AF442" s="225">
        <f>IF($T$41,L269,1)</f>
        <v>1</v>
      </c>
      <c r="AG442" s="225">
        <f>IF($T$41,L270,1)</f>
        <v>1</v>
      </c>
      <c r="AH442" s="225">
        <f>IF($T$41,L271,1)</f>
        <v>1</v>
      </c>
      <c r="AI442" s="225">
        <f>IF($T$41,L272,1)</f>
        <v>1</v>
      </c>
      <c r="AJ442" s="225">
        <f>IF($T$41,L273,1)</f>
        <v>1</v>
      </c>
      <c r="AK442" s="225">
        <f>IF($T$41,L274,1)</f>
        <v>1</v>
      </c>
      <c r="AL442" s="225">
        <f>IF($T$41,L275,1)</f>
        <v>1</v>
      </c>
      <c r="AM442" s="225">
        <f>IF($T$41,L276,1)</f>
        <v>1</v>
      </c>
      <c r="AN442" s="225">
        <f>IF($T$41,L277,1)</f>
        <v>1</v>
      </c>
      <c r="AO442" s="225">
        <f>IF($T$41,L278,1)</f>
        <v>1</v>
      </c>
      <c r="AP442" s="225">
        <f>IF($T$41,L279,1)</f>
        <v>1</v>
      </c>
      <c r="AQ442" s="225">
        <f>IF($T$41,L280,1)</f>
        <v>1</v>
      </c>
      <c r="AR442" s="225">
        <f>IF($T$41,L281,1)</f>
        <v>1</v>
      </c>
      <c r="AS442" s="225">
        <f>IF($T$41,L282,1)</f>
        <v>1</v>
      </c>
      <c r="AT442" s="225">
        <f>IF($T$41,L283,1)</f>
        <v>1</v>
      </c>
      <c r="AU442" s="225">
        <f>IF($T$41,L284,1)</f>
        <v>1</v>
      </c>
      <c r="AV442" s="225">
        <f>IF($T$41,L285,1)</f>
        <v>1</v>
      </c>
      <c r="AW442" s="225">
        <f>IF($T$41,L286,1)</f>
        <v>1</v>
      </c>
      <c r="AX442" s="225">
        <f>IF($T$41,L287,1)</f>
        <v>1</v>
      </c>
      <c r="AY442" s="225">
        <f>IF($T$41,L288,1)</f>
        <v>1</v>
      </c>
      <c r="AZ442" s="225">
        <f>IF($T$41,L289,1)</f>
        <v>1</v>
      </c>
      <c r="BA442" s="225">
        <f>IF($T$41,L290,1)</f>
        <v>1</v>
      </c>
      <c r="BB442" s="225">
        <f>IF($T$41,L291,1)</f>
        <v>1</v>
      </c>
      <c r="BC442" s="225">
        <f>IF($T$41,L292,1)</f>
        <v>1</v>
      </c>
      <c r="BD442" s="225">
        <f>IF($T$41,L293,1)</f>
        <v>1</v>
      </c>
      <c r="BE442" s="225">
        <f>IF($T$41,L294,1)</f>
        <v>1</v>
      </c>
      <c r="BF442" s="225">
        <f>IF($T$41,L295,1)</f>
        <v>1</v>
      </c>
      <c r="BG442" s="225">
        <f>IF($T$41,L296,1)</f>
        <v>1</v>
      </c>
      <c r="BH442" s="225">
        <f>IF($T$41,L297,1)</f>
        <v>1</v>
      </c>
      <c r="BI442" s="225">
        <f>IF($T$41,L298,1)</f>
        <v>1</v>
      </c>
      <c r="BJ442" s="225">
        <f>IF($T$41,L299,1)</f>
        <v>1</v>
      </c>
      <c r="BK442" s="225">
        <f>IF($T$41,L300,1)</f>
        <v>1</v>
      </c>
      <c r="BL442" s="225">
        <f>IF($T$41,L301,1)</f>
        <v>1</v>
      </c>
      <c r="BM442" s="225">
        <f>IF($T$41,L302,1)</f>
        <v>1</v>
      </c>
      <c r="BN442" s="225">
        <f>IF($T$41,L303,1)</f>
        <v>1</v>
      </c>
      <c r="BO442" s="225">
        <f>IF($T$41,L304,1)</f>
        <v>1</v>
      </c>
      <c r="BP442" s="225">
        <f>IF($T$41,L305,1)</f>
        <v>1</v>
      </c>
      <c r="BQ442" s="225">
        <f>IF($T$41,L306,1)</f>
        <v>1</v>
      </c>
      <c r="BR442" s="225">
        <f>IF($T$41,L307,1)</f>
        <v>1</v>
      </c>
      <c r="BS442" s="225">
        <f>IF($T$41,L308,1)</f>
        <v>1</v>
      </c>
      <c r="BT442" s="225">
        <f>IF($T$41,L309,1)</f>
        <v>1</v>
      </c>
      <c r="BU442" s="225">
        <f>IF($T$41,L310,1)</f>
        <v>1</v>
      </c>
      <c r="BV442" s="225">
        <f>IF($T$41,L311,1)</f>
        <v>1</v>
      </c>
      <c r="BW442" s="225">
        <f>IF($T$41,L312,1)</f>
        <v>1</v>
      </c>
      <c r="BX442" s="225">
        <f>IF($T$41,L313,1)</f>
        <v>1</v>
      </c>
      <c r="BY442" s="225">
        <f>IF($T$41,L314,1)</f>
        <v>1</v>
      </c>
      <c r="BZ442" s="225">
        <f>IF($T$41,L315,1)</f>
        <v>1</v>
      </c>
      <c r="CA442" s="225">
        <f>IF($T$41,L316,1)</f>
        <v>1</v>
      </c>
      <c r="CB442" s="225">
        <f>IF($T$41,L317,1)</f>
        <v>1</v>
      </c>
      <c r="CC442" s="225">
        <f>IF($T$41,L318,1)</f>
        <v>1</v>
      </c>
      <c r="CD442" s="225">
        <f>IF($T$41,L319,1)</f>
        <v>1</v>
      </c>
      <c r="CE442" s="225">
        <f>IF($T$41,L320,1)</f>
        <v>1</v>
      </c>
      <c r="CF442" s="225">
        <f>IF($T$41,L321,1)</f>
        <v>1</v>
      </c>
      <c r="CG442" s="225">
        <f>IF($T$41,L322,1)</f>
        <v>1</v>
      </c>
      <c r="CH442" s="225">
        <f>IF($T$41,L323,1)</f>
        <v>1</v>
      </c>
      <c r="CI442" s="225">
        <f>IF($T$41,L324,1)</f>
        <v>1</v>
      </c>
      <c r="CJ442" s="225">
        <f>IF($T$41,L325,1)</f>
        <v>1</v>
      </c>
      <c r="CK442" s="225">
        <f>IF($T$41,L326,1)</f>
        <v>1</v>
      </c>
      <c r="CL442" s="225">
        <f>IF($T$41,L327,1)</f>
        <v>1</v>
      </c>
      <c r="CM442" s="225">
        <f>IF($T$41,L328,1)</f>
        <v>1</v>
      </c>
      <c r="CN442" s="225">
        <f>IF($T$41,L329,1)</f>
        <v>1</v>
      </c>
      <c r="CO442" s="225">
        <f>IF($T$41,L330,1)</f>
        <v>1</v>
      </c>
      <c r="CP442" s="225">
        <f>IF($T$41,L331,1)</f>
        <v>1</v>
      </c>
      <c r="CQ442" s="225">
        <f>IF($T$41,L332,1)</f>
        <v>1</v>
      </c>
      <c r="CR442" s="225">
        <f>IF($T$41,L333,1)</f>
        <v>1</v>
      </c>
      <c r="CS442" s="225">
        <f>IF($T$41,L334,1)</f>
        <v>1</v>
      </c>
      <c r="CT442" s="225">
        <f>IF($T$41,L335,1)</f>
        <v>1</v>
      </c>
      <c r="CU442" s="225">
        <f>IF($T$41,L336,1)</f>
        <v>1</v>
      </c>
      <c r="CV442" s="225">
        <f>IF($T$41,L337,1)</f>
        <v>1</v>
      </c>
      <c r="CW442" s="225">
        <f>IF($T$41,L338,1)</f>
        <v>1</v>
      </c>
      <c r="CX442" s="225">
        <f>IF($T$41,L339,1)</f>
        <v>1</v>
      </c>
      <c r="CY442" s="225">
        <f>IF($T$41,L340,1)</f>
        <v>1</v>
      </c>
      <c r="CZ442" s="225">
        <f>IF($T$41,L341,1)</f>
        <v>1</v>
      </c>
      <c r="DA442" s="225">
        <f>IF($T$41,L342,1)</f>
        <v>1</v>
      </c>
      <c r="DB442" s="225">
        <f>IF($T$41,L343,1)</f>
        <v>1</v>
      </c>
      <c r="DC442" s="225">
        <f>IF($T$41,L344,1)</f>
        <v>1</v>
      </c>
      <c r="DD442" s="225">
        <f>IF($T$41,L345,1)</f>
        <v>1</v>
      </c>
      <c r="DE442" s="225">
        <f>IF($T$41,L346,1)</f>
        <v>1</v>
      </c>
      <c r="DF442" s="225">
        <f>IF($T$41,L347,1)</f>
        <v>1</v>
      </c>
      <c r="DG442" s="225">
        <f>IF($T$41,L348,1)</f>
        <v>1</v>
      </c>
      <c r="DH442" s="225">
        <f>IF($T$41,L349,1)</f>
        <v>1</v>
      </c>
      <c r="DI442" s="225">
        <f>IF($T$41,L350,1)</f>
        <v>1</v>
      </c>
      <c r="DJ442" s="225">
        <f>IF($T$41,L351,1)</f>
        <v>1</v>
      </c>
      <c r="DK442" s="225">
        <f>IF($T$41,L352,1)</f>
        <v>1</v>
      </c>
      <c r="DL442" s="225">
        <f>IF($T$41,L353,1)</f>
        <v>1</v>
      </c>
      <c r="DM442" s="225">
        <f>IF($T$41,L354,1)</f>
        <v>1</v>
      </c>
      <c r="DN442" s="225">
        <f>IF($T$41,L355,1)</f>
        <v>1</v>
      </c>
      <c r="DO442" s="225">
        <f>IF($T$41,L356,1)</f>
        <v>1</v>
      </c>
      <c r="DP442" s="225">
        <f>IF($T$41,L357,1)</f>
        <v>1</v>
      </c>
      <c r="DQ442" s="225">
        <f>IF($T$41,L358,1)</f>
        <v>1</v>
      </c>
      <c r="DR442" s="225">
        <f>IF($T$41,L359,1)</f>
        <v>1</v>
      </c>
      <c r="DS442" s="225">
        <f>IF($T$41,L360,1)</f>
        <v>1</v>
      </c>
      <c r="DT442" s="225">
        <f>IF($T$41,L361,1)</f>
        <v>1</v>
      </c>
      <c r="DU442" s="225">
        <f>IF($T$41,L362,1)</f>
        <v>1</v>
      </c>
      <c r="DV442" s="225">
        <f>IF($T$41,L363,1)</f>
        <v>1</v>
      </c>
      <c r="DW442" s="225">
        <f>IF($T$41,L364,1)</f>
        <v>1</v>
      </c>
      <c r="DX442" s="225">
        <f>IF($T$41,L365,1)</f>
        <v>1</v>
      </c>
      <c r="DY442" s="225">
        <f>IF($T$41,L366,1)</f>
        <v>1</v>
      </c>
      <c r="DZ442" s="225">
        <f>IF($T$41,L367,1)</f>
        <v>1</v>
      </c>
      <c r="EA442" s="225">
        <f>IF($T$41,L368,1)</f>
        <v>1</v>
      </c>
      <c r="EB442" s="225">
        <f>IF($T$41,L369,1)</f>
        <v>1</v>
      </c>
      <c r="EC442" s="225">
        <f>IF($T$41,L370,1)</f>
        <v>1</v>
      </c>
      <c r="ED442" s="225">
        <f>IF($T$41,L371,1)</f>
        <v>1</v>
      </c>
      <c r="EE442" s="225">
        <f>IF($T$41,L372,1)</f>
        <v>1</v>
      </c>
      <c r="EF442" s="225">
        <f>IF($T$41,L373,1)</f>
        <v>1</v>
      </c>
      <c r="EG442" s="225">
        <f>IF($T$41,L374,1)</f>
        <v>1</v>
      </c>
      <c r="EH442" s="225">
        <f>IF($T$41,L375,1)</f>
        <v>1</v>
      </c>
      <c r="EI442" s="225">
        <f>IF($T$41,L376,1)</f>
        <v>1</v>
      </c>
      <c r="EJ442" s="225">
        <f>IF($T$41,L377,1)</f>
        <v>1</v>
      </c>
      <c r="EK442" s="225">
        <f>IF($T$41,L378,1)</f>
        <v>1</v>
      </c>
      <c r="EL442" s="225">
        <f>IF($T$41,L379,1)</f>
        <v>1</v>
      </c>
      <c r="EM442" s="225">
        <f>IF($T$41,L380,1)</f>
        <v>1</v>
      </c>
      <c r="EN442" s="225">
        <f>IF($T$41,L381,1)</f>
        <v>1</v>
      </c>
      <c r="EO442" s="225">
        <f>IF($T$41,L382,1)</f>
        <v>1</v>
      </c>
      <c r="EP442" s="225">
        <f>IF($T$41,L383,1)</f>
        <v>1</v>
      </c>
      <c r="EQ442" s="225">
        <f>IF($T$41,L384,1)</f>
        <v>1</v>
      </c>
      <c r="ER442" s="225">
        <f>IF($T$41,L385,1)</f>
        <v>1</v>
      </c>
      <c r="ES442" s="225">
        <f>IF($T$41,L386,1)</f>
        <v>1</v>
      </c>
      <c r="ET442" s="225">
        <f>IF($T$41,L387,1)</f>
        <v>1</v>
      </c>
      <c r="EU442" s="225">
        <f>IF($T$41,L388,1)</f>
        <v>1</v>
      </c>
      <c r="EV442" s="225">
        <f>IF($T$41,L389,1)</f>
        <v>1</v>
      </c>
      <c r="EW442" s="225">
        <f>IF($T$41,L390,1)</f>
        <v>1</v>
      </c>
      <c r="EX442" s="225">
        <f>IF($T$41,L391,1)</f>
        <v>1</v>
      </c>
      <c r="EY442" s="225">
        <f>IF($T$41,L392,1)</f>
        <v>1</v>
      </c>
      <c r="EZ442" s="225">
        <f>IF($T$41,L393,1)</f>
        <v>1</v>
      </c>
      <c r="FA442" s="225">
        <f>IF($T$41,L394,1)</f>
        <v>1</v>
      </c>
      <c r="FB442" s="225">
        <f>IF($T$41,L395,1)</f>
        <v>1</v>
      </c>
      <c r="FC442" s="225">
        <f>IF($T$41,L396,1)</f>
        <v>1</v>
      </c>
      <c r="FD442" s="225">
        <f>IF($T$41,L397,1)</f>
        <v>1</v>
      </c>
      <c r="FE442" s="225">
        <f>IF($T$41,L398,1)</f>
        <v>1</v>
      </c>
      <c r="FF442" s="225">
        <f>IF($T$41,L399,1)</f>
        <v>1</v>
      </c>
      <c r="FG442" s="225">
        <f>IF($T$41,L400,1)</f>
        <v>1</v>
      </c>
      <c r="FH442" s="225">
        <f>IF($T$41,L401,1)</f>
        <v>1</v>
      </c>
      <c r="FI442" s="225">
        <f>IF($T$41,L402,1)</f>
        <v>1</v>
      </c>
      <c r="FJ442" s="225">
        <f>IF($T$41,L403,1)</f>
        <v>1</v>
      </c>
      <c r="FK442" s="225">
        <f>IF($T$41,L404,1)</f>
        <v>1</v>
      </c>
      <c r="FL442" s="225">
        <f>IF($T$41,L405,1)</f>
        <v>1</v>
      </c>
      <c r="FM442" s="225">
        <f>IF($T$41,L406,1)</f>
        <v>1</v>
      </c>
      <c r="FN442" s="225">
        <f>IF($T$41,L407,1)</f>
        <v>1</v>
      </c>
      <c r="FO442" s="225">
        <f>IF($T$41,L408,1)</f>
        <v>1</v>
      </c>
      <c r="FP442" s="225">
        <f>IF($T$41,L409,1)</f>
        <v>1</v>
      </c>
      <c r="FQ442" s="225">
        <f>IF($T$41,L410,1)</f>
        <v>1</v>
      </c>
      <c r="FR442" s="225">
        <f>IF($T$41,L411,1)</f>
        <v>1</v>
      </c>
      <c r="FS442" s="225">
        <f>IF($T$41,L412,1)</f>
        <v>1</v>
      </c>
      <c r="FT442" s="225">
        <f>IF($T$41,L413,1)</f>
        <v>1</v>
      </c>
      <c r="FU442" s="225">
        <f>IF($T$41,L414,1)</f>
        <v>1</v>
      </c>
      <c r="FV442" s="225">
        <f>IF($T$41,L415,1)</f>
        <v>1</v>
      </c>
      <c r="FW442" s="225">
        <f>IF($T$41,L416,1)</f>
        <v>1</v>
      </c>
      <c r="FX442" s="225">
        <f>IF($T$41,L417,1)</f>
        <v>1</v>
      </c>
      <c r="FY442" s="225">
        <f>IF($T$41,L418,1)</f>
        <v>1</v>
      </c>
      <c r="FZ442" s="225">
        <f>IF($T$41,L419,1)</f>
        <v>1</v>
      </c>
      <c r="GA442" s="225">
        <f>IF($T$41,L420,1)</f>
        <v>1</v>
      </c>
      <c r="GB442" s="225">
        <f>IF($T$41,L421,1)</f>
        <v>1</v>
      </c>
      <c r="GC442" s="225">
        <f>IF($T$41,L422,1)</f>
        <v>1</v>
      </c>
      <c r="GD442" s="225">
        <f>IF($T$41,L423,1)</f>
        <v>1</v>
      </c>
      <c r="GE442" s="225">
        <f>IF($T$41,L424,1)</f>
        <v>1</v>
      </c>
      <c r="GF442" s="225">
        <f>IF($T$41,L425,1)</f>
        <v>1</v>
      </c>
      <c r="GG442" s="225">
        <f>IF($T$41,L426,1)</f>
        <v>1</v>
      </c>
      <c r="GH442" s="225">
        <f>IF($T$41,L427,1)</f>
        <v>1</v>
      </c>
      <c r="GI442" s="225">
        <f>IF($T$41,L428,1)</f>
        <v>1</v>
      </c>
      <c r="GJ442" s="225">
        <f>IF($T$41,L429,1)</f>
        <v>1</v>
      </c>
      <c r="GK442" s="225">
        <f>IF($T$41,L430,1)</f>
        <v>1</v>
      </c>
      <c r="GL442" s="225">
        <f>IF($T$41,L431,1)</f>
        <v>1</v>
      </c>
      <c r="GM442" s="225">
        <f>IF($T$41,L432,1)</f>
        <v>1</v>
      </c>
      <c r="GN442" s="225">
        <f>IF($T$41,L433,1)</f>
        <v>1</v>
      </c>
      <c r="GO442" s="225">
        <f>IF($T$41,L434,1)</f>
        <v>1</v>
      </c>
      <c r="GP442" s="225">
        <f>IF($T$41,L435,1)</f>
        <v>1</v>
      </c>
      <c r="GQ442" s="225">
        <f>IF($T$41,L436,1)</f>
        <v>1</v>
      </c>
      <c r="GR442" s="225">
        <f>IF($T$41,L437,1)</f>
        <v>1</v>
      </c>
      <c r="GS442" s="225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O665"/>
  <sheetViews>
    <sheetView windowProtection="1" showZeros="0" zoomScaleNormal="100" workbookViewId="0">
      <selection activeCell="H16" sqref="H16"/>
    </sheetView>
  </sheetViews>
  <sheetFormatPr defaultRowHeight="12" x14ac:dyDescent="0.2"/>
  <cols>
    <col min="1" max="1" width="4.5" style="218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2" customWidth="1"/>
    <col min="6" max="6" width="4.875" style="166" hidden="1" customWidth="1"/>
    <col min="7" max="7" width="17.375" style="184" customWidth="1"/>
    <col min="8" max="8" width="17.375" style="223" customWidth="1"/>
    <col min="9" max="9" width="9.375" style="166" customWidth="1"/>
    <col min="10" max="10" width="13.75" style="223" customWidth="1"/>
    <col min="11" max="11" width="9" style="166"/>
    <col min="12" max="12" width="13.375" style="185" customWidth="1"/>
    <col min="13" max="16384" width="9" style="166"/>
  </cols>
  <sheetData>
    <row r="1" spans="1:15" ht="24" x14ac:dyDescent="0.2">
      <c r="A1" s="217" t="s">
        <v>9</v>
      </c>
      <c r="B1" s="165" t="s">
        <v>109</v>
      </c>
      <c r="C1" s="164"/>
      <c r="D1" s="165"/>
      <c r="E1" s="219" t="s">
        <v>110</v>
      </c>
      <c r="F1" s="164"/>
      <c r="G1" s="207" t="s">
        <v>111</v>
      </c>
      <c r="H1" s="222" t="s">
        <v>160</v>
      </c>
      <c r="I1" s="164"/>
      <c r="J1" s="224" t="s">
        <v>161</v>
      </c>
      <c r="K1" s="181"/>
      <c r="L1" s="183" t="s">
        <v>147</v>
      </c>
      <c r="M1" s="167"/>
      <c r="O1" s="167"/>
    </row>
    <row r="2" spans="1:15" x14ac:dyDescent="0.2">
      <c r="B2" s="174"/>
      <c r="C2" s="166"/>
      <c r="H2" s="261"/>
      <c r="I2" s="182"/>
      <c r="J2" s="261"/>
      <c r="K2" s="182"/>
      <c r="L2" s="185">
        <v>8.7941176470588243</v>
      </c>
    </row>
    <row r="3" spans="1:15" x14ac:dyDescent="0.2">
      <c r="B3" s="174"/>
      <c r="C3" s="166"/>
      <c r="H3" s="261"/>
      <c r="I3" s="182"/>
      <c r="J3" s="261"/>
      <c r="K3" s="182"/>
      <c r="L3" s="185">
        <v>0.1691542288557214</v>
      </c>
    </row>
    <row r="4" spans="1:15" x14ac:dyDescent="0.2">
      <c r="B4" s="174"/>
      <c r="C4" s="166"/>
      <c r="H4" s="261"/>
      <c r="I4" s="182"/>
      <c r="J4" s="261"/>
      <c r="K4" s="182"/>
      <c r="L4" s="185">
        <v>0.37155963302752293</v>
      </c>
    </row>
    <row r="5" spans="1:15" x14ac:dyDescent="0.2">
      <c r="C5" s="166"/>
      <c r="H5" s="261"/>
      <c r="I5" s="182"/>
      <c r="J5" s="261"/>
      <c r="K5" s="182"/>
      <c r="L5" s="185">
        <v>23.668119099491651</v>
      </c>
    </row>
    <row r="6" spans="1:15" x14ac:dyDescent="0.2">
      <c r="C6" s="166"/>
    </row>
    <row r="7" spans="1:15" x14ac:dyDescent="0.2">
      <c r="B7" s="174"/>
      <c r="C7" s="166"/>
      <c r="I7" s="182"/>
      <c r="K7" s="182"/>
    </row>
    <row r="8" spans="1:15" x14ac:dyDescent="0.2">
      <c r="B8" s="174"/>
      <c r="C8" s="166"/>
      <c r="I8" s="182"/>
      <c r="K8" s="182"/>
    </row>
    <row r="9" spans="1:15" x14ac:dyDescent="0.2">
      <c r="B9" s="174"/>
      <c r="C9" s="166"/>
      <c r="I9" s="182"/>
      <c r="K9" s="182"/>
    </row>
    <row r="10" spans="1:15" x14ac:dyDescent="0.2">
      <c r="C10" s="166"/>
      <c r="I10" s="182"/>
      <c r="K10" s="182"/>
    </row>
    <row r="11" spans="1:15" x14ac:dyDescent="0.2">
      <c r="C11" s="166"/>
      <c r="I11" s="182"/>
      <c r="K11" s="182"/>
    </row>
    <row r="12" spans="1:15" x14ac:dyDescent="0.2">
      <c r="B12" s="174"/>
      <c r="C12" s="166"/>
      <c r="H12" s="261"/>
      <c r="I12" s="182"/>
      <c r="J12" s="261"/>
      <c r="K12" s="182"/>
      <c r="L12" s="185">
        <v>42.444444444444443</v>
      </c>
    </row>
    <row r="13" spans="1:15" x14ac:dyDescent="0.2">
      <c r="B13" s="174"/>
      <c r="C13" s="166"/>
      <c r="H13" s="261"/>
      <c r="I13" s="182"/>
      <c r="J13" s="261"/>
      <c r="K13" s="182"/>
      <c r="L13" s="185">
        <v>2.5174825174825177E-2</v>
      </c>
    </row>
    <row r="14" spans="1:15" x14ac:dyDescent="0.2">
      <c r="B14" s="174"/>
      <c r="C14" s="166"/>
      <c r="H14" s="261"/>
      <c r="I14" s="182"/>
      <c r="J14" s="261"/>
      <c r="K14" s="182"/>
      <c r="L14" s="185">
        <v>22.875</v>
      </c>
    </row>
    <row r="15" spans="1:15" x14ac:dyDescent="0.2">
      <c r="C15" s="166"/>
      <c r="H15" s="261"/>
      <c r="I15" s="182"/>
      <c r="J15" s="261"/>
      <c r="K15" s="182"/>
      <c r="L15" s="185">
        <v>1.8554948391013963</v>
      </c>
    </row>
    <row r="16" spans="1:15" x14ac:dyDescent="0.2">
      <c r="C16" s="166"/>
    </row>
    <row r="17" spans="2:12" x14ac:dyDescent="0.2">
      <c r="B17" s="174"/>
      <c r="C17" s="166"/>
      <c r="I17" s="182"/>
      <c r="K17" s="182"/>
    </row>
    <row r="18" spans="2:12" x14ac:dyDescent="0.2">
      <c r="B18" s="174"/>
      <c r="C18" s="166"/>
      <c r="I18" s="182"/>
      <c r="K18" s="182"/>
    </row>
    <row r="19" spans="2:12" x14ac:dyDescent="0.2">
      <c r="B19" s="174"/>
      <c r="C19" s="166"/>
      <c r="I19" s="182"/>
      <c r="K19" s="182"/>
    </row>
    <row r="20" spans="2:12" x14ac:dyDescent="0.2">
      <c r="C20" s="166"/>
      <c r="I20" s="182"/>
      <c r="K20" s="182"/>
    </row>
    <row r="21" spans="2:12" x14ac:dyDescent="0.2">
      <c r="C21" s="166"/>
      <c r="I21" s="182"/>
      <c r="K21" s="182"/>
    </row>
    <row r="22" spans="2:12" x14ac:dyDescent="0.2">
      <c r="B22" s="174"/>
      <c r="C22" s="166"/>
      <c r="H22" s="261"/>
      <c r="I22" s="182"/>
      <c r="J22" s="261"/>
      <c r="K22" s="182"/>
      <c r="L22" s="185">
        <v>4.4117647058823533</v>
      </c>
    </row>
    <row r="23" spans="2:12" x14ac:dyDescent="0.2">
      <c r="B23" s="174"/>
      <c r="C23" s="166"/>
      <c r="H23" s="261"/>
      <c r="I23" s="182"/>
      <c r="J23" s="261"/>
      <c r="K23" s="182"/>
      <c r="L23" s="185">
        <v>0.38636363636363635</v>
      </c>
    </row>
    <row r="24" spans="2:12" x14ac:dyDescent="0.2">
      <c r="B24" s="174"/>
      <c r="C24" s="166"/>
      <c r="H24" s="261"/>
      <c r="I24" s="182"/>
      <c r="J24" s="261"/>
      <c r="K24" s="182"/>
      <c r="L24" s="185">
        <v>1.173913043478261</v>
      </c>
    </row>
    <row r="25" spans="2:12" x14ac:dyDescent="0.2">
      <c r="C25" s="166"/>
      <c r="H25" s="261"/>
      <c r="I25" s="182"/>
      <c r="J25" s="261"/>
      <c r="K25" s="182"/>
      <c r="L25" s="185">
        <v>3.7581699346405228</v>
      </c>
    </row>
    <row r="26" spans="2:12" x14ac:dyDescent="0.2">
      <c r="C26" s="166"/>
    </row>
    <row r="27" spans="2:12" x14ac:dyDescent="0.2">
      <c r="B27" s="174"/>
      <c r="C27" s="166"/>
      <c r="I27" s="182"/>
      <c r="K27" s="182"/>
    </row>
    <row r="28" spans="2:12" x14ac:dyDescent="0.2">
      <c r="B28" s="174"/>
      <c r="C28" s="166"/>
      <c r="I28" s="182"/>
      <c r="K28" s="182"/>
    </row>
    <row r="29" spans="2:12" x14ac:dyDescent="0.2">
      <c r="B29" s="174"/>
      <c r="C29" s="166"/>
      <c r="I29" s="182"/>
      <c r="K29" s="182"/>
    </row>
    <row r="30" spans="2:12" x14ac:dyDescent="0.2">
      <c r="C30" s="166"/>
      <c r="I30" s="182"/>
      <c r="K30" s="182"/>
    </row>
    <row r="31" spans="2:12" x14ac:dyDescent="0.2">
      <c r="C31" s="166"/>
    </row>
    <row r="32" spans="2:12" x14ac:dyDescent="0.2">
      <c r="B32" s="174"/>
      <c r="C32" s="166"/>
      <c r="H32" s="261"/>
      <c r="I32" s="182"/>
      <c r="J32" s="261"/>
      <c r="K32" s="182"/>
      <c r="L32" s="185">
        <v>2.5882352941176472</v>
      </c>
    </row>
    <row r="33" spans="2:12" x14ac:dyDescent="0.2">
      <c r="B33" s="174"/>
      <c r="C33" s="166"/>
      <c r="H33" s="261"/>
      <c r="I33" s="182"/>
      <c r="J33" s="261"/>
      <c r="K33" s="182"/>
      <c r="L33" s="185">
        <v>1.3076923076923077</v>
      </c>
    </row>
    <row r="34" spans="2:12" x14ac:dyDescent="0.2">
      <c r="B34" s="174"/>
      <c r="C34" s="166"/>
      <c r="H34" s="261"/>
      <c r="I34" s="182"/>
      <c r="J34" s="261"/>
      <c r="K34" s="182"/>
      <c r="L34" s="185">
        <v>1.0952380952380953</v>
      </c>
    </row>
    <row r="35" spans="2:12" x14ac:dyDescent="0.2">
      <c r="C35" s="166"/>
      <c r="H35" s="261"/>
      <c r="I35" s="182"/>
      <c r="J35" s="261"/>
      <c r="K35" s="182"/>
      <c r="L35" s="185">
        <v>2.363171355498721</v>
      </c>
    </row>
    <row r="36" spans="2:12" x14ac:dyDescent="0.2">
      <c r="C36" s="166"/>
    </row>
    <row r="37" spans="2:12" x14ac:dyDescent="0.2">
      <c r="B37" s="174"/>
      <c r="C37" s="166"/>
      <c r="I37" s="182"/>
      <c r="K37" s="182"/>
    </row>
    <row r="38" spans="2:12" x14ac:dyDescent="0.2">
      <c r="B38" s="174"/>
      <c r="C38" s="166"/>
      <c r="I38" s="182"/>
      <c r="K38" s="182"/>
    </row>
    <row r="39" spans="2:12" x14ac:dyDescent="0.2">
      <c r="B39" s="174"/>
      <c r="C39" s="166"/>
      <c r="I39" s="182"/>
      <c r="K39" s="182"/>
    </row>
    <row r="40" spans="2:12" x14ac:dyDescent="0.2">
      <c r="C40" s="166"/>
      <c r="I40" s="182"/>
      <c r="K40" s="182"/>
    </row>
    <row r="41" spans="2:12" x14ac:dyDescent="0.2">
      <c r="C41" s="166"/>
    </row>
    <row r="42" spans="2:12" x14ac:dyDescent="0.2">
      <c r="B42" s="174"/>
      <c r="C42" s="166"/>
      <c r="H42" s="261"/>
      <c r="I42" s="182"/>
      <c r="J42" s="261"/>
      <c r="K42" s="182"/>
      <c r="L42" s="185">
        <v>2.3529411764705883</v>
      </c>
    </row>
    <row r="43" spans="2:12" x14ac:dyDescent="0.2">
      <c r="B43" s="174"/>
      <c r="C43" s="166"/>
      <c r="H43" s="261"/>
      <c r="I43" s="182"/>
      <c r="J43" s="261"/>
      <c r="K43" s="182"/>
      <c r="L43" s="185">
        <v>1.096774193548387</v>
      </c>
    </row>
    <row r="44" spans="2:12" x14ac:dyDescent="0.2">
      <c r="B44" s="174"/>
      <c r="C44" s="166"/>
      <c r="H44" s="261"/>
      <c r="I44" s="182"/>
      <c r="J44" s="261"/>
      <c r="K44" s="182"/>
      <c r="L44" s="185">
        <v>1.7586206896551724</v>
      </c>
    </row>
    <row r="45" spans="2:12" x14ac:dyDescent="0.2">
      <c r="C45" s="166"/>
      <c r="H45" s="261"/>
      <c r="I45" s="182"/>
      <c r="J45" s="261"/>
      <c r="K45" s="182"/>
      <c r="L45" s="185">
        <v>1.3379469434832758</v>
      </c>
    </row>
    <row r="46" spans="2:12" x14ac:dyDescent="0.2">
      <c r="C46" s="166"/>
    </row>
    <row r="47" spans="2:12" x14ac:dyDescent="0.2">
      <c r="B47" s="174"/>
      <c r="C47" s="166"/>
      <c r="I47" s="182"/>
      <c r="K47" s="182"/>
    </row>
    <row r="48" spans="2:12" x14ac:dyDescent="0.2">
      <c r="B48" s="174"/>
      <c r="C48" s="166"/>
      <c r="I48" s="182"/>
      <c r="K48" s="182"/>
    </row>
    <row r="49" spans="2:12" x14ac:dyDescent="0.2">
      <c r="B49" s="174"/>
      <c r="C49" s="166"/>
      <c r="I49" s="182"/>
      <c r="K49" s="182"/>
    </row>
    <row r="50" spans="2:12" x14ac:dyDescent="0.2">
      <c r="C50" s="166"/>
      <c r="I50" s="182"/>
      <c r="K50" s="182"/>
    </row>
    <row r="51" spans="2:12" x14ac:dyDescent="0.2">
      <c r="C51" s="166"/>
    </row>
    <row r="52" spans="2:12" x14ac:dyDescent="0.2">
      <c r="B52" s="174"/>
      <c r="C52" s="166"/>
      <c r="H52" s="261"/>
      <c r="I52" s="182"/>
      <c r="J52" s="261"/>
      <c r="K52" s="182"/>
      <c r="L52" s="185">
        <v>1.6660516605166051</v>
      </c>
    </row>
    <row r="53" spans="2:12" x14ac:dyDescent="0.2">
      <c r="B53" s="174"/>
      <c r="C53" s="166"/>
      <c r="H53" s="261"/>
      <c r="I53" s="182"/>
      <c r="J53" s="261"/>
      <c r="K53" s="182"/>
      <c r="L53" s="185">
        <v>60.222222222222221</v>
      </c>
    </row>
    <row r="54" spans="2:12" x14ac:dyDescent="0.2">
      <c r="B54" s="174"/>
      <c r="C54" s="166"/>
      <c r="H54" s="261"/>
      <c r="I54" s="182"/>
      <c r="J54" s="261"/>
      <c r="K54" s="182"/>
      <c r="L54" s="185">
        <v>1.5365168539325842</v>
      </c>
    </row>
    <row r="55" spans="2:12" x14ac:dyDescent="0.2">
      <c r="C55" s="166"/>
      <c r="H55" s="261"/>
      <c r="I55" s="182"/>
      <c r="J55" s="261"/>
      <c r="K55" s="182"/>
      <c r="L55" s="185">
        <v>1.0843041885629094</v>
      </c>
    </row>
    <row r="56" spans="2:12" x14ac:dyDescent="0.2">
      <c r="C56" s="166"/>
    </row>
    <row r="57" spans="2:12" x14ac:dyDescent="0.2">
      <c r="B57" s="174"/>
      <c r="C57" s="166"/>
      <c r="I57" s="182"/>
      <c r="K57" s="182"/>
    </row>
    <row r="58" spans="2:12" x14ac:dyDescent="0.2">
      <c r="B58" s="174"/>
      <c r="C58" s="166"/>
      <c r="I58" s="182"/>
      <c r="K58" s="182"/>
    </row>
    <row r="59" spans="2:12" x14ac:dyDescent="0.2">
      <c r="B59" s="174"/>
      <c r="C59" s="166"/>
      <c r="I59" s="182"/>
      <c r="K59" s="182"/>
    </row>
    <row r="60" spans="2:12" x14ac:dyDescent="0.2">
      <c r="C60" s="166"/>
      <c r="I60" s="182"/>
      <c r="K60" s="182"/>
    </row>
    <row r="61" spans="2:12" x14ac:dyDescent="0.2">
      <c r="C61" s="166"/>
    </row>
    <row r="62" spans="2:12" x14ac:dyDescent="0.2">
      <c r="B62" s="174"/>
      <c r="C62" s="166"/>
      <c r="H62" s="261"/>
      <c r="I62" s="182"/>
      <c r="J62" s="261"/>
      <c r="K62" s="182"/>
      <c r="L62" s="185">
        <v>16724.444444444445</v>
      </c>
    </row>
    <row r="63" spans="2:12" x14ac:dyDescent="0.2">
      <c r="B63" s="174"/>
      <c r="C63" s="166"/>
      <c r="H63" s="261"/>
      <c r="I63" s="182"/>
      <c r="J63" s="261"/>
      <c r="K63" s="182"/>
      <c r="L63" s="185">
        <v>0.36885245901639346</v>
      </c>
    </row>
    <row r="64" spans="2:12" x14ac:dyDescent="0.2">
      <c r="B64" s="174"/>
      <c r="C64" s="166"/>
      <c r="H64" s="261"/>
      <c r="I64" s="182"/>
      <c r="J64" s="261"/>
      <c r="K64" s="182"/>
      <c r="L64" s="185">
        <v>1.5947267701467148E-4</v>
      </c>
    </row>
    <row r="65" spans="2:12" x14ac:dyDescent="0.2">
      <c r="C65" s="166"/>
      <c r="H65" s="261"/>
      <c r="I65" s="182"/>
      <c r="J65" s="261"/>
      <c r="K65" s="182"/>
      <c r="L65" s="185">
        <v>104873416.29629631</v>
      </c>
    </row>
    <row r="66" spans="2:12" x14ac:dyDescent="0.2">
      <c r="C66" s="166"/>
    </row>
    <row r="67" spans="2:12" x14ac:dyDescent="0.2">
      <c r="B67" s="174"/>
      <c r="C67" s="166"/>
    </row>
    <row r="68" spans="2:12" x14ac:dyDescent="0.2">
      <c r="B68" s="174"/>
      <c r="C68" s="166"/>
    </row>
    <row r="69" spans="2:12" x14ac:dyDescent="0.2">
      <c r="B69" s="174"/>
      <c r="C69" s="166"/>
    </row>
    <row r="70" spans="2:12" x14ac:dyDescent="0.2">
      <c r="C70" s="166"/>
    </row>
    <row r="71" spans="2:12" x14ac:dyDescent="0.2">
      <c r="C71" s="166"/>
    </row>
    <row r="72" spans="2:12" x14ac:dyDescent="0.2">
      <c r="B72" s="174"/>
      <c r="C72" s="166"/>
      <c r="H72" s="261"/>
      <c r="I72" s="182"/>
      <c r="J72" s="261"/>
      <c r="K72" s="182"/>
      <c r="L72" s="185">
        <v>2.2138364779874213</v>
      </c>
    </row>
    <row r="73" spans="2:12" x14ac:dyDescent="0.2">
      <c r="B73" s="174"/>
      <c r="C73" s="166"/>
      <c r="H73" s="261"/>
      <c r="I73" s="182"/>
      <c r="J73" s="261"/>
      <c r="K73" s="182"/>
      <c r="L73" s="185">
        <v>1.6914893617021276</v>
      </c>
    </row>
    <row r="74" spans="2:12" x14ac:dyDescent="0.2">
      <c r="B74" s="174"/>
      <c r="C74" s="166"/>
      <c r="H74" s="261"/>
      <c r="I74" s="182"/>
      <c r="J74" s="261"/>
      <c r="K74" s="182"/>
      <c r="L74" s="185">
        <v>0.83214053350683148</v>
      </c>
    </row>
    <row r="75" spans="2:12" x14ac:dyDescent="0.2">
      <c r="C75" s="166"/>
      <c r="H75" s="261"/>
      <c r="I75" s="182"/>
      <c r="J75" s="261"/>
      <c r="K75" s="182"/>
      <c r="L75" s="185">
        <v>2.6604117800364868</v>
      </c>
    </row>
    <row r="76" spans="2:12" x14ac:dyDescent="0.2">
      <c r="C76" s="166"/>
    </row>
    <row r="77" spans="2:12" ht="16.5" customHeight="1" x14ac:dyDescent="0.2">
      <c r="B77" s="174"/>
      <c r="C77" s="166"/>
    </row>
    <row r="78" spans="2:12" x14ac:dyDescent="0.2">
      <c r="B78" s="174"/>
      <c r="C78" s="166"/>
    </row>
    <row r="79" spans="2:12" x14ac:dyDescent="0.2">
      <c r="B79" s="174"/>
      <c r="C79" s="166"/>
    </row>
    <row r="80" spans="2:12" x14ac:dyDescent="0.2">
      <c r="C80" s="166"/>
    </row>
    <row r="81" spans="2:12" x14ac:dyDescent="0.2">
      <c r="C81" s="166"/>
    </row>
    <row r="82" spans="2:12" x14ac:dyDescent="0.2">
      <c r="B82" s="174"/>
      <c r="C82" s="166"/>
      <c r="H82" s="261"/>
      <c r="I82" s="182"/>
      <c r="J82" s="261"/>
      <c r="K82" s="182"/>
      <c r="L82" s="185">
        <v>10.870036101083032</v>
      </c>
    </row>
    <row r="83" spans="2:12" x14ac:dyDescent="0.2">
      <c r="B83" s="174"/>
      <c r="C83" s="166"/>
      <c r="H83" s="261"/>
      <c r="I83" s="182"/>
      <c r="J83" s="261"/>
      <c r="K83" s="182"/>
      <c r="L83" s="185">
        <v>3.7181208053691277</v>
      </c>
    </row>
    <row r="84" spans="2:12" x14ac:dyDescent="0.2">
      <c r="B84" s="174"/>
      <c r="C84" s="166"/>
      <c r="H84" s="261"/>
      <c r="I84" s="182"/>
      <c r="J84" s="261"/>
      <c r="K84" s="182"/>
      <c r="L84" s="185">
        <v>0.1164256581386726</v>
      </c>
    </row>
    <row r="85" spans="2:12" x14ac:dyDescent="0.2">
      <c r="C85" s="166"/>
      <c r="H85" s="261"/>
      <c r="I85" s="182"/>
      <c r="J85" s="261"/>
      <c r="K85" s="182"/>
      <c r="L85" s="185">
        <v>93.364609441467948</v>
      </c>
    </row>
    <row r="86" spans="2:12" x14ac:dyDescent="0.2">
      <c r="C86" s="166"/>
    </row>
    <row r="87" spans="2:12" x14ac:dyDescent="0.2">
      <c r="B87" s="174"/>
      <c r="C87" s="166"/>
    </row>
    <row r="88" spans="2:12" x14ac:dyDescent="0.2">
      <c r="B88" s="174"/>
      <c r="C88" s="166"/>
    </row>
    <row r="89" spans="2:12" x14ac:dyDescent="0.2">
      <c r="B89" s="174"/>
      <c r="C89" s="166"/>
    </row>
    <row r="90" spans="2:12" x14ac:dyDescent="0.2">
      <c r="C90" s="166"/>
    </row>
    <row r="91" spans="2:12" x14ac:dyDescent="0.2">
      <c r="C91" s="166"/>
    </row>
    <row r="92" spans="2:12" x14ac:dyDescent="0.2">
      <c r="B92" s="174"/>
      <c r="C92" s="166"/>
      <c r="H92" s="261"/>
      <c r="I92" s="182"/>
      <c r="J92" s="261"/>
      <c r="K92" s="182"/>
      <c r="L92" s="185">
        <v>30.333333333333332</v>
      </c>
    </row>
    <row r="93" spans="2:12" x14ac:dyDescent="0.2">
      <c r="B93" s="174"/>
      <c r="C93" s="166"/>
      <c r="H93" s="261"/>
      <c r="I93" s="182"/>
      <c r="J93" s="261"/>
      <c r="K93" s="182"/>
      <c r="L93" s="185">
        <v>3.6829463570856688E-2</v>
      </c>
    </row>
    <row r="94" spans="2:12" x14ac:dyDescent="0.2">
      <c r="B94" s="174"/>
      <c r="C94" s="166"/>
      <c r="H94" s="261"/>
      <c r="I94" s="182"/>
      <c r="J94" s="261"/>
      <c r="K94" s="182"/>
      <c r="L94" s="185">
        <v>12</v>
      </c>
    </row>
    <row r="95" spans="2:12" x14ac:dyDescent="0.2">
      <c r="C95" s="166"/>
      <c r="H95" s="261"/>
      <c r="I95" s="182"/>
      <c r="J95" s="261"/>
      <c r="K95" s="182"/>
      <c r="L95" s="185">
        <v>2.5277777777777777</v>
      </c>
    </row>
    <row r="96" spans="2:12" x14ac:dyDescent="0.2">
      <c r="C96" s="166"/>
    </row>
    <row r="97" spans="2:12" x14ac:dyDescent="0.2">
      <c r="B97" s="174"/>
      <c r="C97" s="166"/>
    </row>
    <row r="98" spans="2:12" x14ac:dyDescent="0.2">
      <c r="B98" s="174"/>
      <c r="C98" s="166"/>
    </row>
    <row r="99" spans="2:12" x14ac:dyDescent="0.2">
      <c r="B99" s="174"/>
      <c r="C99" s="166"/>
    </row>
    <row r="100" spans="2:12" x14ac:dyDescent="0.2">
      <c r="C100" s="166"/>
    </row>
    <row r="101" spans="2:12" x14ac:dyDescent="0.2">
      <c r="C101" s="166"/>
    </row>
    <row r="102" spans="2:12" x14ac:dyDescent="0.2">
      <c r="B102" s="174"/>
      <c r="C102" s="166"/>
      <c r="H102" s="261"/>
      <c r="I102" s="182"/>
      <c r="J102" s="261"/>
      <c r="K102" s="182"/>
      <c r="L102" s="185">
        <v>1.5650118203309693</v>
      </c>
    </row>
    <row r="103" spans="2:12" x14ac:dyDescent="0.2">
      <c r="B103" s="174"/>
      <c r="C103" s="166"/>
      <c r="H103" s="261"/>
      <c r="I103" s="182"/>
      <c r="J103" s="261"/>
      <c r="K103" s="182"/>
      <c r="L103" s="185">
        <v>12.564356435643564</v>
      </c>
    </row>
    <row r="104" spans="2:12" x14ac:dyDescent="0.2">
      <c r="B104" s="174"/>
      <c r="C104" s="166"/>
      <c r="H104" s="261"/>
      <c r="I104" s="182"/>
      <c r="J104" s="261"/>
      <c r="K104" s="182"/>
      <c r="L104" s="185">
        <v>1.8782608695652174</v>
      </c>
    </row>
    <row r="105" spans="2:12" x14ac:dyDescent="0.2">
      <c r="C105" s="166"/>
      <c r="H105" s="261"/>
      <c r="I105" s="182"/>
      <c r="J105" s="261"/>
      <c r="K105" s="182"/>
      <c r="L105" s="185">
        <v>0.83322388582435869</v>
      </c>
    </row>
    <row r="106" spans="2:12" x14ac:dyDescent="0.2">
      <c r="C106" s="166"/>
    </row>
    <row r="107" spans="2:12" x14ac:dyDescent="0.2">
      <c r="B107" s="174"/>
      <c r="C107" s="166"/>
    </row>
    <row r="108" spans="2:12" x14ac:dyDescent="0.2">
      <c r="B108" s="174"/>
      <c r="C108" s="166"/>
    </row>
    <row r="109" spans="2:12" x14ac:dyDescent="0.2">
      <c r="B109" s="174"/>
      <c r="C109" s="166"/>
    </row>
    <row r="110" spans="2:12" x14ac:dyDescent="0.2">
      <c r="C110" s="166"/>
    </row>
    <row r="111" spans="2:12" x14ac:dyDescent="0.2">
      <c r="C111" s="166"/>
    </row>
    <row r="112" spans="2:12" x14ac:dyDescent="0.2">
      <c r="B112" s="174"/>
      <c r="C112" s="166"/>
      <c r="H112" s="261"/>
      <c r="I112" s="182"/>
      <c r="J112" s="261"/>
      <c r="K112" s="182"/>
      <c r="L112" s="185">
        <v>6.8130699088145894</v>
      </c>
    </row>
    <row r="113" spans="2:12" x14ac:dyDescent="0.2">
      <c r="B113" s="174"/>
      <c r="C113" s="166"/>
      <c r="H113" s="261"/>
      <c r="I113" s="182"/>
      <c r="J113" s="261"/>
      <c r="K113" s="182"/>
      <c r="L113" s="185">
        <v>0.17490696438064859</v>
      </c>
    </row>
    <row r="114" spans="2:12" x14ac:dyDescent="0.2">
      <c r="B114" s="174"/>
      <c r="C114" s="166"/>
      <c r="H114" s="261"/>
      <c r="I114" s="182"/>
      <c r="J114" s="261"/>
      <c r="K114" s="182"/>
      <c r="L114" s="185">
        <v>44.282828282828284</v>
      </c>
    </row>
    <row r="115" spans="2:12" x14ac:dyDescent="0.2">
      <c r="C115" s="166"/>
      <c r="H115" s="261"/>
      <c r="I115" s="182"/>
      <c r="J115" s="261"/>
      <c r="K115" s="182"/>
      <c r="L115" s="185">
        <v>0.15385354036784771</v>
      </c>
    </row>
    <row r="116" spans="2:12" x14ac:dyDescent="0.2">
      <c r="C116" s="166"/>
    </row>
    <row r="117" spans="2:12" x14ac:dyDescent="0.2">
      <c r="B117" s="174"/>
      <c r="C117" s="166"/>
    </row>
    <row r="118" spans="2:12" x14ac:dyDescent="0.2">
      <c r="B118" s="174"/>
      <c r="C118" s="166"/>
    </row>
    <row r="119" spans="2:12" x14ac:dyDescent="0.2">
      <c r="B119" s="174"/>
      <c r="C119" s="166"/>
    </row>
    <row r="120" spans="2:12" x14ac:dyDescent="0.2">
      <c r="C120" s="166"/>
    </row>
    <row r="121" spans="2:12" x14ac:dyDescent="0.2">
      <c r="C121" s="166"/>
    </row>
    <row r="122" spans="2:12" x14ac:dyDescent="0.2">
      <c r="B122" s="174"/>
      <c r="C122" s="166"/>
      <c r="H122" s="261"/>
      <c r="I122" s="182"/>
      <c r="J122" s="261"/>
      <c r="K122" s="182"/>
      <c r="L122" s="185">
        <v>1.7709312847080532</v>
      </c>
    </row>
    <row r="123" spans="2:12" x14ac:dyDescent="0.2">
      <c r="B123" s="174"/>
      <c r="C123" s="166"/>
      <c r="H123" s="261"/>
      <c r="I123" s="182"/>
      <c r="J123" s="261"/>
      <c r="K123" s="182"/>
      <c r="L123" s="185">
        <v>68.651644336175394</v>
      </c>
    </row>
    <row r="124" spans="2:12" x14ac:dyDescent="0.2">
      <c r="B124" s="174"/>
      <c r="C124" s="166"/>
      <c r="H124" s="261"/>
      <c r="I124" s="182"/>
      <c r="J124" s="261"/>
      <c r="K124" s="182"/>
      <c r="L124" s="185">
        <v>1.3011573220213943</v>
      </c>
    </row>
    <row r="125" spans="2:12" x14ac:dyDescent="0.2">
      <c r="C125" s="166"/>
      <c r="H125" s="261"/>
      <c r="I125" s="182"/>
      <c r="J125" s="261"/>
      <c r="K125" s="182"/>
      <c r="L125" s="185">
        <v>1.3610431688282307</v>
      </c>
    </row>
    <row r="126" spans="2:12" x14ac:dyDescent="0.2">
      <c r="C126" s="166"/>
    </row>
    <row r="127" spans="2:12" x14ac:dyDescent="0.2">
      <c r="B127" s="174"/>
      <c r="C127" s="166"/>
    </row>
    <row r="128" spans="2:12" x14ac:dyDescent="0.2">
      <c r="B128" s="174"/>
      <c r="C128" s="166"/>
    </row>
    <row r="129" spans="2:12" x14ac:dyDescent="0.2">
      <c r="B129" s="174"/>
      <c r="C129" s="166"/>
    </row>
    <row r="130" spans="2:12" x14ac:dyDescent="0.2">
      <c r="C130" s="166"/>
    </row>
    <row r="131" spans="2:12" x14ac:dyDescent="0.2">
      <c r="C131" s="166"/>
    </row>
    <row r="132" spans="2:12" x14ac:dyDescent="0.2">
      <c r="B132" s="174"/>
      <c r="C132" s="166"/>
      <c r="H132" s="261"/>
      <c r="I132" s="182"/>
      <c r="J132" s="261"/>
      <c r="K132" s="182"/>
      <c r="L132" s="185">
        <v>2.4259432856808063</v>
      </c>
    </row>
    <row r="133" spans="2:12" x14ac:dyDescent="0.2">
      <c r="B133" s="174"/>
      <c r="C133" s="166"/>
      <c r="H133" s="261"/>
      <c r="I133" s="182"/>
      <c r="J133" s="261"/>
      <c r="K133" s="182"/>
      <c r="L133" s="185">
        <v>57.275167785234899</v>
      </c>
    </row>
    <row r="134" spans="2:12" x14ac:dyDescent="0.2">
      <c r="B134" s="174"/>
      <c r="C134" s="166"/>
      <c r="H134" s="261"/>
      <c r="I134" s="182"/>
      <c r="J134" s="261"/>
      <c r="K134" s="182"/>
      <c r="L134" s="185">
        <v>0.71169904919388172</v>
      </c>
    </row>
    <row r="135" spans="2:12" x14ac:dyDescent="0.2">
      <c r="C135" s="166"/>
      <c r="H135" s="261"/>
      <c r="I135" s="182"/>
      <c r="J135" s="261"/>
      <c r="K135" s="182"/>
      <c r="L135" s="185">
        <v>3.4086645028240423</v>
      </c>
    </row>
    <row r="136" spans="2:12" x14ac:dyDescent="0.2">
      <c r="C136" s="166"/>
    </row>
    <row r="137" spans="2:12" x14ac:dyDescent="0.2">
      <c r="B137" s="174"/>
      <c r="C137" s="166"/>
    </row>
    <row r="138" spans="2:12" x14ac:dyDescent="0.2">
      <c r="B138" s="174"/>
      <c r="C138" s="166"/>
    </row>
    <row r="139" spans="2:12" x14ac:dyDescent="0.2">
      <c r="B139" s="174"/>
      <c r="C139" s="166"/>
    </row>
    <row r="140" spans="2:12" x14ac:dyDescent="0.2">
      <c r="C140" s="166"/>
    </row>
    <row r="141" spans="2:12" x14ac:dyDescent="0.2">
      <c r="C141" s="166"/>
    </row>
    <row r="142" spans="2:12" x14ac:dyDescent="0.2">
      <c r="B142" s="174"/>
      <c r="C142" s="166"/>
      <c r="H142" s="261"/>
      <c r="I142" s="182"/>
      <c r="J142" s="261"/>
      <c r="K142" s="182"/>
      <c r="L142" s="185">
        <v>153.63333333333333</v>
      </c>
    </row>
    <row r="143" spans="2:12" x14ac:dyDescent="0.2">
      <c r="B143" s="174"/>
      <c r="C143" s="166"/>
      <c r="H143" s="261"/>
      <c r="I143" s="182"/>
      <c r="J143" s="261"/>
      <c r="K143" s="182"/>
      <c r="L143" s="185">
        <v>1.8801704687891701E-2</v>
      </c>
    </row>
    <row r="144" spans="2:12" x14ac:dyDescent="0.2">
      <c r="B144" s="174"/>
      <c r="C144" s="166"/>
      <c r="H144" s="261"/>
      <c r="I144" s="182"/>
      <c r="J144" s="261"/>
      <c r="K144" s="182"/>
      <c r="L144" s="185">
        <v>0.49226186621770379</v>
      </c>
    </row>
    <row r="145" spans="2:12" x14ac:dyDescent="0.2">
      <c r="C145" s="166"/>
      <c r="H145" s="261"/>
      <c r="I145" s="182"/>
      <c r="J145" s="261"/>
      <c r="K145" s="182"/>
      <c r="L145" s="185">
        <v>312.09675962466019</v>
      </c>
    </row>
    <row r="146" spans="2:12" x14ac:dyDescent="0.2">
      <c r="C146" s="166"/>
    </row>
    <row r="147" spans="2:12" x14ac:dyDescent="0.2">
      <c r="B147" s="174"/>
      <c r="C147" s="166"/>
    </row>
    <row r="148" spans="2:12" x14ac:dyDescent="0.2">
      <c r="B148" s="174"/>
      <c r="C148" s="166"/>
    </row>
    <row r="149" spans="2:12" x14ac:dyDescent="0.2">
      <c r="B149" s="174"/>
      <c r="C149" s="166"/>
    </row>
    <row r="150" spans="2:12" x14ac:dyDescent="0.2">
      <c r="C150" s="166"/>
    </row>
    <row r="151" spans="2:12" x14ac:dyDescent="0.2">
      <c r="C151" s="166"/>
    </row>
    <row r="152" spans="2:12" x14ac:dyDescent="0.2">
      <c r="B152" s="174"/>
      <c r="C152" s="166"/>
      <c r="H152" s="261"/>
      <c r="I152" s="182"/>
      <c r="J152" s="261"/>
      <c r="K152" s="182"/>
      <c r="L152" s="185">
        <v>2.8317757009345796</v>
      </c>
    </row>
    <row r="153" spans="2:12" x14ac:dyDescent="0.2">
      <c r="B153" s="174"/>
      <c r="C153" s="166"/>
      <c r="H153" s="261"/>
      <c r="I153" s="182"/>
      <c r="J153" s="261"/>
      <c r="K153" s="182"/>
      <c r="L153" s="185">
        <v>1.1964856230031948</v>
      </c>
    </row>
    <row r="154" spans="2:12" x14ac:dyDescent="0.2">
      <c r="B154" s="174"/>
      <c r="C154" s="166"/>
      <c r="H154" s="261"/>
      <c r="I154" s="182"/>
      <c r="J154" s="261"/>
      <c r="K154" s="182"/>
      <c r="L154" s="185">
        <v>0.60681818181818181</v>
      </c>
    </row>
    <row r="155" spans="2:12" x14ac:dyDescent="0.2">
      <c r="C155" s="166"/>
      <c r="H155" s="261"/>
      <c r="I155" s="182"/>
      <c r="J155" s="261"/>
      <c r="K155" s="182"/>
      <c r="L155" s="185">
        <v>4.6665966607161611</v>
      </c>
    </row>
    <row r="156" spans="2:12" x14ac:dyDescent="0.2">
      <c r="C156" s="166"/>
    </row>
    <row r="157" spans="2:12" x14ac:dyDescent="0.2">
      <c r="B157" s="174"/>
      <c r="C157" s="166"/>
    </row>
    <row r="158" spans="2:12" x14ac:dyDescent="0.2">
      <c r="B158" s="174"/>
      <c r="C158" s="166"/>
    </row>
    <row r="159" spans="2:12" x14ac:dyDescent="0.2">
      <c r="B159" s="174"/>
      <c r="C159" s="166"/>
    </row>
    <row r="160" spans="2:12" x14ac:dyDescent="0.2">
      <c r="C160" s="166"/>
    </row>
    <row r="161" spans="2:12" x14ac:dyDescent="0.2">
      <c r="C161" s="166"/>
    </row>
    <row r="162" spans="2:12" x14ac:dyDescent="0.2">
      <c r="B162" s="174"/>
      <c r="C162" s="166"/>
      <c r="H162" s="261"/>
      <c r="I162" s="182"/>
      <c r="J162" s="261"/>
      <c r="K162" s="182"/>
      <c r="L162" s="185">
        <v>19.087121212121211</v>
      </c>
    </row>
    <row r="163" spans="2:12" x14ac:dyDescent="0.2">
      <c r="B163" s="174"/>
      <c r="C163" s="166"/>
      <c r="H163" s="261"/>
      <c r="I163" s="182"/>
      <c r="J163" s="261"/>
      <c r="K163" s="182"/>
      <c r="L163" s="185">
        <v>5.9007599463567276E-2</v>
      </c>
    </row>
    <row r="164" spans="2:12" x14ac:dyDescent="0.2">
      <c r="B164" s="174"/>
      <c r="C164" s="166"/>
      <c r="H164" s="261"/>
      <c r="I164" s="182"/>
      <c r="J164" s="261"/>
      <c r="K164" s="182"/>
      <c r="L164" s="185">
        <v>2.3864247311827955</v>
      </c>
    </row>
    <row r="165" spans="2:12" x14ac:dyDescent="0.2">
      <c r="C165" s="166"/>
      <c r="H165" s="261"/>
      <c r="I165" s="182"/>
      <c r="J165" s="261"/>
      <c r="K165" s="182"/>
      <c r="L165" s="185">
        <v>7.9982079311845578</v>
      </c>
    </row>
    <row r="166" spans="2:12" x14ac:dyDescent="0.2">
      <c r="C166" s="166"/>
    </row>
    <row r="167" spans="2:12" x14ac:dyDescent="0.2">
      <c r="B167" s="174"/>
      <c r="C167" s="166"/>
    </row>
    <row r="168" spans="2:12" x14ac:dyDescent="0.2">
      <c r="B168" s="174"/>
      <c r="C168" s="166"/>
    </row>
    <row r="169" spans="2:12" x14ac:dyDescent="0.2">
      <c r="B169" s="174"/>
      <c r="C169" s="166"/>
    </row>
    <row r="170" spans="2:12" x14ac:dyDescent="0.2">
      <c r="C170" s="166"/>
    </row>
    <row r="171" spans="2:12" x14ac:dyDescent="0.2">
      <c r="C171" s="166"/>
    </row>
    <row r="172" spans="2:12" x14ac:dyDescent="0.2">
      <c r="B172" s="174"/>
      <c r="C172" s="166"/>
      <c r="H172" s="261"/>
      <c r="I172" s="182"/>
      <c r="J172" s="261"/>
      <c r="K172" s="182"/>
      <c r="L172" s="185">
        <v>1.1288570186875271</v>
      </c>
    </row>
    <row r="173" spans="2:12" x14ac:dyDescent="0.2">
      <c r="B173" s="174"/>
      <c r="C173" s="166"/>
      <c r="H173" s="261"/>
      <c r="I173" s="182"/>
      <c r="J173" s="261"/>
      <c r="K173" s="182"/>
      <c r="L173" s="185">
        <v>62.189189189189186</v>
      </c>
    </row>
    <row r="174" spans="2:12" x14ac:dyDescent="0.2">
      <c r="B174" s="174"/>
      <c r="C174" s="166"/>
      <c r="H174" s="261"/>
      <c r="I174" s="182"/>
      <c r="J174" s="261"/>
      <c r="K174" s="182"/>
      <c r="L174" s="185">
        <v>8.8764258555133075</v>
      </c>
    </row>
    <row r="175" spans="2:12" x14ac:dyDescent="0.2">
      <c r="C175" s="166"/>
      <c r="H175" s="261"/>
      <c r="I175" s="182"/>
      <c r="J175" s="261"/>
      <c r="K175" s="182"/>
      <c r="L175" s="185">
        <v>0.12717472517233652</v>
      </c>
    </row>
    <row r="176" spans="2:12" x14ac:dyDescent="0.2">
      <c r="C176" s="166"/>
    </row>
    <row r="177" spans="2:12" x14ac:dyDescent="0.2">
      <c r="B177" s="174"/>
      <c r="C177" s="166"/>
    </row>
    <row r="178" spans="2:12" x14ac:dyDescent="0.2">
      <c r="B178" s="174"/>
      <c r="C178" s="166"/>
    </row>
    <row r="179" spans="2:12" x14ac:dyDescent="0.2">
      <c r="B179" s="174"/>
      <c r="C179" s="166"/>
    </row>
    <row r="180" spans="2:12" x14ac:dyDescent="0.2">
      <c r="C180" s="166"/>
    </row>
    <row r="181" spans="2:12" x14ac:dyDescent="0.2">
      <c r="C181" s="166"/>
    </row>
    <row r="182" spans="2:12" x14ac:dyDescent="0.2">
      <c r="B182" s="174"/>
      <c r="C182" s="166"/>
      <c r="H182" s="261"/>
      <c r="I182" s="182"/>
      <c r="J182" s="261"/>
      <c r="K182" s="182"/>
      <c r="L182" s="185">
        <v>1.1944618272841052</v>
      </c>
    </row>
    <row r="183" spans="2:12" x14ac:dyDescent="0.2">
      <c r="B183" s="174"/>
      <c r="C183" s="166"/>
      <c r="H183" s="261"/>
      <c r="I183" s="182"/>
      <c r="J183" s="261"/>
      <c r="K183" s="182"/>
      <c r="L183" s="185">
        <v>130.44897959183675</v>
      </c>
    </row>
    <row r="184" spans="2:12" x14ac:dyDescent="0.2">
      <c r="B184" s="174"/>
      <c r="C184" s="166"/>
      <c r="H184" s="261"/>
      <c r="I184" s="182"/>
      <c r="J184" s="261"/>
      <c r="K184" s="182"/>
      <c r="L184" s="185">
        <v>5.3784461152882201</v>
      </c>
    </row>
    <row r="185" spans="2:12" x14ac:dyDescent="0.2">
      <c r="C185" s="166"/>
      <c r="H185" s="261"/>
      <c r="I185" s="182"/>
      <c r="J185" s="261"/>
      <c r="K185" s="182"/>
      <c r="L185" s="185">
        <v>0.22208307040370831</v>
      </c>
    </row>
    <row r="186" spans="2:12" x14ac:dyDescent="0.2">
      <c r="C186" s="166"/>
    </row>
    <row r="187" spans="2:12" x14ac:dyDescent="0.2">
      <c r="B187" s="174"/>
      <c r="C187" s="166"/>
    </row>
    <row r="188" spans="2:12" x14ac:dyDescent="0.2">
      <c r="B188" s="174"/>
      <c r="C188" s="166"/>
    </row>
    <row r="189" spans="2:12" x14ac:dyDescent="0.2">
      <c r="B189" s="174"/>
      <c r="C189" s="166"/>
    </row>
    <row r="190" spans="2:12" x14ac:dyDescent="0.2">
      <c r="C190" s="166"/>
    </row>
    <row r="191" spans="2:12" x14ac:dyDescent="0.2">
      <c r="C191" s="166"/>
    </row>
    <row r="192" spans="2:12" x14ac:dyDescent="0.2">
      <c r="B192" s="174"/>
      <c r="C192" s="166"/>
      <c r="H192" s="261"/>
      <c r="I192" s="182"/>
      <c r="J192" s="261"/>
      <c r="K192" s="182"/>
      <c r="L192" s="185">
        <v>1.1720867208672088</v>
      </c>
    </row>
    <row r="193" spans="2:12" x14ac:dyDescent="0.2">
      <c r="B193" s="174"/>
      <c r="C193" s="166"/>
      <c r="H193" s="261"/>
      <c r="I193" s="182"/>
      <c r="J193" s="261"/>
      <c r="K193" s="182"/>
      <c r="L193" s="185">
        <v>8.3863636363636367</v>
      </c>
    </row>
    <row r="194" spans="2:12" x14ac:dyDescent="0.2">
      <c r="B194" s="174"/>
      <c r="C194" s="166"/>
      <c r="H194" s="261"/>
      <c r="I194" s="182"/>
      <c r="J194" s="261"/>
      <c r="K194" s="182"/>
      <c r="L194" s="185">
        <v>7.3173076923076925</v>
      </c>
    </row>
    <row r="195" spans="2:12" x14ac:dyDescent="0.2">
      <c r="C195" s="166"/>
      <c r="H195" s="261"/>
      <c r="I195" s="182"/>
      <c r="J195" s="261"/>
      <c r="K195" s="182"/>
      <c r="L195" s="185">
        <v>0.16018005120918491</v>
      </c>
    </row>
    <row r="196" spans="2:12" x14ac:dyDescent="0.2">
      <c r="C196" s="166"/>
    </row>
    <row r="197" spans="2:12" x14ac:dyDescent="0.2">
      <c r="B197" s="174"/>
      <c r="C197" s="166"/>
    </row>
    <row r="198" spans="2:12" x14ac:dyDescent="0.2">
      <c r="B198" s="174"/>
      <c r="C198" s="166"/>
    </row>
    <row r="199" spans="2:12" x14ac:dyDescent="0.2">
      <c r="B199" s="174"/>
      <c r="C199" s="166"/>
    </row>
    <row r="200" spans="2:12" x14ac:dyDescent="0.2">
      <c r="C200" s="166"/>
    </row>
    <row r="201" spans="2:12" x14ac:dyDescent="0.2">
      <c r="C201" s="166"/>
    </row>
    <row r="202" spans="2:12" x14ac:dyDescent="0.2">
      <c r="B202" s="174"/>
      <c r="C202" s="166"/>
    </row>
    <row r="203" spans="2:12" x14ac:dyDescent="0.2">
      <c r="B203" s="174"/>
      <c r="C203" s="166"/>
    </row>
    <row r="204" spans="2:12" x14ac:dyDescent="0.2">
      <c r="B204" s="174"/>
      <c r="C204" s="166"/>
    </row>
    <row r="205" spans="2:12" x14ac:dyDescent="0.2">
      <c r="C205" s="166"/>
    </row>
    <row r="206" spans="2:12" x14ac:dyDescent="0.2">
      <c r="C206" s="166"/>
    </row>
    <row r="207" spans="2:12" x14ac:dyDescent="0.2">
      <c r="B207" s="174"/>
      <c r="C207" s="166"/>
    </row>
    <row r="208" spans="2:12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7" t="s">
        <v>9</v>
      </c>
      <c r="B1" s="204" t="s">
        <v>109</v>
      </c>
      <c r="C1" s="205" t="s">
        <v>110</v>
      </c>
      <c r="D1" s="206" t="s">
        <v>111</v>
      </c>
    </row>
    <row r="2" spans="1:4" x14ac:dyDescent="0.25">
      <c r="A2" s="201">
        <v>1</v>
      </c>
      <c r="B2" s="188"/>
      <c r="C2" s="189" t="s">
        <v>4</v>
      </c>
      <c r="D2" s="190"/>
    </row>
    <row r="3" spans="1:4" x14ac:dyDescent="0.25">
      <c r="A3" s="199">
        <f>$A$2+0</f>
        <v>1</v>
      </c>
      <c r="B3" s="162">
        <f t="shared" ref="B3:B7" si="0">$B$2</f>
        <v>0</v>
      </c>
      <c r="C3" s="163" t="s">
        <v>5</v>
      </c>
      <c r="D3" s="192"/>
    </row>
    <row r="4" spans="1:4" x14ac:dyDescent="0.25">
      <c r="A4" s="199">
        <v>1</v>
      </c>
      <c r="B4" s="162">
        <f t="shared" si="0"/>
        <v>0</v>
      </c>
      <c r="C4" s="163" t="s">
        <v>148</v>
      </c>
      <c r="D4" s="192"/>
    </row>
    <row r="5" spans="1:4" x14ac:dyDescent="0.25">
      <c r="A5" s="199">
        <v>1</v>
      </c>
      <c r="B5" s="162">
        <f t="shared" si="0"/>
        <v>0</v>
      </c>
      <c r="C5" s="163" t="s">
        <v>149</v>
      </c>
      <c r="D5" s="192"/>
    </row>
    <row r="6" spans="1:4" x14ac:dyDescent="0.25">
      <c r="A6" s="199">
        <v>1</v>
      </c>
      <c r="B6" s="162">
        <f t="shared" si="0"/>
        <v>0</v>
      </c>
      <c r="C6" s="163" t="s">
        <v>150</v>
      </c>
      <c r="D6" s="192"/>
    </row>
    <row r="7" spans="1:4" ht="13.5" thickBot="1" x14ac:dyDescent="0.3">
      <c r="A7" s="200">
        <v>1</v>
      </c>
      <c r="B7" s="194">
        <f t="shared" si="0"/>
        <v>0</v>
      </c>
      <c r="C7" s="195" t="s">
        <v>151</v>
      </c>
      <c r="D7" s="196"/>
    </row>
    <row r="8" spans="1:4" x14ac:dyDescent="0.25">
      <c r="A8" s="203">
        <f>2</f>
        <v>2</v>
      </c>
      <c r="B8" s="161"/>
      <c r="C8" s="163" t="s">
        <v>4</v>
      </c>
      <c r="D8" s="192"/>
    </row>
    <row r="9" spans="1:4" x14ac:dyDescent="0.25">
      <c r="A9" s="199">
        <f>$A$8</f>
        <v>2</v>
      </c>
      <c r="B9" s="162">
        <f t="shared" ref="B9:B13" si="1">$B$8</f>
        <v>0</v>
      </c>
      <c r="C9" s="163" t="s">
        <v>5</v>
      </c>
      <c r="D9" s="192"/>
    </row>
    <row r="10" spans="1:4" x14ac:dyDescent="0.25">
      <c r="A10" s="199">
        <v>2</v>
      </c>
      <c r="B10" s="162">
        <f t="shared" si="1"/>
        <v>0</v>
      </c>
      <c r="C10" s="163" t="s">
        <v>148</v>
      </c>
      <c r="D10" s="192"/>
    </row>
    <row r="11" spans="1:4" x14ac:dyDescent="0.25">
      <c r="A11" s="199">
        <v>2</v>
      </c>
      <c r="B11" s="162">
        <f t="shared" si="1"/>
        <v>0</v>
      </c>
      <c r="C11" s="163" t="s">
        <v>149</v>
      </c>
      <c r="D11" s="192"/>
    </row>
    <row r="12" spans="1:4" x14ac:dyDescent="0.25">
      <c r="A12" s="199">
        <v>2</v>
      </c>
      <c r="B12" s="162">
        <f t="shared" si="1"/>
        <v>0</v>
      </c>
      <c r="C12" s="163" t="s">
        <v>150</v>
      </c>
      <c r="D12" s="192"/>
    </row>
    <row r="13" spans="1:4" ht="13.5" thickBot="1" x14ac:dyDescent="0.3">
      <c r="A13" s="200">
        <v>2</v>
      </c>
      <c r="B13" s="194">
        <f t="shared" si="1"/>
        <v>0</v>
      </c>
      <c r="C13" s="195" t="s">
        <v>151</v>
      </c>
      <c r="D13" s="196"/>
    </row>
    <row r="14" spans="1:4" x14ac:dyDescent="0.25">
      <c r="A14" s="201">
        <f>3</f>
        <v>3</v>
      </c>
      <c r="B14" s="188"/>
      <c r="C14" s="189" t="s">
        <v>4</v>
      </c>
      <c r="D14" s="190"/>
    </row>
    <row r="15" spans="1:4" x14ac:dyDescent="0.25">
      <c r="A15" s="199">
        <f>$A$14</f>
        <v>3</v>
      </c>
      <c r="B15" s="162">
        <f t="shared" ref="B15:B19" si="2">$B$14</f>
        <v>0</v>
      </c>
      <c r="C15" s="163" t="s">
        <v>5</v>
      </c>
      <c r="D15" s="192"/>
    </row>
    <row r="16" spans="1:4" x14ac:dyDescent="0.25">
      <c r="A16" s="199">
        <v>3</v>
      </c>
      <c r="B16" s="162">
        <f t="shared" si="2"/>
        <v>0</v>
      </c>
      <c r="C16" s="163" t="s">
        <v>148</v>
      </c>
      <c r="D16" s="192"/>
    </row>
    <row r="17" spans="1:4" x14ac:dyDescent="0.25">
      <c r="A17" s="199">
        <v>3</v>
      </c>
      <c r="B17" s="162">
        <f t="shared" si="2"/>
        <v>0</v>
      </c>
      <c r="C17" s="163" t="s">
        <v>149</v>
      </c>
      <c r="D17" s="192"/>
    </row>
    <row r="18" spans="1:4" x14ac:dyDescent="0.25">
      <c r="A18" s="199">
        <v>3</v>
      </c>
      <c r="B18" s="162">
        <f t="shared" si="2"/>
        <v>0</v>
      </c>
      <c r="C18" s="163" t="s">
        <v>150</v>
      </c>
      <c r="D18" s="192"/>
    </row>
    <row r="19" spans="1:4" ht="13.5" thickBot="1" x14ac:dyDescent="0.3">
      <c r="A19" s="200">
        <v>3</v>
      </c>
      <c r="B19" s="194">
        <f t="shared" si="2"/>
        <v>0</v>
      </c>
      <c r="C19" s="195" t="s">
        <v>151</v>
      </c>
      <c r="D19" s="196"/>
    </row>
    <row r="20" spans="1:4" x14ac:dyDescent="0.25">
      <c r="A20" s="201">
        <f>4</f>
        <v>4</v>
      </c>
      <c r="B20" s="188"/>
      <c r="C20" s="189" t="s">
        <v>4</v>
      </c>
      <c r="D20" s="190"/>
    </row>
    <row r="21" spans="1:4" x14ac:dyDescent="0.25">
      <c r="A21" s="199">
        <f>$A$20</f>
        <v>4</v>
      </c>
      <c r="B21" s="162">
        <f t="shared" ref="B21:B25" si="3">$B$20</f>
        <v>0</v>
      </c>
      <c r="C21" s="163" t="s">
        <v>5</v>
      </c>
      <c r="D21" s="192"/>
    </row>
    <row r="22" spans="1:4" x14ac:dyDescent="0.25">
      <c r="A22" s="199">
        <v>4</v>
      </c>
      <c r="B22" s="162">
        <f t="shared" si="3"/>
        <v>0</v>
      </c>
      <c r="C22" s="163" t="s">
        <v>148</v>
      </c>
      <c r="D22" s="192"/>
    </row>
    <row r="23" spans="1:4" x14ac:dyDescent="0.25">
      <c r="A23" s="199">
        <v>4</v>
      </c>
      <c r="B23" s="162">
        <f t="shared" si="3"/>
        <v>0</v>
      </c>
      <c r="C23" s="163" t="s">
        <v>149</v>
      </c>
      <c r="D23" s="192"/>
    </row>
    <row r="24" spans="1:4" x14ac:dyDescent="0.25">
      <c r="A24" s="199">
        <v>4</v>
      </c>
      <c r="B24" s="162">
        <f t="shared" si="3"/>
        <v>0</v>
      </c>
      <c r="C24" s="163" t="s">
        <v>150</v>
      </c>
      <c r="D24" s="192"/>
    </row>
    <row r="25" spans="1:4" ht="13.5" thickBot="1" x14ac:dyDescent="0.3">
      <c r="A25" s="200">
        <v>4</v>
      </c>
      <c r="B25" s="194">
        <f t="shared" si="3"/>
        <v>0</v>
      </c>
      <c r="C25" s="195" t="s">
        <v>151</v>
      </c>
      <c r="D25" s="196"/>
    </row>
    <row r="26" spans="1:4" x14ac:dyDescent="0.25">
      <c r="A26" s="201">
        <v>5</v>
      </c>
      <c r="B26" s="188"/>
      <c r="C26" s="189" t="s">
        <v>4</v>
      </c>
      <c r="D26" s="190"/>
    </row>
    <row r="27" spans="1:4" x14ac:dyDescent="0.25">
      <c r="A27" s="199">
        <f>$A$26</f>
        <v>5</v>
      </c>
      <c r="B27" s="162">
        <f t="shared" ref="B27:B31" si="4">$B$26</f>
        <v>0</v>
      </c>
      <c r="C27" s="163" t="s">
        <v>5</v>
      </c>
      <c r="D27" s="192"/>
    </row>
    <row r="28" spans="1:4" x14ac:dyDescent="0.25">
      <c r="A28" s="203">
        <v>5</v>
      </c>
      <c r="B28" s="162">
        <f t="shared" si="4"/>
        <v>0</v>
      </c>
      <c r="C28" s="163" t="s">
        <v>148</v>
      </c>
      <c r="D28" s="192"/>
    </row>
    <row r="29" spans="1:4" x14ac:dyDescent="0.25">
      <c r="A29" s="203">
        <v>5</v>
      </c>
      <c r="B29" s="162">
        <f t="shared" si="4"/>
        <v>0</v>
      </c>
      <c r="C29" s="163" t="s">
        <v>149</v>
      </c>
      <c r="D29" s="192"/>
    </row>
    <row r="30" spans="1:4" x14ac:dyDescent="0.25">
      <c r="A30" s="203">
        <v>5</v>
      </c>
      <c r="B30" s="162">
        <f t="shared" si="4"/>
        <v>0</v>
      </c>
      <c r="C30" s="163" t="s">
        <v>150</v>
      </c>
      <c r="D30" s="192"/>
    </row>
    <row r="31" spans="1:4" ht="13.5" thickBot="1" x14ac:dyDescent="0.3">
      <c r="A31" s="202">
        <v>5</v>
      </c>
      <c r="B31" s="194">
        <f t="shared" si="4"/>
        <v>0</v>
      </c>
      <c r="C31" s="195" t="s">
        <v>151</v>
      </c>
      <c r="D31" s="196"/>
    </row>
    <row r="32" spans="1:4" x14ac:dyDescent="0.25">
      <c r="A32" s="201">
        <f>6</f>
        <v>6</v>
      </c>
      <c r="B32" s="188"/>
      <c r="C32" s="189" t="s">
        <v>4</v>
      </c>
      <c r="D32" s="190"/>
    </row>
    <row r="33" spans="1:7" x14ac:dyDescent="0.25">
      <c r="A33" s="199">
        <f>$A$32</f>
        <v>6</v>
      </c>
      <c r="B33" s="162">
        <f t="shared" ref="B33:B37" si="5">$B$32</f>
        <v>0</v>
      </c>
      <c r="C33" s="163" t="s">
        <v>5</v>
      </c>
      <c r="D33" s="192"/>
    </row>
    <row r="34" spans="1:7" x14ac:dyDescent="0.25">
      <c r="A34" s="199">
        <v>6</v>
      </c>
      <c r="B34" s="162">
        <f t="shared" si="5"/>
        <v>0</v>
      </c>
      <c r="C34" s="163" t="s">
        <v>148</v>
      </c>
      <c r="D34" s="192"/>
    </row>
    <row r="35" spans="1:7" x14ac:dyDescent="0.25">
      <c r="A35" s="199">
        <v>6</v>
      </c>
      <c r="B35" s="162">
        <f t="shared" si="5"/>
        <v>0</v>
      </c>
      <c r="C35" s="163" t="s">
        <v>149</v>
      </c>
      <c r="D35" s="192"/>
    </row>
    <row r="36" spans="1:7" x14ac:dyDescent="0.25">
      <c r="A36" s="199">
        <v>6</v>
      </c>
      <c r="B36" s="162">
        <f t="shared" si="5"/>
        <v>0</v>
      </c>
      <c r="C36" s="163" t="s">
        <v>150</v>
      </c>
      <c r="D36" s="192"/>
      <c r="G36" s="175"/>
    </row>
    <row r="37" spans="1:7" ht="13.5" thickBot="1" x14ac:dyDescent="0.3">
      <c r="A37" s="202">
        <v>6</v>
      </c>
      <c r="B37" s="194">
        <f t="shared" si="5"/>
        <v>0</v>
      </c>
      <c r="C37" s="195" t="s">
        <v>151</v>
      </c>
      <c r="D37" s="196"/>
      <c r="G37" s="175"/>
    </row>
    <row r="38" spans="1:7" x14ac:dyDescent="0.25">
      <c r="A38" s="201">
        <f>7</f>
        <v>7</v>
      </c>
      <c r="B38" s="188"/>
      <c r="C38" s="189" t="s">
        <v>4</v>
      </c>
      <c r="D38" s="190"/>
    </row>
    <row r="39" spans="1:7" x14ac:dyDescent="0.25">
      <c r="A39" s="199">
        <f>$A$38</f>
        <v>7</v>
      </c>
      <c r="B39" s="162">
        <f t="shared" ref="B39:B43" si="6">$B$38</f>
        <v>0</v>
      </c>
      <c r="C39" s="163" t="s">
        <v>5</v>
      </c>
      <c r="D39" s="192"/>
    </row>
    <row r="40" spans="1:7" x14ac:dyDescent="0.25">
      <c r="A40" s="199">
        <v>7</v>
      </c>
      <c r="B40" s="162">
        <f t="shared" si="6"/>
        <v>0</v>
      </c>
      <c r="C40" s="163" t="s">
        <v>148</v>
      </c>
      <c r="D40" s="192"/>
    </row>
    <row r="41" spans="1:7" x14ac:dyDescent="0.25">
      <c r="A41" s="199">
        <v>7</v>
      </c>
      <c r="B41" s="162">
        <f t="shared" si="6"/>
        <v>0</v>
      </c>
      <c r="C41" s="163" t="s">
        <v>149</v>
      </c>
      <c r="D41" s="192"/>
    </row>
    <row r="42" spans="1:7" x14ac:dyDescent="0.25">
      <c r="A42" s="199">
        <v>7</v>
      </c>
      <c r="B42" s="162">
        <f t="shared" si="6"/>
        <v>0</v>
      </c>
      <c r="C42" s="163" t="s">
        <v>150</v>
      </c>
      <c r="D42" s="192"/>
    </row>
    <row r="43" spans="1:7" ht="13.5" thickBot="1" x14ac:dyDescent="0.3">
      <c r="A43" s="200">
        <v>7</v>
      </c>
      <c r="B43" s="194">
        <f t="shared" si="6"/>
        <v>0</v>
      </c>
      <c r="C43" s="195" t="s">
        <v>151</v>
      </c>
      <c r="D43" s="196"/>
    </row>
    <row r="44" spans="1:7" x14ac:dyDescent="0.25">
      <c r="A44" s="201">
        <f>8</f>
        <v>8</v>
      </c>
      <c r="B44" s="188"/>
      <c r="C44" s="189" t="s">
        <v>4</v>
      </c>
      <c r="D44" s="190"/>
    </row>
    <row r="45" spans="1:7" x14ac:dyDescent="0.25">
      <c r="A45" s="199">
        <f>$A$44</f>
        <v>8</v>
      </c>
      <c r="B45" s="162">
        <f t="shared" ref="B45:B49" si="7">$B$44</f>
        <v>0</v>
      </c>
      <c r="C45" s="163" t="s">
        <v>5</v>
      </c>
      <c r="D45" s="192"/>
    </row>
    <row r="46" spans="1:7" x14ac:dyDescent="0.25">
      <c r="A46" s="199">
        <v>8</v>
      </c>
      <c r="B46" s="162">
        <f t="shared" si="7"/>
        <v>0</v>
      </c>
      <c r="C46" s="163" t="s">
        <v>148</v>
      </c>
      <c r="D46" s="192"/>
    </row>
    <row r="47" spans="1:7" x14ac:dyDescent="0.25">
      <c r="A47" s="199">
        <v>8</v>
      </c>
      <c r="B47" s="162">
        <f t="shared" si="7"/>
        <v>0</v>
      </c>
      <c r="C47" s="163" t="s">
        <v>149</v>
      </c>
      <c r="D47" s="192"/>
    </row>
    <row r="48" spans="1:7" x14ac:dyDescent="0.25">
      <c r="A48" s="199">
        <v>8</v>
      </c>
      <c r="B48" s="162">
        <f t="shared" si="7"/>
        <v>0</v>
      </c>
      <c r="C48" s="163" t="s">
        <v>150</v>
      </c>
      <c r="D48" s="192"/>
    </row>
    <row r="49" spans="1:9" ht="13.5" thickBot="1" x14ac:dyDescent="0.3">
      <c r="A49" s="200">
        <v>8</v>
      </c>
      <c r="B49" s="194">
        <f t="shared" si="7"/>
        <v>0</v>
      </c>
      <c r="C49" s="195" t="s">
        <v>151</v>
      </c>
      <c r="D49" s="196"/>
    </row>
    <row r="50" spans="1:9" x14ac:dyDescent="0.25">
      <c r="A50" s="201">
        <f>9</f>
        <v>9</v>
      </c>
      <c r="B50" s="188"/>
      <c r="C50" s="189" t="s">
        <v>4</v>
      </c>
      <c r="D50" s="190"/>
    </row>
    <row r="51" spans="1:9" x14ac:dyDescent="0.25">
      <c r="A51" s="199">
        <f>$A$50</f>
        <v>9</v>
      </c>
      <c r="B51" s="162">
        <f t="shared" ref="B51:B55" si="8">$B$50</f>
        <v>0</v>
      </c>
      <c r="C51" s="163" t="s">
        <v>5</v>
      </c>
      <c r="D51" s="192"/>
    </row>
    <row r="52" spans="1:9" x14ac:dyDescent="0.25">
      <c r="A52" s="199">
        <v>9</v>
      </c>
      <c r="B52" s="162">
        <f t="shared" si="8"/>
        <v>0</v>
      </c>
      <c r="C52" s="163" t="s">
        <v>148</v>
      </c>
      <c r="D52" s="192"/>
    </row>
    <row r="53" spans="1:9" x14ac:dyDescent="0.25">
      <c r="A53" s="199">
        <v>9</v>
      </c>
      <c r="B53" s="162">
        <f t="shared" si="8"/>
        <v>0</v>
      </c>
      <c r="C53" s="163" t="s">
        <v>149</v>
      </c>
      <c r="D53" s="192"/>
    </row>
    <row r="54" spans="1:9" x14ac:dyDescent="0.25">
      <c r="A54" s="199">
        <v>9</v>
      </c>
      <c r="B54" s="162">
        <f t="shared" si="8"/>
        <v>0</v>
      </c>
      <c r="C54" s="163" t="s">
        <v>150</v>
      </c>
      <c r="D54" s="192"/>
    </row>
    <row r="55" spans="1:9" ht="13.5" thickBot="1" x14ac:dyDescent="0.3">
      <c r="A55" s="200">
        <v>9</v>
      </c>
      <c r="B55" s="194">
        <f t="shared" si="8"/>
        <v>0</v>
      </c>
      <c r="C55" s="195" t="s">
        <v>151</v>
      </c>
      <c r="D55" s="196"/>
    </row>
    <row r="56" spans="1:9" x14ac:dyDescent="0.25">
      <c r="A56" s="198">
        <v>10</v>
      </c>
      <c r="B56" s="188"/>
      <c r="C56" s="189" t="s">
        <v>4</v>
      </c>
      <c r="D56" s="190"/>
    </row>
    <row r="57" spans="1:9" x14ac:dyDescent="0.25">
      <c r="A57" s="199">
        <f>$A$56</f>
        <v>10</v>
      </c>
      <c r="B57" s="162">
        <f t="shared" ref="B57:B61" si="9">$B$56</f>
        <v>0</v>
      </c>
      <c r="C57" s="163" t="s">
        <v>5</v>
      </c>
      <c r="D57" s="192"/>
    </row>
    <row r="58" spans="1:9" x14ac:dyDescent="0.25">
      <c r="A58" s="199">
        <v>10</v>
      </c>
      <c r="B58" s="162">
        <f t="shared" si="9"/>
        <v>0</v>
      </c>
      <c r="C58" s="163" t="s">
        <v>148</v>
      </c>
      <c r="D58" s="192"/>
    </row>
    <row r="59" spans="1:9" x14ac:dyDescent="0.25">
      <c r="A59" s="199">
        <v>10</v>
      </c>
      <c r="B59" s="162">
        <f t="shared" si="9"/>
        <v>0</v>
      </c>
      <c r="C59" s="163" t="s">
        <v>149</v>
      </c>
      <c r="D59" s="192"/>
    </row>
    <row r="60" spans="1:9" x14ac:dyDescent="0.25">
      <c r="A60" s="199">
        <v>10</v>
      </c>
      <c r="B60" s="162">
        <f t="shared" si="9"/>
        <v>0</v>
      </c>
      <c r="C60" s="163" t="s">
        <v>150</v>
      </c>
      <c r="D60" s="192"/>
    </row>
    <row r="61" spans="1:9" ht="13.5" thickBot="1" x14ac:dyDescent="0.3">
      <c r="A61" s="200">
        <v>10</v>
      </c>
      <c r="B61" s="194">
        <f t="shared" si="9"/>
        <v>0</v>
      </c>
      <c r="C61" s="195" t="s">
        <v>151</v>
      </c>
      <c r="D61" s="196"/>
    </row>
    <row r="62" spans="1:9" ht="13.5" x14ac:dyDescent="0.25">
      <c r="A62" s="187">
        <v>11</v>
      </c>
      <c r="B62" s="188"/>
      <c r="C62" s="189" t="s">
        <v>4</v>
      </c>
      <c r="D62" s="190"/>
      <c r="E62" s="1"/>
      <c r="F62" s="1"/>
      <c r="G62" s="4"/>
      <c r="I62" s="1"/>
    </row>
    <row r="63" spans="1:9" ht="13.5" x14ac:dyDescent="0.25">
      <c r="A63" s="191">
        <v>11</v>
      </c>
      <c r="B63" s="162">
        <f t="shared" ref="B63:B67" si="10">$B$62</f>
        <v>0</v>
      </c>
      <c r="C63" s="163" t="s">
        <v>5</v>
      </c>
      <c r="D63" s="192"/>
      <c r="E63" s="1"/>
      <c r="F63" s="1"/>
      <c r="G63" s="4"/>
      <c r="I63" s="1"/>
    </row>
    <row r="64" spans="1:9" ht="13.5" x14ac:dyDescent="0.25">
      <c r="A64" s="191">
        <v>11</v>
      </c>
      <c r="B64" s="162">
        <f t="shared" si="10"/>
        <v>0</v>
      </c>
      <c r="C64" s="163" t="s">
        <v>148</v>
      </c>
      <c r="D64" s="192"/>
      <c r="E64" s="1"/>
      <c r="F64" s="1"/>
      <c r="G64" s="4"/>
      <c r="I64" s="1"/>
    </row>
    <row r="65" spans="1:9" ht="13.5" x14ac:dyDescent="0.25">
      <c r="A65" s="191">
        <v>11</v>
      </c>
      <c r="B65" s="162">
        <f t="shared" si="10"/>
        <v>0</v>
      </c>
      <c r="C65" s="163" t="s">
        <v>149</v>
      </c>
      <c r="D65" s="192"/>
      <c r="E65" s="1"/>
      <c r="F65" s="1"/>
      <c r="G65" s="4"/>
      <c r="I65" s="1"/>
    </row>
    <row r="66" spans="1:9" ht="13.5" x14ac:dyDescent="0.25">
      <c r="A66" s="191">
        <v>11</v>
      </c>
      <c r="B66" s="162">
        <f t="shared" si="10"/>
        <v>0</v>
      </c>
      <c r="C66" s="163" t="s">
        <v>150</v>
      </c>
      <c r="D66" s="192"/>
      <c r="E66" s="1"/>
      <c r="F66" s="1"/>
      <c r="G66" s="4"/>
      <c r="I66" s="1"/>
    </row>
    <row r="67" spans="1:9" ht="14.25" thickBot="1" x14ac:dyDescent="0.3">
      <c r="A67" s="193">
        <v>11</v>
      </c>
      <c r="B67" s="194">
        <f t="shared" si="10"/>
        <v>0</v>
      </c>
      <c r="C67" s="195" t="s">
        <v>151</v>
      </c>
      <c r="D67" s="196"/>
      <c r="E67" s="1"/>
      <c r="F67" s="1"/>
      <c r="G67" s="4"/>
    </row>
    <row r="68" spans="1:9" ht="13.5" x14ac:dyDescent="0.25">
      <c r="A68" s="187">
        <v>12</v>
      </c>
      <c r="B68" s="188"/>
      <c r="C68" s="189" t="s">
        <v>4</v>
      </c>
      <c r="D68" s="190"/>
      <c r="E68" s="1"/>
      <c r="F68" s="1"/>
      <c r="G68" s="4"/>
    </row>
    <row r="69" spans="1:9" ht="13.5" x14ac:dyDescent="0.25">
      <c r="A69" s="191">
        <v>12</v>
      </c>
      <c r="B69" s="162">
        <f t="shared" ref="B69:B73" si="11">$B$68</f>
        <v>0</v>
      </c>
      <c r="C69" s="163" t="s">
        <v>5</v>
      </c>
      <c r="D69" s="192"/>
      <c r="E69" s="1"/>
      <c r="F69" s="1"/>
      <c r="G69" s="4"/>
    </row>
    <row r="70" spans="1:9" ht="13.5" x14ac:dyDescent="0.25">
      <c r="A70" s="191">
        <v>12</v>
      </c>
      <c r="B70" s="162">
        <f t="shared" si="11"/>
        <v>0</v>
      </c>
      <c r="C70" s="163" t="s">
        <v>148</v>
      </c>
      <c r="D70" s="192"/>
      <c r="E70" s="1"/>
      <c r="F70" s="1"/>
      <c r="G70" s="4"/>
    </row>
    <row r="71" spans="1:9" ht="13.5" x14ac:dyDescent="0.25">
      <c r="A71" s="191">
        <v>12</v>
      </c>
      <c r="B71" s="162">
        <f t="shared" si="11"/>
        <v>0</v>
      </c>
      <c r="C71" s="163" t="s">
        <v>149</v>
      </c>
      <c r="D71" s="192"/>
      <c r="E71" s="1"/>
      <c r="F71" s="1"/>
      <c r="G71" s="4"/>
    </row>
    <row r="72" spans="1:9" ht="13.5" x14ac:dyDescent="0.25">
      <c r="A72" s="191">
        <v>12</v>
      </c>
      <c r="B72" s="162">
        <f t="shared" si="11"/>
        <v>0</v>
      </c>
      <c r="C72" s="163" t="s">
        <v>150</v>
      </c>
      <c r="D72" s="192"/>
      <c r="E72" s="1"/>
      <c r="F72" s="1"/>
      <c r="G72" s="4"/>
    </row>
    <row r="73" spans="1:9" ht="14.25" thickBot="1" x14ac:dyDescent="0.3">
      <c r="A73" s="193">
        <v>12</v>
      </c>
      <c r="B73" s="194">
        <f t="shared" si="11"/>
        <v>0</v>
      </c>
      <c r="C73" s="195" t="s">
        <v>151</v>
      </c>
      <c r="D73" s="196"/>
      <c r="E73" s="1"/>
      <c r="F73" s="1"/>
      <c r="G73" s="4"/>
    </row>
    <row r="74" spans="1:9" ht="13.5" x14ac:dyDescent="0.25">
      <c r="A74" s="187">
        <v>13</v>
      </c>
      <c r="B74" s="188"/>
      <c r="C74" s="189" t="s">
        <v>4</v>
      </c>
      <c r="D74" s="190"/>
      <c r="E74" s="1"/>
      <c r="F74" s="1"/>
      <c r="G74" s="4"/>
    </row>
    <row r="75" spans="1:9" ht="13.5" x14ac:dyDescent="0.25">
      <c r="A75" s="191">
        <v>13</v>
      </c>
      <c r="B75" s="162">
        <f t="shared" ref="B75:B79" si="12">$B$74</f>
        <v>0</v>
      </c>
      <c r="C75" s="163" t="s">
        <v>5</v>
      </c>
      <c r="D75" s="192"/>
      <c r="E75" s="1"/>
      <c r="F75" s="1"/>
      <c r="G75" s="4"/>
    </row>
    <row r="76" spans="1:9" ht="13.5" x14ac:dyDescent="0.25">
      <c r="A76" s="191">
        <v>13</v>
      </c>
      <c r="B76" s="162">
        <f t="shared" si="12"/>
        <v>0</v>
      </c>
      <c r="C76" s="163" t="s">
        <v>148</v>
      </c>
      <c r="D76" s="192"/>
      <c r="E76" s="1"/>
      <c r="F76" s="1"/>
      <c r="G76" s="4"/>
    </row>
    <row r="77" spans="1:9" ht="13.5" x14ac:dyDescent="0.25">
      <c r="A77" s="191">
        <v>13</v>
      </c>
      <c r="B77" s="162">
        <f t="shared" si="12"/>
        <v>0</v>
      </c>
      <c r="C77" s="163" t="s">
        <v>149</v>
      </c>
      <c r="D77" s="192"/>
      <c r="E77" s="1"/>
      <c r="F77" s="1"/>
      <c r="G77" s="4"/>
    </row>
    <row r="78" spans="1:9" ht="13.5" x14ac:dyDescent="0.25">
      <c r="A78" s="191">
        <v>13</v>
      </c>
      <c r="B78" s="162">
        <f t="shared" si="12"/>
        <v>0</v>
      </c>
      <c r="C78" s="163" t="s">
        <v>150</v>
      </c>
      <c r="D78" s="192"/>
      <c r="E78" s="1"/>
      <c r="F78" s="1"/>
      <c r="G78" s="4"/>
    </row>
    <row r="79" spans="1:9" ht="14.25" thickBot="1" x14ac:dyDescent="0.3">
      <c r="A79" s="193">
        <v>13</v>
      </c>
      <c r="B79" s="194">
        <f t="shared" si="12"/>
        <v>0</v>
      </c>
      <c r="C79" s="195" t="s">
        <v>151</v>
      </c>
      <c r="D79" s="196"/>
    </row>
    <row r="80" spans="1:9" ht="13.5" x14ac:dyDescent="0.25">
      <c r="A80" s="187">
        <v>14</v>
      </c>
      <c r="B80" s="188"/>
      <c r="C80" s="189" t="s">
        <v>4</v>
      </c>
      <c r="D80" s="190"/>
    </row>
    <row r="81" spans="1:4" ht="13.5" x14ac:dyDescent="0.25">
      <c r="A81" s="191">
        <v>14</v>
      </c>
      <c r="B81" s="162">
        <f t="shared" ref="B81:B85" si="13">$B$80</f>
        <v>0</v>
      </c>
      <c r="C81" s="163" t="s">
        <v>5</v>
      </c>
      <c r="D81" s="192"/>
    </row>
    <row r="82" spans="1:4" ht="13.5" x14ac:dyDescent="0.25">
      <c r="A82" s="191">
        <v>14</v>
      </c>
      <c r="B82" s="162">
        <f t="shared" si="13"/>
        <v>0</v>
      </c>
      <c r="C82" s="163" t="s">
        <v>148</v>
      </c>
      <c r="D82" s="192"/>
    </row>
    <row r="83" spans="1:4" ht="13.5" x14ac:dyDescent="0.25">
      <c r="A83" s="191">
        <v>14</v>
      </c>
      <c r="B83" s="162">
        <f t="shared" si="13"/>
        <v>0</v>
      </c>
      <c r="C83" s="163" t="s">
        <v>149</v>
      </c>
      <c r="D83" s="192"/>
    </row>
    <row r="84" spans="1:4" ht="13.5" x14ac:dyDescent="0.25">
      <c r="A84" s="191">
        <v>14</v>
      </c>
      <c r="B84" s="162">
        <f t="shared" si="13"/>
        <v>0</v>
      </c>
      <c r="C84" s="163" t="s">
        <v>150</v>
      </c>
      <c r="D84" s="192"/>
    </row>
    <row r="85" spans="1:4" ht="14.25" thickBot="1" x14ac:dyDescent="0.3">
      <c r="A85" s="193">
        <v>14</v>
      </c>
      <c r="B85" s="194">
        <f t="shared" si="13"/>
        <v>0</v>
      </c>
      <c r="C85" s="195" t="s">
        <v>151</v>
      </c>
      <c r="D85" s="196"/>
    </row>
    <row r="86" spans="1:4" ht="13.5" x14ac:dyDescent="0.25">
      <c r="A86" s="187">
        <v>15</v>
      </c>
      <c r="B86" s="188"/>
      <c r="C86" s="189" t="s">
        <v>4</v>
      </c>
      <c r="D86" s="190"/>
    </row>
    <row r="87" spans="1:4" ht="13.5" x14ac:dyDescent="0.25">
      <c r="A87" s="191">
        <v>15</v>
      </c>
      <c r="B87" s="162">
        <f t="shared" ref="B87:B91" si="14">$B$86</f>
        <v>0</v>
      </c>
      <c r="C87" s="163" t="s">
        <v>5</v>
      </c>
      <c r="D87" s="192"/>
    </row>
    <row r="88" spans="1:4" ht="13.5" x14ac:dyDescent="0.25">
      <c r="A88" s="191">
        <v>15</v>
      </c>
      <c r="B88" s="162">
        <f t="shared" si="14"/>
        <v>0</v>
      </c>
      <c r="C88" s="163" t="s">
        <v>148</v>
      </c>
      <c r="D88" s="192"/>
    </row>
    <row r="89" spans="1:4" ht="13.5" x14ac:dyDescent="0.25">
      <c r="A89" s="191">
        <v>15</v>
      </c>
      <c r="B89" s="162">
        <f t="shared" si="14"/>
        <v>0</v>
      </c>
      <c r="C89" s="163" t="s">
        <v>149</v>
      </c>
      <c r="D89" s="192"/>
    </row>
    <row r="90" spans="1:4" ht="13.5" x14ac:dyDescent="0.25">
      <c r="A90" s="191">
        <v>15</v>
      </c>
      <c r="B90" s="162">
        <f t="shared" si="14"/>
        <v>0</v>
      </c>
      <c r="C90" s="163" t="s">
        <v>150</v>
      </c>
      <c r="D90" s="192"/>
    </row>
    <row r="91" spans="1:4" ht="14.25" thickBot="1" x14ac:dyDescent="0.3">
      <c r="A91" s="193">
        <v>15</v>
      </c>
      <c r="B91" s="194">
        <f t="shared" si="14"/>
        <v>0</v>
      </c>
      <c r="C91" s="195" t="s">
        <v>151</v>
      </c>
      <c r="D91" s="196"/>
    </row>
    <row r="92" spans="1:4" ht="13.5" x14ac:dyDescent="0.25">
      <c r="A92" s="187">
        <v>16</v>
      </c>
      <c r="B92" s="188"/>
      <c r="C92" s="189" t="s">
        <v>4</v>
      </c>
      <c r="D92" s="190"/>
    </row>
    <row r="93" spans="1:4" ht="13.5" x14ac:dyDescent="0.25">
      <c r="A93" s="191">
        <v>16</v>
      </c>
      <c r="B93" s="162">
        <f t="shared" ref="B93:B97" si="15">$B$92</f>
        <v>0</v>
      </c>
      <c r="C93" s="163" t="s">
        <v>5</v>
      </c>
      <c r="D93" s="192"/>
    </row>
    <row r="94" spans="1:4" ht="13.5" x14ac:dyDescent="0.25">
      <c r="A94" s="191">
        <v>16</v>
      </c>
      <c r="B94" s="162">
        <f t="shared" si="15"/>
        <v>0</v>
      </c>
      <c r="C94" s="163" t="s">
        <v>148</v>
      </c>
      <c r="D94" s="192"/>
    </row>
    <row r="95" spans="1:4" ht="13.5" x14ac:dyDescent="0.25">
      <c r="A95" s="191">
        <v>16</v>
      </c>
      <c r="B95" s="162">
        <f t="shared" si="15"/>
        <v>0</v>
      </c>
      <c r="C95" s="163" t="s">
        <v>149</v>
      </c>
      <c r="D95" s="192"/>
    </row>
    <row r="96" spans="1:4" ht="13.5" x14ac:dyDescent="0.25">
      <c r="A96" s="191">
        <v>16</v>
      </c>
      <c r="B96" s="162">
        <f t="shared" si="15"/>
        <v>0</v>
      </c>
      <c r="C96" s="163" t="s">
        <v>150</v>
      </c>
      <c r="D96" s="192"/>
    </row>
    <row r="97" spans="1:4" ht="14.25" thickBot="1" x14ac:dyDescent="0.3">
      <c r="A97" s="193">
        <v>16</v>
      </c>
      <c r="B97" s="194">
        <f t="shared" si="15"/>
        <v>0</v>
      </c>
      <c r="C97" s="195" t="s">
        <v>151</v>
      </c>
      <c r="D97" s="196"/>
    </row>
    <row r="98" spans="1:4" ht="13.5" x14ac:dyDescent="0.25">
      <c r="A98" s="187">
        <v>17</v>
      </c>
      <c r="B98" s="188"/>
      <c r="C98" s="189" t="s">
        <v>4</v>
      </c>
      <c r="D98" s="190"/>
    </row>
    <row r="99" spans="1:4" ht="13.5" x14ac:dyDescent="0.25">
      <c r="A99" s="191">
        <v>17</v>
      </c>
      <c r="B99" s="162">
        <f t="shared" ref="B99:B103" si="16">$B$98</f>
        <v>0</v>
      </c>
      <c r="C99" s="163" t="s">
        <v>5</v>
      </c>
      <c r="D99" s="192"/>
    </row>
    <row r="100" spans="1:4" ht="13.5" x14ac:dyDescent="0.25">
      <c r="A100" s="191">
        <v>17</v>
      </c>
      <c r="B100" s="162">
        <f t="shared" si="16"/>
        <v>0</v>
      </c>
      <c r="C100" s="163" t="s">
        <v>148</v>
      </c>
      <c r="D100" s="192"/>
    </row>
    <row r="101" spans="1:4" ht="13.5" x14ac:dyDescent="0.25">
      <c r="A101" s="191">
        <v>17</v>
      </c>
      <c r="B101" s="162">
        <f t="shared" si="16"/>
        <v>0</v>
      </c>
      <c r="C101" s="163" t="s">
        <v>149</v>
      </c>
      <c r="D101" s="192"/>
    </row>
    <row r="102" spans="1:4" ht="13.5" x14ac:dyDescent="0.25">
      <c r="A102" s="191">
        <v>17</v>
      </c>
      <c r="B102" s="162">
        <f t="shared" si="16"/>
        <v>0</v>
      </c>
      <c r="C102" s="163" t="s">
        <v>150</v>
      </c>
      <c r="D102" s="192"/>
    </row>
    <row r="103" spans="1:4" ht="14.25" thickBot="1" x14ac:dyDescent="0.3">
      <c r="A103" s="193">
        <v>17</v>
      </c>
      <c r="B103" s="194">
        <f t="shared" si="16"/>
        <v>0</v>
      </c>
      <c r="C103" s="195" t="s">
        <v>151</v>
      </c>
      <c r="D103" s="196"/>
    </row>
    <row r="104" spans="1:4" ht="13.5" x14ac:dyDescent="0.25">
      <c r="A104" s="187">
        <v>18</v>
      </c>
      <c r="B104" s="188"/>
      <c r="C104" s="189" t="s">
        <v>4</v>
      </c>
      <c r="D104" s="190"/>
    </row>
    <row r="105" spans="1:4" ht="13.5" x14ac:dyDescent="0.25">
      <c r="A105" s="191">
        <v>18</v>
      </c>
      <c r="B105" s="162">
        <f t="shared" ref="B105:B109" si="17">$B$104</f>
        <v>0</v>
      </c>
      <c r="C105" s="163" t="s">
        <v>5</v>
      </c>
      <c r="D105" s="192"/>
    </row>
    <row r="106" spans="1:4" ht="13.5" x14ac:dyDescent="0.25">
      <c r="A106" s="191">
        <v>18</v>
      </c>
      <c r="B106" s="162">
        <f t="shared" si="17"/>
        <v>0</v>
      </c>
      <c r="C106" s="163" t="s">
        <v>148</v>
      </c>
      <c r="D106" s="192"/>
    </row>
    <row r="107" spans="1:4" ht="13.5" x14ac:dyDescent="0.25">
      <c r="A107" s="191">
        <v>18</v>
      </c>
      <c r="B107" s="162">
        <f t="shared" si="17"/>
        <v>0</v>
      </c>
      <c r="C107" s="163" t="s">
        <v>149</v>
      </c>
      <c r="D107" s="192"/>
    </row>
    <row r="108" spans="1:4" ht="13.5" x14ac:dyDescent="0.25">
      <c r="A108" s="191">
        <v>18</v>
      </c>
      <c r="B108" s="162">
        <f t="shared" si="17"/>
        <v>0</v>
      </c>
      <c r="C108" s="163" t="s">
        <v>150</v>
      </c>
      <c r="D108" s="192"/>
    </row>
    <row r="109" spans="1:4" ht="14.25" thickBot="1" x14ac:dyDescent="0.3">
      <c r="A109" s="193">
        <v>18</v>
      </c>
      <c r="B109" s="194">
        <f t="shared" si="17"/>
        <v>0</v>
      </c>
      <c r="C109" s="195" t="s">
        <v>151</v>
      </c>
      <c r="D109" s="196"/>
    </row>
    <row r="110" spans="1:4" ht="13.5" x14ac:dyDescent="0.25">
      <c r="A110" s="187">
        <v>19</v>
      </c>
      <c r="B110" s="188"/>
      <c r="C110" s="189" t="s">
        <v>4</v>
      </c>
      <c r="D110" s="190"/>
    </row>
    <row r="111" spans="1:4" ht="13.5" x14ac:dyDescent="0.25">
      <c r="A111" s="191">
        <v>19</v>
      </c>
      <c r="B111" s="162">
        <f t="shared" ref="B111:B115" si="18">$B$110</f>
        <v>0</v>
      </c>
      <c r="C111" s="163" t="s">
        <v>5</v>
      </c>
      <c r="D111" s="192"/>
    </row>
    <row r="112" spans="1:4" ht="13.5" x14ac:dyDescent="0.25">
      <c r="A112" s="191">
        <v>19</v>
      </c>
      <c r="B112" s="162">
        <f t="shared" si="18"/>
        <v>0</v>
      </c>
      <c r="C112" s="163" t="s">
        <v>148</v>
      </c>
      <c r="D112" s="192"/>
    </row>
    <row r="113" spans="1:4" ht="13.5" x14ac:dyDescent="0.25">
      <c r="A113" s="191">
        <v>19</v>
      </c>
      <c r="B113" s="162">
        <f t="shared" si="18"/>
        <v>0</v>
      </c>
      <c r="C113" s="163" t="s">
        <v>149</v>
      </c>
      <c r="D113" s="192"/>
    </row>
    <row r="114" spans="1:4" ht="13.5" x14ac:dyDescent="0.25">
      <c r="A114" s="191">
        <v>19</v>
      </c>
      <c r="B114" s="162">
        <f t="shared" si="18"/>
        <v>0</v>
      </c>
      <c r="C114" s="163" t="s">
        <v>150</v>
      </c>
      <c r="D114" s="192"/>
    </row>
    <row r="115" spans="1:4" ht="14.25" thickBot="1" x14ac:dyDescent="0.3">
      <c r="A115" s="193">
        <v>19</v>
      </c>
      <c r="B115" s="194">
        <f t="shared" si="18"/>
        <v>0</v>
      </c>
      <c r="C115" s="195" t="s">
        <v>151</v>
      </c>
      <c r="D115" s="196"/>
    </row>
    <row r="116" spans="1:4" ht="13.5" x14ac:dyDescent="0.25">
      <c r="A116" s="187">
        <v>20</v>
      </c>
      <c r="B116" s="188"/>
      <c r="C116" s="189" t="s">
        <v>4</v>
      </c>
      <c r="D116" s="190"/>
    </row>
    <row r="117" spans="1:4" ht="13.5" x14ac:dyDescent="0.25">
      <c r="A117" s="191">
        <v>20</v>
      </c>
      <c r="B117" s="162">
        <f t="shared" ref="B117:B121" si="19">$B$116</f>
        <v>0</v>
      </c>
      <c r="C117" s="163" t="s">
        <v>5</v>
      </c>
      <c r="D117" s="192"/>
    </row>
    <row r="118" spans="1:4" ht="13.5" x14ac:dyDescent="0.25">
      <c r="A118" s="191">
        <v>20</v>
      </c>
      <c r="B118" s="162">
        <f t="shared" si="19"/>
        <v>0</v>
      </c>
      <c r="C118" s="163" t="s">
        <v>148</v>
      </c>
      <c r="D118" s="192"/>
    </row>
    <row r="119" spans="1:4" ht="13.5" x14ac:dyDescent="0.25">
      <c r="A119" s="191">
        <v>20</v>
      </c>
      <c r="B119" s="162">
        <f t="shared" si="19"/>
        <v>0</v>
      </c>
      <c r="C119" s="163" t="s">
        <v>149</v>
      </c>
      <c r="D119" s="192"/>
    </row>
    <row r="120" spans="1:4" ht="13.5" x14ac:dyDescent="0.25">
      <c r="A120" s="191">
        <v>20</v>
      </c>
      <c r="B120" s="162">
        <f t="shared" si="19"/>
        <v>0</v>
      </c>
      <c r="C120" s="163" t="s">
        <v>150</v>
      </c>
      <c r="D120" s="192"/>
    </row>
    <row r="121" spans="1:4" ht="14.25" thickBot="1" x14ac:dyDescent="0.3">
      <c r="A121" s="193">
        <v>20</v>
      </c>
      <c r="B121" s="194">
        <f t="shared" si="19"/>
        <v>0</v>
      </c>
      <c r="C121" s="195" t="s">
        <v>151</v>
      </c>
      <c r="D121" s="196"/>
    </row>
    <row r="122" spans="1:4" ht="13.5" x14ac:dyDescent="0.25">
      <c r="A122" s="187">
        <v>21</v>
      </c>
      <c r="B122" s="188"/>
      <c r="C122" s="189" t="s">
        <v>4</v>
      </c>
      <c r="D122" s="190"/>
    </row>
    <row r="123" spans="1:4" ht="13.5" x14ac:dyDescent="0.25">
      <c r="A123" s="191">
        <v>21</v>
      </c>
      <c r="B123" s="162">
        <f t="shared" ref="B123:B127" si="20">$B$122</f>
        <v>0</v>
      </c>
      <c r="C123" s="163" t="s">
        <v>5</v>
      </c>
      <c r="D123" s="192"/>
    </row>
    <row r="124" spans="1:4" ht="13.5" x14ac:dyDescent="0.25">
      <c r="A124" s="191">
        <v>21</v>
      </c>
      <c r="B124" s="162">
        <f t="shared" si="20"/>
        <v>0</v>
      </c>
      <c r="C124" s="163" t="s">
        <v>148</v>
      </c>
      <c r="D124" s="192"/>
    </row>
    <row r="125" spans="1:4" ht="13.5" x14ac:dyDescent="0.25">
      <c r="A125" s="191">
        <v>21</v>
      </c>
      <c r="B125" s="162">
        <f t="shared" si="20"/>
        <v>0</v>
      </c>
      <c r="C125" s="163" t="s">
        <v>149</v>
      </c>
      <c r="D125" s="192"/>
    </row>
    <row r="126" spans="1:4" ht="13.5" x14ac:dyDescent="0.25">
      <c r="A126" s="191">
        <v>21</v>
      </c>
      <c r="B126" s="162">
        <f t="shared" si="20"/>
        <v>0</v>
      </c>
      <c r="C126" s="163" t="s">
        <v>150</v>
      </c>
      <c r="D126" s="192"/>
    </row>
    <row r="127" spans="1:4" ht="14.25" thickBot="1" x14ac:dyDescent="0.3">
      <c r="A127" s="193">
        <v>21</v>
      </c>
      <c r="B127" s="194">
        <f t="shared" si="20"/>
        <v>0</v>
      </c>
      <c r="C127" s="195" t="s">
        <v>151</v>
      </c>
      <c r="D127" s="196"/>
    </row>
    <row r="128" spans="1:4" ht="13.5" x14ac:dyDescent="0.25">
      <c r="A128" s="187">
        <v>22</v>
      </c>
      <c r="B128" s="188"/>
      <c r="C128" s="189" t="s">
        <v>4</v>
      </c>
      <c r="D128" s="190"/>
    </row>
    <row r="129" spans="1:4" ht="13.5" x14ac:dyDescent="0.25">
      <c r="A129" s="191">
        <v>22</v>
      </c>
      <c r="B129" s="162">
        <f t="shared" ref="B129:B133" si="21">$B$128</f>
        <v>0</v>
      </c>
      <c r="C129" s="163" t="s">
        <v>5</v>
      </c>
      <c r="D129" s="192"/>
    </row>
    <row r="130" spans="1:4" ht="13.5" x14ac:dyDescent="0.25">
      <c r="A130" s="191">
        <v>22</v>
      </c>
      <c r="B130" s="162">
        <f t="shared" si="21"/>
        <v>0</v>
      </c>
      <c r="C130" s="163" t="s">
        <v>148</v>
      </c>
      <c r="D130" s="192"/>
    </row>
    <row r="131" spans="1:4" ht="13.5" x14ac:dyDescent="0.25">
      <c r="A131" s="191">
        <v>22</v>
      </c>
      <c r="B131" s="162">
        <f t="shared" si="21"/>
        <v>0</v>
      </c>
      <c r="C131" s="163" t="s">
        <v>149</v>
      </c>
      <c r="D131" s="192"/>
    </row>
    <row r="132" spans="1:4" ht="13.5" x14ac:dyDescent="0.25">
      <c r="A132" s="191">
        <v>22</v>
      </c>
      <c r="B132" s="162">
        <f t="shared" si="21"/>
        <v>0</v>
      </c>
      <c r="C132" s="163" t="s">
        <v>150</v>
      </c>
      <c r="D132" s="192"/>
    </row>
    <row r="133" spans="1:4" ht="14.25" thickBot="1" x14ac:dyDescent="0.3">
      <c r="A133" s="193">
        <v>22</v>
      </c>
      <c r="B133" s="194">
        <f t="shared" si="21"/>
        <v>0</v>
      </c>
      <c r="C133" s="195" t="s">
        <v>151</v>
      </c>
      <c r="D133" s="196"/>
    </row>
    <row r="134" spans="1:4" ht="13.5" x14ac:dyDescent="0.25">
      <c r="A134" s="187">
        <v>23</v>
      </c>
      <c r="B134" s="188"/>
      <c r="C134" s="189" t="s">
        <v>4</v>
      </c>
      <c r="D134" s="190"/>
    </row>
    <row r="135" spans="1:4" ht="13.5" x14ac:dyDescent="0.25">
      <c r="A135" s="191">
        <v>23</v>
      </c>
      <c r="B135" s="162">
        <f t="shared" ref="B135:B139" si="22">$B$134</f>
        <v>0</v>
      </c>
      <c r="C135" s="163" t="s">
        <v>5</v>
      </c>
      <c r="D135" s="192"/>
    </row>
    <row r="136" spans="1:4" ht="13.5" x14ac:dyDescent="0.25">
      <c r="A136" s="191">
        <v>23</v>
      </c>
      <c r="B136" s="162">
        <f t="shared" si="22"/>
        <v>0</v>
      </c>
      <c r="C136" s="163" t="s">
        <v>148</v>
      </c>
      <c r="D136" s="192"/>
    </row>
    <row r="137" spans="1:4" ht="13.5" x14ac:dyDescent="0.25">
      <c r="A137" s="191">
        <v>23</v>
      </c>
      <c r="B137" s="162">
        <f t="shared" si="22"/>
        <v>0</v>
      </c>
      <c r="C137" s="163" t="s">
        <v>149</v>
      </c>
      <c r="D137" s="192"/>
    </row>
    <row r="138" spans="1:4" ht="13.5" x14ac:dyDescent="0.25">
      <c r="A138" s="191">
        <v>23</v>
      </c>
      <c r="B138" s="162">
        <f t="shared" si="22"/>
        <v>0</v>
      </c>
      <c r="C138" s="163" t="s">
        <v>150</v>
      </c>
      <c r="D138" s="192"/>
    </row>
    <row r="139" spans="1:4" ht="14.25" thickBot="1" x14ac:dyDescent="0.3">
      <c r="A139" s="193">
        <v>23</v>
      </c>
      <c r="B139" s="194">
        <f t="shared" si="22"/>
        <v>0</v>
      </c>
      <c r="C139" s="195" t="s">
        <v>151</v>
      </c>
      <c r="D139" s="196"/>
    </row>
    <row r="140" spans="1:4" ht="13.5" x14ac:dyDescent="0.25">
      <c r="A140" s="187">
        <v>24</v>
      </c>
      <c r="B140" s="188"/>
      <c r="C140" s="189" t="s">
        <v>4</v>
      </c>
      <c r="D140" s="190"/>
    </row>
    <row r="141" spans="1:4" ht="13.5" x14ac:dyDescent="0.25">
      <c r="A141" s="191">
        <v>24</v>
      </c>
      <c r="B141" s="162">
        <f t="shared" ref="B141:B145" si="23">$B$140</f>
        <v>0</v>
      </c>
      <c r="C141" s="163" t="s">
        <v>5</v>
      </c>
      <c r="D141" s="192"/>
    </row>
    <row r="142" spans="1:4" ht="13.5" x14ac:dyDescent="0.25">
      <c r="A142" s="191">
        <v>24</v>
      </c>
      <c r="B142" s="162">
        <f t="shared" si="23"/>
        <v>0</v>
      </c>
      <c r="C142" s="163" t="s">
        <v>148</v>
      </c>
      <c r="D142" s="192"/>
    </row>
    <row r="143" spans="1:4" ht="13.5" x14ac:dyDescent="0.25">
      <c r="A143" s="191">
        <v>24</v>
      </c>
      <c r="B143" s="162">
        <f t="shared" si="23"/>
        <v>0</v>
      </c>
      <c r="C143" s="163" t="s">
        <v>149</v>
      </c>
      <c r="D143" s="192"/>
    </row>
    <row r="144" spans="1:4" ht="13.5" x14ac:dyDescent="0.25">
      <c r="A144" s="191">
        <v>24</v>
      </c>
      <c r="B144" s="162">
        <f t="shared" si="23"/>
        <v>0</v>
      </c>
      <c r="C144" s="163" t="s">
        <v>150</v>
      </c>
      <c r="D144" s="192"/>
    </row>
    <row r="145" spans="1:7" ht="14.25" thickBot="1" x14ac:dyDescent="0.3">
      <c r="A145" s="193">
        <v>24</v>
      </c>
      <c r="B145" s="194">
        <f t="shared" si="23"/>
        <v>0</v>
      </c>
      <c r="C145" s="195" t="s">
        <v>151</v>
      </c>
      <c r="D145" s="196"/>
    </row>
    <row r="146" spans="1:7" ht="13.5" x14ac:dyDescent="0.25">
      <c r="A146" s="187">
        <v>25</v>
      </c>
      <c r="B146" s="188"/>
      <c r="C146" s="189" t="s">
        <v>4</v>
      </c>
      <c r="D146" s="190"/>
    </row>
    <row r="147" spans="1:7" ht="13.5" x14ac:dyDescent="0.25">
      <c r="A147" s="191">
        <v>25</v>
      </c>
      <c r="B147" s="162">
        <f t="shared" ref="B147:B151" si="24">$B$146</f>
        <v>0</v>
      </c>
      <c r="C147" s="163" t="s">
        <v>5</v>
      </c>
      <c r="D147" s="192"/>
    </row>
    <row r="148" spans="1:7" ht="13.5" x14ac:dyDescent="0.25">
      <c r="A148" s="191">
        <v>25</v>
      </c>
      <c r="B148" s="162">
        <f t="shared" si="24"/>
        <v>0</v>
      </c>
      <c r="C148" s="163" t="s">
        <v>148</v>
      </c>
      <c r="D148" s="192"/>
    </row>
    <row r="149" spans="1:7" ht="13.5" x14ac:dyDescent="0.25">
      <c r="A149" s="191">
        <v>25</v>
      </c>
      <c r="B149" s="162">
        <f t="shared" si="24"/>
        <v>0</v>
      </c>
      <c r="C149" s="163" t="s">
        <v>149</v>
      </c>
      <c r="D149" s="192"/>
    </row>
    <row r="150" spans="1:7" ht="13.5" x14ac:dyDescent="0.25">
      <c r="A150" s="191">
        <v>25</v>
      </c>
      <c r="B150" s="162">
        <f t="shared" si="24"/>
        <v>0</v>
      </c>
      <c r="C150" s="163" t="s">
        <v>150</v>
      </c>
      <c r="D150" s="192"/>
    </row>
    <row r="151" spans="1:7" ht="14.25" thickBot="1" x14ac:dyDescent="0.3">
      <c r="A151" s="193">
        <v>25</v>
      </c>
      <c r="B151" s="194">
        <f t="shared" si="24"/>
        <v>0</v>
      </c>
      <c r="C151" s="195" t="s">
        <v>151</v>
      </c>
      <c r="D151" s="196"/>
    </row>
    <row r="152" spans="1:7" ht="13.5" x14ac:dyDescent="0.25">
      <c r="A152" s="187">
        <v>26</v>
      </c>
      <c r="B152" s="188"/>
      <c r="C152" s="189" t="s">
        <v>4</v>
      </c>
      <c r="D152" s="190"/>
    </row>
    <row r="153" spans="1:7" ht="13.5" x14ac:dyDescent="0.25">
      <c r="A153" s="191">
        <v>26</v>
      </c>
      <c r="B153" s="162">
        <f t="shared" ref="B153:B157" si="25">$B$152</f>
        <v>0</v>
      </c>
      <c r="C153" s="163" t="s">
        <v>5</v>
      </c>
      <c r="D153" s="192"/>
    </row>
    <row r="154" spans="1:7" ht="13.5" x14ac:dyDescent="0.25">
      <c r="A154" s="191">
        <v>26</v>
      </c>
      <c r="B154" s="162">
        <f t="shared" si="25"/>
        <v>0</v>
      </c>
      <c r="C154" s="163" t="s">
        <v>148</v>
      </c>
      <c r="D154" s="192"/>
    </row>
    <row r="155" spans="1:7" ht="13.5" x14ac:dyDescent="0.25">
      <c r="A155" s="191">
        <v>26</v>
      </c>
      <c r="B155" s="162">
        <f t="shared" si="25"/>
        <v>0</v>
      </c>
      <c r="C155" s="163" t="s">
        <v>149</v>
      </c>
      <c r="D155" s="192"/>
    </row>
    <row r="156" spans="1:7" ht="13.5" x14ac:dyDescent="0.25">
      <c r="A156" s="191">
        <v>26</v>
      </c>
      <c r="B156" s="162">
        <f t="shared" si="25"/>
        <v>0</v>
      </c>
      <c r="C156" s="163" t="s">
        <v>150</v>
      </c>
      <c r="D156" s="192"/>
    </row>
    <row r="157" spans="1:7" ht="14.25" thickBot="1" x14ac:dyDescent="0.3">
      <c r="A157" s="193">
        <v>26</v>
      </c>
      <c r="B157" s="194">
        <f t="shared" si="25"/>
        <v>0</v>
      </c>
      <c r="C157" s="195" t="s">
        <v>151</v>
      </c>
      <c r="D157" s="196"/>
    </row>
    <row r="158" spans="1:7" ht="13.5" x14ac:dyDescent="0.25">
      <c r="A158" s="187">
        <v>27</v>
      </c>
      <c r="B158" s="188"/>
      <c r="C158" s="189" t="s">
        <v>4</v>
      </c>
      <c r="D158" s="190"/>
      <c r="G158" s="175"/>
    </row>
    <row r="159" spans="1:7" ht="13.5" x14ac:dyDescent="0.25">
      <c r="A159" s="191">
        <v>27</v>
      </c>
      <c r="B159" s="162">
        <f t="shared" ref="B159:B163" si="26">$B$158</f>
        <v>0</v>
      </c>
      <c r="C159" s="163" t="s">
        <v>5</v>
      </c>
      <c r="D159" s="192"/>
    </row>
    <row r="160" spans="1:7" ht="13.5" x14ac:dyDescent="0.25">
      <c r="A160" s="191">
        <v>27</v>
      </c>
      <c r="B160" s="162">
        <f t="shared" si="26"/>
        <v>0</v>
      </c>
      <c r="C160" s="163" t="s">
        <v>148</v>
      </c>
      <c r="D160" s="192"/>
    </row>
    <row r="161" spans="1:8" ht="13.5" x14ac:dyDescent="0.25">
      <c r="A161" s="191">
        <v>27</v>
      </c>
      <c r="B161" s="162">
        <f t="shared" si="26"/>
        <v>0</v>
      </c>
      <c r="C161" s="163" t="s">
        <v>149</v>
      </c>
      <c r="D161" s="192"/>
    </row>
    <row r="162" spans="1:8" ht="13.5" x14ac:dyDescent="0.25">
      <c r="A162" s="191">
        <v>27</v>
      </c>
      <c r="B162" s="162">
        <f t="shared" si="26"/>
        <v>0</v>
      </c>
      <c r="C162" s="163" t="s">
        <v>150</v>
      </c>
      <c r="D162" s="192"/>
    </row>
    <row r="163" spans="1:8" ht="14.25" thickBot="1" x14ac:dyDescent="0.3">
      <c r="A163" s="193">
        <v>27</v>
      </c>
      <c r="B163" s="194">
        <f t="shared" si="26"/>
        <v>0</v>
      </c>
      <c r="C163" s="195" t="s">
        <v>151</v>
      </c>
      <c r="D163" s="196"/>
    </row>
    <row r="164" spans="1:8" ht="13.5" x14ac:dyDescent="0.25">
      <c r="A164" s="187">
        <v>28</v>
      </c>
      <c r="B164" s="188"/>
      <c r="C164" s="189" t="s">
        <v>4</v>
      </c>
      <c r="D164" s="190"/>
    </row>
    <row r="165" spans="1:8" ht="13.5" x14ac:dyDescent="0.25">
      <c r="A165" s="191">
        <v>28</v>
      </c>
      <c r="B165" s="162">
        <f t="shared" ref="B165:B169" si="27">$B$164</f>
        <v>0</v>
      </c>
      <c r="C165" s="163" t="s">
        <v>5</v>
      </c>
      <c r="D165" s="192"/>
    </row>
    <row r="166" spans="1:8" ht="13.5" x14ac:dyDescent="0.25">
      <c r="A166" s="191">
        <v>28</v>
      </c>
      <c r="B166" s="162">
        <f t="shared" si="27"/>
        <v>0</v>
      </c>
      <c r="C166" s="163" t="s">
        <v>148</v>
      </c>
      <c r="D166" s="192"/>
    </row>
    <row r="167" spans="1:8" ht="13.5" x14ac:dyDescent="0.25">
      <c r="A167" s="191">
        <v>28</v>
      </c>
      <c r="B167" s="162">
        <f t="shared" si="27"/>
        <v>0</v>
      </c>
      <c r="C167" s="163" t="s">
        <v>149</v>
      </c>
      <c r="D167" s="192"/>
    </row>
    <row r="168" spans="1:8" ht="13.5" x14ac:dyDescent="0.25">
      <c r="A168" s="191">
        <v>28</v>
      </c>
      <c r="B168" s="162">
        <f t="shared" si="27"/>
        <v>0</v>
      </c>
      <c r="C168" s="163" t="s">
        <v>150</v>
      </c>
      <c r="D168" s="192"/>
    </row>
    <row r="169" spans="1:8" ht="14.25" thickBot="1" x14ac:dyDescent="0.3">
      <c r="A169" s="193">
        <v>28</v>
      </c>
      <c r="B169" s="194">
        <f t="shared" si="27"/>
        <v>0</v>
      </c>
      <c r="C169" s="195" t="s">
        <v>151</v>
      </c>
      <c r="D169" s="196"/>
    </row>
    <row r="170" spans="1:8" ht="13.5" x14ac:dyDescent="0.25">
      <c r="A170" s="187">
        <v>29</v>
      </c>
      <c r="B170" s="188"/>
      <c r="C170" s="189" t="s">
        <v>4</v>
      </c>
      <c r="D170" s="190"/>
    </row>
    <row r="171" spans="1:8" ht="13.5" x14ac:dyDescent="0.25">
      <c r="A171" s="191">
        <v>29</v>
      </c>
      <c r="B171" s="162">
        <f t="shared" ref="B171:B175" si="28">$B$170</f>
        <v>0</v>
      </c>
      <c r="C171" s="163" t="s">
        <v>5</v>
      </c>
      <c r="D171" s="192"/>
      <c r="H171" s="175"/>
    </row>
    <row r="172" spans="1:8" ht="13.5" x14ac:dyDescent="0.25">
      <c r="A172" s="191">
        <v>29</v>
      </c>
      <c r="B172" s="162">
        <f t="shared" si="28"/>
        <v>0</v>
      </c>
      <c r="C172" s="163" t="s">
        <v>148</v>
      </c>
      <c r="D172" s="192"/>
      <c r="H172" s="175"/>
    </row>
    <row r="173" spans="1:8" ht="13.5" x14ac:dyDescent="0.25">
      <c r="A173" s="191">
        <v>29</v>
      </c>
      <c r="B173" s="162">
        <f t="shared" si="28"/>
        <v>0</v>
      </c>
      <c r="C173" s="163" t="s">
        <v>149</v>
      </c>
      <c r="D173" s="192"/>
      <c r="H173" s="175"/>
    </row>
    <row r="174" spans="1:8" ht="13.5" x14ac:dyDescent="0.25">
      <c r="A174" s="191">
        <v>29</v>
      </c>
      <c r="B174" s="162">
        <f t="shared" si="28"/>
        <v>0</v>
      </c>
      <c r="C174" s="163" t="s">
        <v>150</v>
      </c>
      <c r="D174" s="192"/>
      <c r="H174" s="175"/>
    </row>
    <row r="175" spans="1:8" ht="14.25" thickBot="1" x14ac:dyDescent="0.3">
      <c r="A175" s="193">
        <v>29</v>
      </c>
      <c r="B175" s="194">
        <f t="shared" si="28"/>
        <v>0</v>
      </c>
      <c r="C175" s="195" t="s">
        <v>151</v>
      </c>
      <c r="D175" s="196"/>
    </row>
    <row r="176" spans="1:8" ht="13.5" x14ac:dyDescent="0.25">
      <c r="A176" s="187">
        <v>30</v>
      </c>
      <c r="B176" s="188"/>
      <c r="C176" s="189" t="s">
        <v>4</v>
      </c>
      <c r="D176" s="190"/>
    </row>
    <row r="177" spans="1:7" ht="13.5" x14ac:dyDescent="0.25">
      <c r="A177" s="191">
        <v>30</v>
      </c>
      <c r="B177" s="162">
        <f t="shared" ref="B177:B181" si="29">$B$176</f>
        <v>0</v>
      </c>
      <c r="C177" s="163" t="s">
        <v>5</v>
      </c>
      <c r="D177" s="192"/>
    </row>
    <row r="178" spans="1:7" ht="13.5" x14ac:dyDescent="0.25">
      <c r="A178" s="191">
        <v>30</v>
      </c>
      <c r="B178" s="162">
        <f t="shared" si="29"/>
        <v>0</v>
      </c>
      <c r="C178" s="163" t="s">
        <v>148</v>
      </c>
      <c r="D178" s="192"/>
    </row>
    <row r="179" spans="1:7" ht="13.5" x14ac:dyDescent="0.25">
      <c r="A179" s="191">
        <v>30</v>
      </c>
      <c r="B179" s="162">
        <f t="shared" si="29"/>
        <v>0</v>
      </c>
      <c r="C179" s="163" t="s">
        <v>149</v>
      </c>
      <c r="D179" s="192"/>
    </row>
    <row r="180" spans="1:7" ht="13.5" x14ac:dyDescent="0.25">
      <c r="A180" s="191">
        <v>30</v>
      </c>
      <c r="B180" s="162">
        <f t="shared" si="29"/>
        <v>0</v>
      </c>
      <c r="C180" s="163" t="s">
        <v>150</v>
      </c>
      <c r="D180" s="192"/>
    </row>
    <row r="181" spans="1:7" ht="14.25" thickBot="1" x14ac:dyDescent="0.3">
      <c r="A181" s="193">
        <v>30</v>
      </c>
      <c r="B181" s="194">
        <f t="shared" si="29"/>
        <v>0</v>
      </c>
      <c r="C181" s="195" t="s">
        <v>151</v>
      </c>
      <c r="D181" s="196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W30" zoomScale="98" zoomScaleNormal="98" workbookViewId="0">
      <selection activeCell="AI45" sqref="AI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57"/>
      <c r="C1" s="257"/>
      <c r="D1" s="10"/>
      <c r="E1" s="257"/>
      <c r="F1" s="257"/>
      <c r="AF1" s="180"/>
      <c r="AH1" s="180"/>
    </row>
    <row r="14" spans="1:34" s="208" customFormat="1" x14ac:dyDescent="0.2"/>
    <row r="24" spans="1:255" s="208" customFormat="1" x14ac:dyDescent="0.2"/>
    <row r="28" spans="1:255" x14ac:dyDescent="0.2">
      <c r="A28" s="254" t="s">
        <v>32</v>
      </c>
      <c r="B28" s="255"/>
      <c r="C28" s="256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153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154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-7.2499999999999912E-2</v>
      </c>
      <c r="BG45" s="25">
        <v>0.50749999999999995</v>
      </c>
      <c r="BH45" s="25">
        <v>0.50749999999999995</v>
      </c>
      <c r="BI45" s="25">
        <v>-7.2499999999999912E-2</v>
      </c>
      <c r="BJ45" s="25">
        <v>-7.2499999999999912E-2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155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156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157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">
        <v>158</v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">
        <v>158</v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112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">
        <v>158</v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">
        <v>158</v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09" t="s">
        <v>16</v>
      </c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3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  <c r="AA224" s="211"/>
      <c r="AB224" s="211"/>
      <c r="AC224" s="211"/>
      <c r="AD224" s="211"/>
      <c r="AE224" s="212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6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58" t="s">
        <v>31</v>
      </c>
      <c r="B234" s="259"/>
      <c r="C234" s="259"/>
      <c r="D234" s="259"/>
      <c r="E234" s="259"/>
      <c r="F234" s="259"/>
      <c r="G234" s="259"/>
      <c r="H234" s="259"/>
      <c r="I234" s="259"/>
      <c r="J234" s="259"/>
      <c r="K234" s="259"/>
      <c r="L234" s="259"/>
      <c r="M234" s="259"/>
      <c r="N234" s="259"/>
      <c r="O234" s="259"/>
      <c r="P234" s="259"/>
      <c r="Q234" s="259"/>
      <c r="R234" s="259"/>
      <c r="S234" s="259"/>
      <c r="T234" s="259"/>
      <c r="U234" s="259"/>
      <c r="V234" s="259"/>
      <c r="W234" s="259"/>
      <c r="X234" s="259"/>
      <c r="Y234" s="259"/>
      <c r="Z234" s="259"/>
      <c r="AA234" s="259"/>
      <c r="AB234" s="259"/>
      <c r="AC234" s="259"/>
      <c r="AD234" s="259"/>
      <c r="AE234" s="260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4" t="s">
        <v>17</v>
      </c>
      <c r="B240" s="215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2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6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2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6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2023-07-26T01:59:37Z</cp:lastPrinted>
  <dcterms:created xsi:type="dcterms:W3CDTF">2003-07-04T14:12:44Z</dcterms:created>
  <dcterms:modified xsi:type="dcterms:W3CDTF">2023-07-26T02:12:40Z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