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workbookProtection lockWindows="1"/>
  <bookViews>
    <workbookView showHorizontalScroll="0" showVerticalScroll="0" xWindow="0" yWindow="0" windowWidth="19200" windowHeight="12885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M228" i="6" s="1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36" i="6" s="1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36" i="6" s="1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K233" i="6" s="1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T69" i="1" s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O233" i="6" l="1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<sst xmlns="http://schemas.openxmlformats.org/spreadsheetml/2006/main" count="617" uniqueCount="167">
  <si>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</si>
  <si>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</si>
  <si>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</si>
  <si>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</si>
  <si>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</si>
  <si>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</si>
  <si>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</si>
  <si>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</si>
  <si>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</si>
  <si>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</si>
  <si>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</si>
  <si>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</si>
  <si>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</si>
  <si>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</si>
  <si>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</si>
  <si>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</si>
  <si>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</si>
  <si>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</si>
  <si>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</si>
  <si>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</si>
  <si>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</si>
  <si>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</si>
  <si>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</si>
  <si>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</si>
  <si>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</si>
  <si>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</si>
  <si>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</si>
  <si>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</si>
  <si>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</si>
  <si>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</si>
  <si>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</si>
  <si>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</si>
  <si>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</si>
  <si>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</si>
  <si>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</si>
  <si>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</si>
  <si>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</si>
  <si>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</si>
  <si>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</si>
  <si>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</si>
  <si>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</si>
  <si>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</si>
  <si>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</si>
  <si>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</si>
  <si>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</si>
  <si>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</si>
  <si>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</si>
  <si>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</si>
  <si>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</si>
  <si>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</si>
  <si>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</si>
  <si>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</si>
  <si>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</si>
  <si>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</si>
  <si>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</si>
  <si>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</si>
  <si>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</si>
  <si>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</si>
  <si>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</si>
  <si>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</si>
  <si>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</si>
  <si>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</si>
  <si>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</si>
  <si>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</si>
  <si>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</si>
  <si>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</si>
  <si>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</si>
  <si>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</si>
  <si>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</si>
  <si>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</si>
  <si>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</si>
  <si>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</si>
  <si>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</si>
  <si>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</si>
  <si>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</si>
  <si>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</si>
  <si>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</si>
  <si>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</si>
  <si>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</si>
  <si>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</si>
  <si>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</si>
  <si>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</si>
  <si>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</si>
  <si>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</si>
  <si>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</si>
  <si>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</si>
  <si>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</si>
  <si>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</si>
  <si>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</si>
  <si>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</si>
  <si>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</si>
  <si>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</si>
  <si>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</si>
  <si>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</si>
  <si>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</si>
  <si>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</si>
  <si>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</si>
  <si>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</si>
  <si>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</si>
  <si>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</si>
  <si>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</si>
  <si>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</si>
  <si>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</si>
  <si>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</si>
  <si>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</si>
  <si>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</si>
  <si>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</si>
  <si>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</si>
  <si>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</si>
  <si>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</si>
  <si>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</si>
  <si>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</si>
  <si>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</si>
  <si>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</si>
  <si>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</si>
  <si>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</si>
  <si>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</si>
  <si>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</si>
  <si>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</si>
  <si>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</si>
  <si>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</si>
  <si>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</si>
  <si>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</si>
  <si>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</si>
  <si>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</si>
  <si>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</si>
  <si>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</si>
  <si>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</si>
  <si>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</si>
  <si>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</si>
  <si>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</si>
  <si>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</si>
  <si>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</si>
  <si>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</si>
  <si>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</si>
  <si>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</si>
  <si>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</si>
  <si>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</si>
  <si>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</si>
  <si>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</si>
  <si>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</si>
  <si>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</si>
  <si>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</si>
  <si>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</si>
  <si>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</si>
  <si>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</si>
  <si>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</si>
  <si>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</si>
  <si>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</si>
  <si>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</si>
  <si>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</si>
  <si>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</si>
  <si>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</si>
  <si>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</si>
  <si>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</si>
  <si>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</si>
  <si>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</si>
  <si>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</si>
  <si>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</si>
  <si>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</si>
  <si>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</si>
  <si>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</si>
  <si>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</si>
  <si>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iaop</t>
  </si>
  <si>
    <t>tamara</t>
  </si>
  <si>
    <t>Total</t>
  </si>
  <si>
    <t>2,7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</si>
</sst>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u/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1-iaop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-1.5220130119234633E-3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0.94463971880492092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ESI=2,7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ESI=12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-0.57735026918962573</c:v>
                </c:pt>
                <c:pt idx="1">
                  <c:v>-0.5491103103705679</c:v>
                </c:pt>
                <c:pt idx="2">
                  <c:v>-0.52049001540579909</c:v>
                </c:pt>
                <c:pt idx="3">
                  <c:v>-0.49143505056021713</c:v>
                </c:pt>
                <c:pt idx="4">
                  <c:v>-0.46188021535170054</c:v>
                </c:pt>
                <c:pt idx="5">
                  <c:v>-0.4317465828808385</c:v>
                </c:pt>
                <c:pt idx="6">
                  <c:v>-0.40093768693724008</c:v>
                </c:pt>
                <c:pt idx="7">
                  <c:v>-0.36933436337865766</c:v>
                </c:pt>
                <c:pt idx="8">
                  <c:v>-0.33678765702728164</c:v>
                </c:pt>
                <c:pt idx="9">
                  <c:v>-0.30310889132455354</c:v>
                </c:pt>
                <c:pt idx="10">
                  <c:v>-0.26805548212375485</c:v>
                </c:pt>
                <c:pt idx="11">
                  <c:v>-0.23131020400225388</c:v>
                </c:pt>
                <c:pt idx="12">
                  <c:v>-0.19245008972987526</c:v>
                </c:pt>
                <c:pt idx="13">
                  <c:v>-0.15089836581092497</c:v>
                </c:pt>
                <c:pt idx="14">
                  <c:v>-0.10584754935143149</c:v>
                </c:pt>
                <c:pt idx="15">
                  <c:v>-5.6131276171213614E-2</c:v>
                </c:pt>
                <c:pt idx="16">
                  <c:v>-1.281975124255709E-16</c:v>
                </c:pt>
                <c:pt idx="17">
                  <c:v>6.5295566158350318E-2</c:v>
                </c:pt>
                <c:pt idx="18">
                  <c:v>0.14433756729740643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0.20833333333333331</c:v>
                </c:pt>
                <c:pt idx="6">
                  <c:v>0.25</c:v>
                </c:pt>
                <c:pt idx="7">
                  <c:v>0.29166666666666663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0.41666666666666663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0.58333333333333326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0.70833333333333326</c:v>
                </c:pt>
                <c:pt idx="18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ESI=1.16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-0.57735026918962573</c:v>
                </c:pt>
                <c:pt idx="1">
                  <c:v>-0.5412326513063177</c:v>
                </c:pt>
                <c:pt idx="2">
                  <c:v>-0.50402217436396701</c:v>
                </c:pt>
                <c:pt idx="3">
                  <c:v>-0.46563923095702653</c:v>
                </c:pt>
                <c:pt idx="4">
                  <c:v>-0.42599628945500162</c:v>
                </c:pt>
                <c:pt idx="5">
                  <c:v>-0.38499688285511346</c:v>
                </c:pt>
                <c:pt idx="6">
                  <c:v>-0.34253443875080991</c:v>
                </c:pt>
                <c:pt idx="7">
                  <c:v>-0.29849092050596143</c:v>
                </c:pt>
                <c:pt idx="8">
                  <c:v>-0.2527352431117374</c:v>
                </c:pt>
                <c:pt idx="9">
                  <c:v>-0.20512141889878258</c:v>
                </c:pt>
                <c:pt idx="10">
                  <c:v>-0.15548637778655605</c:v>
                </c:pt>
                <c:pt idx="11">
                  <c:v>-0.10364739341574018</c:v>
                </c:pt>
                <c:pt idx="12">
                  <c:v>-4.9399029444389994E-2</c:v>
                </c:pt>
                <c:pt idx="13">
                  <c:v>7.4905017018618266E-3</c:v>
                </c:pt>
                <c:pt idx="14">
                  <c:v>6.7283703882421372E-2</c:v>
                </c:pt>
                <c:pt idx="15">
                  <c:v>0.13027905970474507</c:v>
                </c:pt>
                <c:pt idx="16">
                  <c:v>0.19681741328309224</c:v>
                </c:pt>
                <c:pt idx="17">
                  <c:v>0.26728976177068081</c:v>
                </c:pt>
                <c:pt idx="18">
                  <c:v>0.34214683228042386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2.2632461268975491E-2</c:v>
                </c:pt>
                <c:pt idx="2">
                  <c:v>4.5264922537950981E-2</c:v>
                </c:pt>
                <c:pt idx="3">
                  <c:v>6.7897383806926476E-2</c:v>
                </c:pt>
                <c:pt idx="4">
                  <c:v>9.0529845075901963E-2</c:v>
                </c:pt>
                <c:pt idx="5">
                  <c:v>0.11316230634487745</c:v>
                </c:pt>
                <c:pt idx="6">
                  <c:v>0.13579476761385295</c:v>
                </c:pt>
                <c:pt idx="7">
                  <c:v>0.15842722888282842</c:v>
                </c:pt>
                <c:pt idx="8">
                  <c:v>0.18105969015180393</c:v>
                </c:pt>
                <c:pt idx="9">
                  <c:v>0.20369215142077943</c:v>
                </c:pt>
                <c:pt idx="10">
                  <c:v>0.2263246126897549</c:v>
                </c:pt>
                <c:pt idx="11">
                  <c:v>0.2489570739587304</c:v>
                </c:pt>
                <c:pt idx="12">
                  <c:v>0.2715895352277059</c:v>
                </c:pt>
                <c:pt idx="13">
                  <c:v>0.2942219964966814</c:v>
                </c:pt>
                <c:pt idx="14">
                  <c:v>0.31685445776565685</c:v>
                </c:pt>
                <c:pt idx="15">
                  <c:v>0.33948691903463235</c:v>
                </c:pt>
                <c:pt idx="16">
                  <c:v>0.36211938030360785</c:v>
                </c:pt>
                <c:pt idx="17">
                  <c:v>0.38475184157258335</c:v>
                </c:pt>
                <c:pt idx="18">
                  <c:v>0.40738430284155885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62D3-4858-A1D5-82A1253101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62D3-4858-A1D5-82A125310125}"/>
                </c:ex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2-tamara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-7.0045582623259189E-3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0.98169357577254346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62D3-4858-A1D5-82A12531012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-4.4148471131932893E-3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0.97816306032677669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225-4D5C-B2E8-00CE3B1B75D3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-0.28939037130852951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4.7868970725823724E-2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B-62D3-4858-A1D5-82A1253101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4225-4D5C-B2E8-00CE3B1B7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-1.2028130608117202</c:v>
                </c:pt>
                <c:pt idx="1">
                  <c:v>-1.2028130608117202</c:v>
                </c:pt>
                <c:pt idx="2">
                  <c:v>-1.2028130608117202</c:v>
                </c:pt>
                <c:pt idx="3">
                  <c:v>-1.2028130608117202</c:v>
                </c:pt>
                <c:pt idx="4">
                  <c:v>-1.2028130608117202</c:v>
                </c:pt>
                <c:pt idx="5">
                  <c:v>-1.2028130608117202</c:v>
                </c:pt>
                <c:pt idx="6">
                  <c:v>-1.2028130608117202</c:v>
                </c:pt>
                <c:pt idx="7">
                  <c:v>-1.2028130608117202</c:v>
                </c:pt>
                <c:pt idx="8">
                  <c:v>-1.2028130608117202</c:v>
                </c:pt>
                <c:pt idx="9">
                  <c:v>-1.2028130608117202</c:v>
                </c:pt>
                <c:pt idx="10">
                  <c:v>-1.2028130608117202</c:v>
                </c:pt>
                <c:pt idx="11">
                  <c:v>-1.2028130608117202</c:v>
                </c:pt>
                <c:pt idx="12">
                  <c:v>-1.2028130608117202</c:v>
                </c:pt>
                <c:pt idx="13">
                  <c:v>-1.2028130608117202</c:v>
                </c:pt>
                <c:pt idx="14">
                  <c:v>-1.2028130608117202</c:v>
                </c:pt>
                <c:pt idx="15">
                  <c:v>-1.2028130608117202</c:v>
                </c:pt>
                <c:pt idx="16">
                  <c:v>-1.2028130608117202</c:v>
                </c:pt>
                <c:pt idx="17">
                  <c:v>-1.2028130608117202</c:v>
                </c:pt>
                <c:pt idx="18">
                  <c:v>-1.2028130608117202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2AC-976A-483C-A942-96C3E782DD4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C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D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E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F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0F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0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1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2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3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4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5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6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7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8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9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A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B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C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D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11E-E250-4AB7-85F0-9E4846E1EDB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xmlns="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333375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xmlns="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xmlns="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21"/>
  </sheetPr>
  <dimension ref="A1:GS442"/>
  <sheetViews>
    <sheetView windowProtection="1" showGridLines="0" showRowColHeaders="0" showZeros="0" tabSelected="1" zoomScale="80" zoomScaleNormal="80" workbookViewId="0"/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4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0</v>
      </c>
      <c r="P5" s="224" t="b">
        <v>1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  <c r="O13" s="224">
        <v>69</v>
      </c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1</v>
      </c>
      <c r="H37" s="225" t="b">
        <v>1</v>
      </c>
      <c r="I37" s="225" t="b">
        <v>1</v>
      </c>
      <c r="K37" s="233">
        <v>1</v>
      </c>
      <c r="L37" s="233" t="s">
        <v>163</v>
      </c>
      <c r="M37" s="233" t="s">
        <v>163</v>
      </c>
      <c r="N37" s="233" t="s">
        <v>163</v>
      </c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1</v>
      </c>
      <c r="H38" s="225" t="b">
        <v>1</v>
      </c>
      <c r="I38" s="225" t="b">
        <v>1</v>
      </c>
      <c r="K38" s="233">
        <v>2</v>
      </c>
      <c r="L38" s="233" t="s">
        <v>164</v>
      </c>
      <c r="M38" s="233" t="s">
        <v>164</v>
      </c>
      <c r="N38" s="233" t="s">
        <v>164</v>
      </c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1</v>
      </c>
      <c r="H39" s="225" t="b">
        <v>1</v>
      </c>
      <c r="I39" s="225" t="b">
        <v>1</v>
      </c>
      <c r="K39" s="233">
        <v>3</v>
      </c>
      <c r="L39" s="233" t="s">
        <v>54</v>
      </c>
      <c r="M39" s="233" t="s">
        <v>54</v>
      </c>
      <c r="N39" s="233" t="s">
        <v>54</v>
      </c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1</v>
      </c>
      <c r="H40" s="225" t="b">
        <v>1</v>
      </c>
      <c r="I40" s="225" t="b">
        <v>1</v>
      </c>
      <c r="K40" s="233">
        <v>4</v>
      </c>
      <c r="L40" s="233" t="s">
        <v>55</v>
      </c>
      <c r="M40" s="233" t="s">
        <v>55</v>
      </c>
      <c r="N40" s="233" t="s">
        <v>55</v>
      </c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6</v>
      </c>
      <c r="U45" s="225">
        <v>6</v>
      </c>
      <c r="V45" s="225">
        <v>6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73</v>
      </c>
      <c r="U46" s="225">
        <v>73</v>
      </c>
      <c r="V46" s="225">
        <v>73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22</v>
      </c>
      <c r="U47" s="225">
        <v>22</v>
      </c>
      <c r="V47" s="225">
        <v>22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1</v>
      </c>
      <c r="U48" s="225" t="b">
        <v>1</v>
      </c>
      <c r="V48" s="225" t="b">
        <v>1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1</v>
      </c>
      <c r="U49" s="225" t="b">
        <v>1</v>
      </c>
      <c r="V49" s="225" t="b">
        <v>1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1</v>
      </c>
      <c r="U50" s="225" t="b">
        <v>1</v>
      </c>
      <c r="V50" s="225" t="b">
        <v>1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 t="s">
        <v>166</v>
      </c>
      <c r="U51" s="225" t="s">
        <v>166</v>
      </c>
      <c r="V51" s="225" t="s">
        <v>166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12</v>
      </c>
      <c r="U52" s="225">
        <v>12</v>
      </c>
      <c r="V52" s="225">
        <v>12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1.1599999999999999</v>
      </c>
      <c r="U53" s="225">
        <v>1.1599999999999999</v>
      </c>
      <c r="V53" s="225">
        <v>1.1599999999999999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164</v>
      </c>
      <c r="X55" s="224" t="s">
        <v>164</v>
      </c>
      <c r="Y55" s="224" t="s">
        <v>164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T57" s="225" t="s">
        <v>164</v>
      </c>
      <c r="U57" s="225" t="s">
        <v>164</v>
      </c>
      <c r="V57" s="225" t="s">
        <v>164</v>
      </c>
      <c r="W57" s="224" t="s">
        <v>164</v>
      </c>
      <c r="X57" s="224" t="s">
        <v>164</v>
      </c>
      <c r="Y57" s="224" t="s">
        <v>164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2</v>
      </c>
      <c r="U58" s="225">
        <v>2</v>
      </c>
      <c r="V58" s="225">
        <v>2</v>
      </c>
      <c r="W58" s="224">
        <v>2</v>
      </c>
      <c r="X58" s="224">
        <v>2</v>
      </c>
      <c r="Y58" s="224">
        <v>2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T59" s="225" t="s">
        <v>163</v>
      </c>
      <c r="U59" s="225" t="s">
        <v>163</v>
      </c>
      <c r="V59" s="225" t="s">
        <v>163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21</v>
      </c>
      <c r="X61" s="235">
        <f>Diagrama!C212</f>
        <v>78</v>
      </c>
      <c r="Y61" s="235">
        <f>Diagrama!D212</f>
        <v>21211212</v>
      </c>
      <c r="Z61" s="235">
        <f>Diagrama!E212</f>
        <v>22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3</v>
      </c>
      <c r="X62" s="235">
        <f>Diagrama!C213</f>
        <v>5</v>
      </c>
      <c r="Y62" s="235">
        <f>Diagrama!D213</f>
        <v>323223</v>
      </c>
      <c r="Z62" s="235">
        <f>Diagrama!E213</f>
        <v>322332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3</v>
      </c>
      <c r="X63" s="235">
        <f>Diagrama!C218</f>
        <v>1</v>
      </c>
      <c r="Y63" s="235">
        <f>Diagrama!D218</f>
        <v>155564</v>
      </c>
      <c r="Z63" s="235">
        <f>Diagrama!E218</f>
        <v>100000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113.8</v>
      </c>
      <c r="X64" s="235">
        <f>Diagrama!C219</f>
        <v>323.93</v>
      </c>
      <c r="Y64" s="235">
        <f>Diagrama!D219</f>
        <v>21925554</v>
      </c>
      <c r="Z64" s="235">
        <f>Diagrama!E219</f>
        <v>443565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37.93333333333333</v>
      </c>
      <c r="X65" s="238">
        <f>Diagrama!C230</f>
        <v>323.93</v>
      </c>
      <c r="Y65" s="238">
        <f>Diagrama!D230</f>
        <v>140.94233884446274</v>
      </c>
      <c r="Z65" s="238">
        <f>Diagrama!E230</f>
        <v>4.4356499999999999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2.9864253393665156E-2</v>
      </c>
      <c r="X66" s="238">
        <f>Diagrama!C231</f>
        <v>2.8792569659442727E-3</v>
      </c>
      <c r="Y66" s="238">
        <f>Diagrama!D231</f>
        <v>7.1458002507121038E-3</v>
      </c>
      <c r="Z66" s="238">
        <f>Diagrama!E231</f>
        <v>0.29106573719674589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5.8604651162790698E-2</v>
      </c>
      <c r="X67" s="238">
        <f>Diagrama!C232</f>
        <v>1.8647798742138365E-2</v>
      </c>
      <c r="Y67" s="238">
        <f>Diagrama!D232</f>
        <v>2.2324437058508631E-2</v>
      </c>
      <c r="Z67" s="238">
        <f>Diagrama!E232</f>
        <v>19.890359346300571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647.27513227513225</v>
      </c>
      <c r="X68" s="238">
        <f>Diagrama!C233</f>
        <v>17370.951096121418</v>
      </c>
      <c r="Y68" s="238">
        <f>Diagrama!D233</f>
        <v>6313.3658633844316</v>
      </c>
      <c r="Z68" s="238">
        <f>Diagrama!E233</f>
        <v>0.22300502081300966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>
        <f>100*(W61+W76+W78)/W64</f>
        <v>94.463971880492096</v>
      </c>
      <c r="X69" s="240">
        <f t="shared" ref="X69:AZ69" si="0">100*(X61+X76+X78)/X64</f>
        <v>98.169357577254345</v>
      </c>
      <c r="Y69" s="240">
        <f t="shared" si="0"/>
        <v>97.816306032677673</v>
      </c>
      <c r="Z69" s="240">
        <f t="shared" si="0"/>
        <v>4.7868970725823727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1.5</v>
      </c>
      <c r="X76" s="242">
        <f>Diagrama!C214</f>
        <v>94</v>
      </c>
      <c r="Y76" s="242">
        <f>Diagrama!D214</f>
        <v>3232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0.3</v>
      </c>
      <c r="X77" s="242">
        <f>Diagrama!C215</f>
        <v>0.68</v>
      </c>
      <c r="Y77" s="242">
        <f>Diagrama!D215</f>
        <v>43443</v>
      </c>
      <c r="Z77" s="242">
        <f>Diagrama!E215</f>
        <v>100000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85</v>
      </c>
      <c r="X78" s="242">
        <f>Diagrama!C216</f>
        <v>146</v>
      </c>
      <c r="Y78" s="242">
        <f>Diagrama!D216</f>
        <v>232323</v>
      </c>
      <c r="Z78" s="242">
        <f>Diagrama!E216</f>
        <v>21211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3</v>
      </c>
      <c r="X79" s="242">
        <f>Diagrama!C217</f>
        <v>0.25</v>
      </c>
      <c r="Y79" s="242">
        <f>Diagrama!D217</f>
        <v>112121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A2" s="206">
        <v>1</v>
      </c>
      <c r="B2" s="207" t="s">
        <v>163</v>
      </c>
      <c r="E2" s="196" t="s">
        <v>4</v>
      </c>
      <c r="G2" s="208">
        <v>21</v>
      </c>
      <c r="H2" s="209">
        <v>0.18453427065026362</v>
      </c>
      <c r="I2" s="210" t="s">
        <v>4</v>
      </c>
      <c r="J2" s="209">
        <v>0.94298245614035092</v>
      </c>
      <c r="K2" s="210" t="s">
        <v>28</v>
      </c>
      <c r="L2" s="211">
        <v>38</v>
      </c>
    </row>
    <row r="3" spans="1:12" x14ac:dyDescent="0.2">
      <c r="A3" s="206">
        <v>1</v>
      </c>
      <c r="B3" s="207" t="s">
        <v>163</v>
      </c>
      <c r="E3" s="196" t="s">
        <v>5</v>
      </c>
      <c r="G3" s="208">
        <v>3</v>
      </c>
      <c r="H3" s="209">
        <v>2.6362038664323375E-2</v>
      </c>
      <c r="I3" s="210" t="s">
        <v>5</v>
      </c>
      <c r="J3" s="209">
        <v>2.6315789473684209E-2</v>
      </c>
      <c r="K3" s="210" t="s">
        <v>29</v>
      </c>
      <c r="L3" s="211">
        <v>0.125</v>
      </c>
    </row>
    <row r="4" spans="1:12" x14ac:dyDescent="0.2">
      <c r="A4" s="206">
        <v>1</v>
      </c>
      <c r="B4" s="207" t="s">
        <v>163</v>
      </c>
      <c r="E4" s="196" t="s">
        <v>148</v>
      </c>
      <c r="G4" s="208">
        <v>1.5</v>
      </c>
      <c r="H4" s="209">
        <v>1.3181019332161687E-2</v>
      </c>
      <c r="I4" s="210" t="s">
        <v>6</v>
      </c>
      <c r="J4" s="209">
        <v>2.6315789473684209E-2</v>
      </c>
      <c r="K4" s="210" t="s">
        <v>30</v>
      </c>
      <c r="L4" s="211">
        <v>5.8604651162790698E-2</v>
      </c>
    </row>
    <row r="5" spans="1:12" x14ac:dyDescent="0.2">
      <c r="A5" s="206">
        <v>1</v>
      </c>
      <c r="B5" s="196" t="s">
        <v>163</v>
      </c>
      <c r="E5" s="196" t="s">
        <v>149</v>
      </c>
      <c r="G5" s="208">
        <v>0.3</v>
      </c>
      <c r="H5" s="209">
        <v>2.6362038664323375E-3</v>
      </c>
      <c r="I5" s="210" t="s">
        <v>14</v>
      </c>
      <c r="J5" s="209">
        <v>0.99561403508771928</v>
      </c>
      <c r="K5" s="210" t="s">
        <v>152</v>
      </c>
      <c r="L5" s="211">
        <v>648.41269841269843</v>
      </c>
    </row>
    <row r="6" spans="1:12" x14ac:dyDescent="0.2">
      <c r="A6" s="206">
        <v>1</v>
      </c>
      <c r="B6" s="196" t="s">
        <v>163</v>
      </c>
      <c r="E6" s="196" t="s">
        <v>150</v>
      </c>
      <c r="G6" s="208">
        <v>85</v>
      </c>
      <c r="H6" s="209">
        <v>0.74692442882249566</v>
      </c>
    </row>
    <row r="7" spans="1:12" x14ac:dyDescent="0.2">
      <c r="A7" s="206">
        <v>1</v>
      </c>
      <c r="B7" s="207" t="s">
        <v>163</v>
      </c>
      <c r="E7" s="196" t="s">
        <v>151</v>
      </c>
      <c r="G7" s="208">
        <v>3</v>
      </c>
      <c r="H7" s="209">
        <v>2.6362038664323375E-2</v>
      </c>
    </row>
    <row r="8" spans="1:12" x14ac:dyDescent="0.2">
      <c r="A8" s="206">
        <v>1</v>
      </c>
      <c r="B8" s="207" t="s">
        <v>163</v>
      </c>
      <c r="E8" s="196" t="s">
        <v>6</v>
      </c>
      <c r="G8" s="208">
        <v>3</v>
      </c>
      <c r="H8" s="209">
        <v>2.6362038664323375E-2</v>
      </c>
    </row>
    <row r="9" spans="1:12" x14ac:dyDescent="0.2">
      <c r="A9" s="206">
        <v>1</v>
      </c>
      <c r="B9" s="207" t="s">
        <v>163</v>
      </c>
      <c r="E9" s="196" t="s">
        <v>165</v>
      </c>
      <c r="G9" s="208">
        <v>113.8</v>
      </c>
      <c r="H9" s="209">
        <v>1</v>
      </c>
    </row>
    <row r="12" spans="1:12" x14ac:dyDescent="0.2">
      <c r="A12" s="206">
        <v>2</v>
      </c>
      <c r="B12" s="207" t="s">
        <v>164</v>
      </c>
      <c r="E12" s="196" t="s">
        <v>4</v>
      </c>
      <c r="G12" s="208">
        <v>78</v>
      </c>
      <c r="H12" s="209">
        <v>0.24079276386873708</v>
      </c>
      <c r="I12" s="210" t="s">
        <v>4</v>
      </c>
      <c r="J12" s="209">
        <v>0.98148148148148151</v>
      </c>
      <c r="K12" s="210" t="s">
        <v>28</v>
      </c>
      <c r="L12" s="211">
        <v>324</v>
      </c>
    </row>
    <row r="13" spans="1:12" x14ac:dyDescent="0.2">
      <c r="A13" s="206">
        <v>2</v>
      </c>
      <c r="B13" s="207" t="s">
        <v>164</v>
      </c>
      <c r="E13" s="196" t="s">
        <v>5</v>
      </c>
      <c r="G13" s="208">
        <v>5</v>
      </c>
      <c r="H13" s="209">
        <v>1.5435433581329299E-2</v>
      </c>
      <c r="I13" s="210" t="s">
        <v>5</v>
      </c>
      <c r="J13" s="209">
        <v>1.5432098765432098E-2</v>
      </c>
      <c r="K13" s="210" t="s">
        <v>29</v>
      </c>
      <c r="L13" s="211">
        <v>1.2048192771084338E-2</v>
      </c>
    </row>
    <row r="14" spans="1:12" x14ac:dyDescent="0.2">
      <c r="A14" s="206">
        <v>2</v>
      </c>
      <c r="B14" s="207" t="s">
        <v>164</v>
      </c>
      <c r="E14" s="196" t="s">
        <v>148</v>
      </c>
      <c r="G14" s="208">
        <v>94</v>
      </c>
      <c r="H14" s="209">
        <v>0.29018615132899084</v>
      </c>
      <c r="I14" s="210" t="s">
        <v>6</v>
      </c>
      <c r="J14" s="209">
        <v>3.0864197530864196E-3</v>
      </c>
      <c r="K14" s="210" t="s">
        <v>30</v>
      </c>
      <c r="L14" s="211">
        <v>1.8647798742138365E-2</v>
      </c>
    </row>
    <row r="15" spans="1:12" x14ac:dyDescent="0.2">
      <c r="A15" s="206">
        <v>2</v>
      </c>
      <c r="B15" s="196" t="s">
        <v>164</v>
      </c>
      <c r="E15" s="196" t="s">
        <v>149</v>
      </c>
      <c r="G15" s="208">
        <v>0.68</v>
      </c>
      <c r="H15" s="209">
        <v>2.0992189670607847E-3</v>
      </c>
      <c r="I15" s="210" t="s">
        <v>14</v>
      </c>
      <c r="J15" s="209">
        <v>1</v>
      </c>
      <c r="K15" s="210" t="s">
        <v>152</v>
      </c>
      <c r="L15" s="211">
        <v>17374.704890387857</v>
      </c>
    </row>
    <row r="16" spans="1:12" x14ac:dyDescent="0.2">
      <c r="A16" s="206">
        <v>2</v>
      </c>
      <c r="B16" s="196" t="s">
        <v>164</v>
      </c>
      <c r="E16" s="196" t="s">
        <v>150</v>
      </c>
      <c r="G16" s="208">
        <v>146</v>
      </c>
      <c r="H16" s="209">
        <v>0.45071466057481552</v>
      </c>
    </row>
    <row r="17" spans="1:12" x14ac:dyDescent="0.2">
      <c r="A17" s="206">
        <v>2</v>
      </c>
      <c r="B17" s="207" t="s">
        <v>164</v>
      </c>
      <c r="E17" s="196" t="s">
        <v>151</v>
      </c>
      <c r="G17" s="208">
        <v>0.25</v>
      </c>
      <c r="H17" s="209">
        <v>7.7177167906646493E-4</v>
      </c>
    </row>
    <row r="18" spans="1:12" x14ac:dyDescent="0.2">
      <c r="A18" s="206">
        <v>2</v>
      </c>
      <c r="B18" s="207" t="s">
        <v>164</v>
      </c>
      <c r="E18" s="196" t="s">
        <v>6</v>
      </c>
      <c r="G18" s="208">
        <v>1</v>
      </c>
      <c r="H18" s="209">
        <v>3.0870867162658597E-3</v>
      </c>
    </row>
    <row r="19" spans="1:12" x14ac:dyDescent="0.2">
      <c r="A19" s="206">
        <v>2</v>
      </c>
      <c r="B19" s="207" t="s">
        <v>164</v>
      </c>
      <c r="E19" s="196" t="s">
        <v>165</v>
      </c>
      <c r="G19" s="208">
        <v>323.93</v>
      </c>
      <c r="H19" s="209">
        <v>1</v>
      </c>
    </row>
    <row r="22" spans="1:12" x14ac:dyDescent="0.2">
      <c r="A22" s="206">
        <v>3</v>
      </c>
      <c r="B22" s="207" t="s">
        <v>54</v>
      </c>
      <c r="E22" s="196" t="s">
        <v>4</v>
      </c>
      <c r="G22" s="208">
        <v>21211212</v>
      </c>
      <c r="H22" s="209">
        <v>0.96741966018281678</v>
      </c>
      <c r="I22" s="210" t="s">
        <v>4</v>
      </c>
      <c r="J22" s="209">
        <v>0.97816306032677669</v>
      </c>
      <c r="K22" s="210" t="s">
        <v>28</v>
      </c>
      <c r="L22" s="211">
        <v>140.94233884446274</v>
      </c>
    </row>
    <row r="23" spans="1:12" x14ac:dyDescent="0.2">
      <c r="A23" s="206">
        <v>3</v>
      </c>
      <c r="B23" s="207" t="s">
        <v>54</v>
      </c>
      <c r="E23" s="196" t="s">
        <v>5</v>
      </c>
      <c r="G23" s="208">
        <v>323223</v>
      </c>
      <c r="H23" s="209">
        <v>1.4741839590461431E-2</v>
      </c>
      <c r="I23" s="210" t="s">
        <v>5</v>
      </c>
      <c r="J23" s="209">
        <v>1.4741839590461431E-2</v>
      </c>
      <c r="K23" s="210" t="s">
        <v>29</v>
      </c>
      <c r="L23" s="211">
        <v>7.2239647801300572E-3</v>
      </c>
    </row>
    <row r="24" spans="1:12" x14ac:dyDescent="0.2">
      <c r="A24" s="206">
        <v>3</v>
      </c>
      <c r="B24" s="207" t="s">
        <v>54</v>
      </c>
      <c r="E24" s="196" t="s">
        <v>148</v>
      </c>
      <c r="G24" s="208">
        <v>3232</v>
      </c>
      <c r="H24" s="209">
        <v>1.4740790586180856E-4</v>
      </c>
      <c r="I24" s="210" t="s">
        <v>6</v>
      </c>
      <c r="J24" s="209">
        <v>7.0951000827618772E-3</v>
      </c>
      <c r="K24" s="210" t="s">
        <v>30</v>
      </c>
      <c r="L24" s="211">
        <v>2.2324437058508631E-2</v>
      </c>
    </row>
    <row r="25" spans="1:12" x14ac:dyDescent="0.2">
      <c r="A25" s="206">
        <v>3</v>
      </c>
      <c r="B25" s="196" t="s">
        <v>54</v>
      </c>
      <c r="E25" s="196" t="s">
        <v>149</v>
      </c>
      <c r="G25" s="208">
        <v>43443</v>
      </c>
      <c r="H25" s="209">
        <v>1.9813866504809867E-3</v>
      </c>
      <c r="I25" s="210" t="s">
        <v>14</v>
      </c>
      <c r="J25" s="209">
        <v>1</v>
      </c>
      <c r="K25" s="210" t="s">
        <v>152</v>
      </c>
      <c r="L25" s="211">
        <v>6313.3658633844316</v>
      </c>
    </row>
    <row r="26" spans="1:12" x14ac:dyDescent="0.2">
      <c r="A26" s="206">
        <v>3</v>
      </c>
      <c r="B26" s="196" t="s">
        <v>54</v>
      </c>
      <c r="E26" s="196" t="s">
        <v>150</v>
      </c>
      <c r="G26" s="208">
        <v>232323</v>
      </c>
      <c r="H26" s="209">
        <v>1.0595992238098066E-2</v>
      </c>
    </row>
    <row r="27" spans="1:12" x14ac:dyDescent="0.2">
      <c r="A27" s="206">
        <v>3</v>
      </c>
      <c r="B27" s="207" t="s">
        <v>54</v>
      </c>
      <c r="E27" s="196" t="s">
        <v>151</v>
      </c>
      <c r="G27" s="208">
        <v>112121</v>
      </c>
      <c r="H27" s="209">
        <v>5.1137134322808905E-3</v>
      </c>
    </row>
    <row r="28" spans="1:12" x14ac:dyDescent="0.2">
      <c r="A28" s="206">
        <v>3</v>
      </c>
      <c r="B28" s="207" t="s">
        <v>54</v>
      </c>
      <c r="E28" s="196" t="s">
        <v>6</v>
      </c>
      <c r="G28" s="208">
        <v>155564</v>
      </c>
      <c r="H28" s="209">
        <v>7.0951000827618772E-3</v>
      </c>
    </row>
    <row r="29" spans="1:12" x14ac:dyDescent="0.2">
      <c r="A29" s="206">
        <v>3</v>
      </c>
      <c r="B29" s="207" t="s">
        <v>54</v>
      </c>
      <c r="E29" s="196" t="s">
        <v>165</v>
      </c>
      <c r="G29" s="208">
        <v>21925554</v>
      </c>
      <c r="H29" s="209">
        <v>1</v>
      </c>
    </row>
    <row r="32" spans="1:12" x14ac:dyDescent="0.2">
      <c r="A32" s="206">
        <v>4</v>
      </c>
      <c r="B32" s="207" t="s">
        <v>55</v>
      </c>
      <c r="E32" s="196" t="s">
        <v>4</v>
      </c>
      <c r="G32" s="208">
        <v>22</v>
      </c>
      <c r="H32" s="209">
        <v>4.9598142324123863E-5</v>
      </c>
      <c r="I32" s="210" t="s">
        <v>4</v>
      </c>
      <c r="J32" s="209">
        <v>4.7868970725823724E-2</v>
      </c>
      <c r="K32" s="210" t="s">
        <v>28</v>
      </c>
      <c r="L32" s="211">
        <v>4.4356499999999999</v>
      </c>
    </row>
    <row r="33" spans="1:12" x14ac:dyDescent="0.2">
      <c r="A33" s="206">
        <v>4</v>
      </c>
      <c r="B33" s="207" t="s">
        <v>55</v>
      </c>
      <c r="E33" s="196" t="s">
        <v>5</v>
      </c>
      <c r="G33" s="208">
        <v>322332</v>
      </c>
      <c r="H33" s="209">
        <v>0.726684927800886</v>
      </c>
      <c r="I33" s="210" t="s">
        <v>5</v>
      </c>
      <c r="J33" s="209">
        <v>0.726684927800886</v>
      </c>
      <c r="K33" s="210" t="s">
        <v>29</v>
      </c>
      <c r="L33" s="211">
        <v>0.31021795913809042</v>
      </c>
    </row>
    <row r="34" spans="1:12" x14ac:dyDescent="0.2">
      <c r="A34" s="206">
        <v>4</v>
      </c>
      <c r="B34" s="207" t="s">
        <v>55</v>
      </c>
      <c r="E34" s="196" t="s">
        <v>148</v>
      </c>
      <c r="H34" s="209">
        <v>0</v>
      </c>
      <c r="I34" s="210" t="s">
        <v>6</v>
      </c>
      <c r="J34" s="209">
        <v>0.22544610147329028</v>
      </c>
      <c r="K34" s="210" t="s">
        <v>30</v>
      </c>
      <c r="L34" s="211">
        <v>19.890359346300571</v>
      </c>
    </row>
    <row r="35" spans="1:12" x14ac:dyDescent="0.2">
      <c r="A35" s="206">
        <v>4</v>
      </c>
      <c r="B35" s="196" t="s">
        <v>55</v>
      </c>
      <c r="E35" s="196" t="s">
        <v>149</v>
      </c>
      <c r="G35" s="208">
        <v>100000</v>
      </c>
      <c r="H35" s="209">
        <v>0.22544610147329028</v>
      </c>
      <c r="I35" s="210" t="s">
        <v>14</v>
      </c>
      <c r="J35" s="209">
        <v>1</v>
      </c>
      <c r="K35" s="210" t="s">
        <v>152</v>
      </c>
      <c r="L35" s="211">
        <v>0.22300502081300966</v>
      </c>
    </row>
    <row r="36" spans="1:12" x14ac:dyDescent="0.2">
      <c r="A36" s="206">
        <v>4</v>
      </c>
      <c r="B36" s="196" t="s">
        <v>55</v>
      </c>
      <c r="E36" s="196" t="s">
        <v>150</v>
      </c>
      <c r="G36" s="208">
        <v>21211</v>
      </c>
      <c r="H36" s="209">
        <v>4.7819372583499602E-2</v>
      </c>
    </row>
    <row r="37" spans="1:12" x14ac:dyDescent="0.2">
      <c r="A37" s="206">
        <v>4</v>
      </c>
      <c r="B37" s="207" t="s">
        <v>55</v>
      </c>
      <c r="E37" s="196" t="s">
        <v>151</v>
      </c>
      <c r="H37" s="209">
        <v>0</v>
      </c>
    </row>
    <row r="38" spans="1:12" x14ac:dyDescent="0.2">
      <c r="A38" s="206">
        <v>4</v>
      </c>
      <c r="B38" s="207" t="s">
        <v>55</v>
      </c>
      <c r="E38" s="196" t="s">
        <v>6</v>
      </c>
      <c r="G38" s="208">
        <v>100000</v>
      </c>
      <c r="H38" s="209">
        <v>0.22544610147329028</v>
      </c>
    </row>
    <row r="39" spans="1:12" x14ac:dyDescent="0.2">
      <c r="A39" s="206">
        <v>4</v>
      </c>
      <c r="B39" s="207" t="s">
        <v>55</v>
      </c>
      <c r="E39" s="196" t="s">
        <v>165</v>
      </c>
      <c r="G39" s="208">
        <v>443565</v>
      </c>
      <c r="H39" s="209">
        <v>1</v>
      </c>
    </row>
    <row r="42" spans="1:12" x14ac:dyDescent="0.2">
      <c r="B42" s="207"/>
      <c r="I42" s="210"/>
      <c r="K42" s="210"/>
    </row>
    <row r="43" spans="1:12" x14ac:dyDescent="0.2">
      <c r="B43" s="207"/>
      <c r="I43" s="210"/>
      <c r="K43" s="210"/>
    </row>
    <row r="44" spans="1:12" x14ac:dyDescent="0.2">
      <c r="B44" s="207"/>
      <c r="I44" s="210"/>
      <c r="K44" s="210"/>
    </row>
    <row r="45" spans="1:12" x14ac:dyDescent="0.2">
      <c r="I45" s="210"/>
      <c r="K45" s="210"/>
    </row>
    <row r="47" spans="1:12" x14ac:dyDescent="0.2">
      <c r="B47" s="207"/>
    </row>
    <row r="48" spans="1:12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53"/>
  </sheetPr>
  <dimension ref="A1:I703"/>
  <sheetViews>
    <sheetView windowProtection="1" showRowColHeaders="0" zoomScale="85" zoomScaleNormal="85" workbookViewId="0">
      <selection activeCell="E24" sqref="E24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 t="s">
        <v>163</v>
      </c>
      <c r="C2" s="177" t="s">
        <v>4</v>
      </c>
      <c r="D2" s="178">
        <v>21</v>
      </c>
    </row>
    <row r="3" spans="1:4" ht="12" x14ac:dyDescent="0.2">
      <c r="A3" s="179">
        <f>$A$2+0</f>
        <v>1</v>
      </c>
      <c r="B3" s="180" t="str">
        <f t="shared" ref="B3:B7" si="0">$B$2</f>
        <v>iaop</v>
      </c>
      <c r="C3" s="181" t="s">
        <v>5</v>
      </c>
      <c r="D3" s="182">
        <v>3</v>
      </c>
    </row>
    <row r="4" spans="1:4" ht="12" x14ac:dyDescent="0.2">
      <c r="A4" s="179">
        <v>1</v>
      </c>
      <c r="B4" s="180" t="str">
        <f t="shared" si="0"/>
        <v>iaop</v>
      </c>
      <c r="C4" s="181" t="s">
        <v>148</v>
      </c>
      <c r="D4" s="182">
        <v>1.5</v>
      </c>
    </row>
    <row r="5" spans="1:4" ht="12" x14ac:dyDescent="0.2">
      <c r="A5" s="179">
        <v>1</v>
      </c>
      <c r="B5" s="180" t="str">
        <f t="shared" si="0"/>
        <v>iaop</v>
      </c>
      <c r="C5" s="181" t="s">
        <v>149</v>
      </c>
      <c r="D5" s="182">
        <v>0.3</v>
      </c>
    </row>
    <row r="6" spans="1:4" ht="12" x14ac:dyDescent="0.2">
      <c r="A6" s="179">
        <v>1</v>
      </c>
      <c r="B6" s="180" t="str">
        <f t="shared" si="0"/>
        <v>iaop</v>
      </c>
      <c r="C6" s="181" t="s">
        <v>150</v>
      </c>
      <c r="D6" s="182">
        <v>85</v>
      </c>
    </row>
    <row r="7" spans="1:4" ht="12.75" thickBot="1" x14ac:dyDescent="0.25">
      <c r="A7" s="183">
        <v>1</v>
      </c>
      <c r="B7" s="184" t="str">
        <f t="shared" si="0"/>
        <v>iaop</v>
      </c>
      <c r="C7" s="185" t="s">
        <v>151</v>
      </c>
      <c r="D7" s="186">
        <v>3</v>
      </c>
    </row>
    <row r="8" spans="1:4" ht="12" x14ac:dyDescent="0.2">
      <c r="A8" s="187">
        <f>2</f>
        <v>2</v>
      </c>
      <c r="B8" s="188" t="s">
        <v>164</v>
      </c>
      <c r="C8" s="181" t="s">
        <v>4</v>
      </c>
      <c r="D8" s="182">
        <v>78</v>
      </c>
    </row>
    <row r="9" spans="1:4" ht="12" x14ac:dyDescent="0.2">
      <c r="A9" s="179">
        <f>$A$8</f>
        <v>2</v>
      </c>
      <c r="B9" s="180" t="str">
        <f t="shared" ref="B9:B13" si="1">$B$8</f>
        <v>tamara</v>
      </c>
      <c r="C9" s="181" t="s">
        <v>5</v>
      </c>
      <c r="D9" s="182">
        <v>5</v>
      </c>
    </row>
    <row r="10" spans="1:4" ht="12" x14ac:dyDescent="0.2">
      <c r="A10" s="179">
        <v>2</v>
      </c>
      <c r="B10" s="180" t="str">
        <f t="shared" si="1"/>
        <v>tamara</v>
      </c>
      <c r="C10" s="181" t="s">
        <v>148</v>
      </c>
      <c r="D10" s="182">
        <v>94</v>
      </c>
    </row>
    <row r="11" spans="1:4" ht="12" x14ac:dyDescent="0.2">
      <c r="A11" s="179">
        <v>2</v>
      </c>
      <c r="B11" s="180" t="str">
        <f t="shared" si="1"/>
        <v>tamara</v>
      </c>
      <c r="C11" s="181" t="s">
        <v>149</v>
      </c>
      <c r="D11" s="182">
        <v>0.68</v>
      </c>
    </row>
    <row r="12" spans="1:4" ht="12" x14ac:dyDescent="0.2">
      <c r="A12" s="179">
        <v>2</v>
      </c>
      <c r="B12" s="180" t="str">
        <f t="shared" si="1"/>
        <v>tamara</v>
      </c>
      <c r="C12" s="181" t="s">
        <v>150</v>
      </c>
      <c r="D12" s="182">
        <v>146</v>
      </c>
    </row>
    <row r="13" spans="1:4" ht="12.75" thickBot="1" x14ac:dyDescent="0.25">
      <c r="A13" s="183">
        <v>2</v>
      </c>
      <c r="B13" s="184" t="str">
        <f t="shared" si="1"/>
        <v>tamara</v>
      </c>
      <c r="C13" s="185" t="s">
        <v>151</v>
      </c>
      <c r="D13" s="186">
        <v>0.25</v>
      </c>
    </row>
    <row r="14" spans="1:4" ht="12" x14ac:dyDescent="0.2">
      <c r="A14" s="175">
        <f>3</f>
        <v>3</v>
      </c>
      <c r="B14" s="176" t="s">
        <v>54</v>
      </c>
      <c r="C14" s="177" t="s">
        <v>4</v>
      </c>
      <c r="D14" s="178">
        <v>21211212</v>
      </c>
    </row>
    <row r="15" spans="1:4" ht="12" x14ac:dyDescent="0.2">
      <c r="A15" s="179">
        <f>$A$14</f>
        <v>3</v>
      </c>
      <c r="B15" s="180" t="str">
        <f t="shared" ref="B15:B19" si="2">$B$14</f>
        <v>a</v>
      </c>
      <c r="C15" s="181" t="s">
        <v>5</v>
      </c>
      <c r="D15" s="182">
        <v>323223</v>
      </c>
    </row>
    <row r="16" spans="1:4" ht="12" x14ac:dyDescent="0.2">
      <c r="A16" s="179">
        <v>3</v>
      </c>
      <c r="B16" s="180" t="str">
        <f t="shared" si="2"/>
        <v>a</v>
      </c>
      <c r="C16" s="181" t="s">
        <v>148</v>
      </c>
      <c r="D16" s="182">
        <v>3232</v>
      </c>
    </row>
    <row r="17" spans="1:4" ht="12" x14ac:dyDescent="0.2">
      <c r="A17" s="179">
        <v>3</v>
      </c>
      <c r="B17" s="180" t="str">
        <f t="shared" si="2"/>
        <v>a</v>
      </c>
      <c r="C17" s="181" t="s">
        <v>149</v>
      </c>
      <c r="D17" s="182">
        <v>43443</v>
      </c>
    </row>
    <row r="18" spans="1:4" ht="12" x14ac:dyDescent="0.2">
      <c r="A18" s="179">
        <v>3</v>
      </c>
      <c r="B18" s="180" t="str">
        <f t="shared" si="2"/>
        <v>a</v>
      </c>
      <c r="C18" s="181" t="s">
        <v>150</v>
      </c>
      <c r="D18" s="182">
        <v>232323</v>
      </c>
    </row>
    <row r="19" spans="1:4" ht="12.75" thickBot="1" x14ac:dyDescent="0.25">
      <c r="A19" s="183">
        <v>3</v>
      </c>
      <c r="B19" s="184" t="str">
        <f t="shared" si="2"/>
        <v>a</v>
      </c>
      <c r="C19" s="185" t="s">
        <v>151</v>
      </c>
      <c r="D19" s="186">
        <v>112121</v>
      </c>
    </row>
    <row r="20" spans="1:4" ht="12" x14ac:dyDescent="0.2">
      <c r="A20" s="175">
        <f>4</f>
        <v>4</v>
      </c>
      <c r="B20" s="176" t="s">
        <v>55</v>
      </c>
      <c r="C20" s="177" t="s">
        <v>4</v>
      </c>
      <c r="D20" s="178">
        <v>22</v>
      </c>
    </row>
    <row r="21" spans="1:4" ht="12" x14ac:dyDescent="0.2">
      <c r="A21" s="179">
        <f>$A$20</f>
        <v>4</v>
      </c>
      <c r="B21" s="180" t="str">
        <f t="shared" ref="B21:B25" si="3">$B$20</f>
        <v>b</v>
      </c>
      <c r="C21" s="181" t="s">
        <v>5</v>
      </c>
      <c r="D21" s="182">
        <v>322332</v>
      </c>
    </row>
    <row r="22" spans="1:4" ht="12" x14ac:dyDescent="0.2">
      <c r="A22" s="179">
        <v>4</v>
      </c>
      <c r="B22" s="180" t="str">
        <f t="shared" si="3"/>
        <v>b</v>
      </c>
      <c r="C22" s="181" t="s">
        <v>148</v>
      </c>
      <c r="D22" s="182"/>
    </row>
    <row r="23" spans="1:4" ht="12" x14ac:dyDescent="0.2">
      <c r="A23" s="179">
        <v>4</v>
      </c>
      <c r="B23" s="180" t="str">
        <f t="shared" si="3"/>
        <v>b</v>
      </c>
      <c r="C23" s="181" t="s">
        <v>149</v>
      </c>
      <c r="D23" s="182">
        <v>100000</v>
      </c>
    </row>
    <row r="24" spans="1:4" ht="12" x14ac:dyDescent="0.2">
      <c r="A24" s="179">
        <v>4</v>
      </c>
      <c r="B24" s="180" t="str">
        <f t="shared" si="3"/>
        <v>b</v>
      </c>
      <c r="C24" s="181" t="s">
        <v>150</v>
      </c>
      <c r="D24" s="182">
        <v>21211</v>
      </c>
    </row>
    <row r="25" spans="1:4" ht="12.75" thickBot="1" x14ac:dyDescent="0.25">
      <c r="A25" s="183">
        <v>4</v>
      </c>
      <c r="B25" s="184" t="str">
        <f t="shared" si="3"/>
        <v>b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17"/>
    <pageSetUpPr fitToPage="1"/>
  </sheetPr>
  <dimension ref="A1:IU420"/>
  <sheetViews>
    <sheetView windowProtection="1" showGridLines="0" topLeftCell="U60" zoomScale="90" zoomScaleNormal="90" workbookViewId="0">
      <selection activeCell="AG70" sqref="AG70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4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1-iaop</v>
      </c>
      <c r="C29" s="61"/>
      <c r="D29" s="62">
        <f ca="1">IFERROR(D103,0)</f>
        <v>0.98479891986569512</v>
      </c>
      <c r="E29" s="62">
        <f ca="1">IFERROR(D100,0)</f>
        <v>1.2085785102955755E-2</v>
      </c>
      <c r="F29" s="62">
        <f ca="1">IFERROR(E103,0)</f>
        <v>3.115295031349088E-3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4</v>
      </c>
    </row>
    <row r="30" spans="1:255" x14ac:dyDescent="0.2">
      <c r="A30" s="66"/>
      <c r="B30" s="67"/>
      <c r="C30" s="68"/>
      <c r="D30" s="62">
        <f ca="1">IFERROR(N103,0)</f>
        <v>0.97730708571500102</v>
      </c>
      <c r="E30" s="62">
        <f ca="1">IFERROR(M100,0)</f>
        <v>1.2080173049703633E-2</v>
      </c>
      <c r="F30" s="62">
        <f ca="1">IFERROR(M103,0)</f>
        <v>0.98323891580840173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21925554</v>
      </c>
      <c r="BD30" s="11">
        <f t="shared" ref="BD30:CG30" si="0">B219</f>
        <v>113.8</v>
      </c>
      <c r="BE30" s="11">
        <f t="shared" si="0"/>
        <v>323.93</v>
      </c>
      <c r="BF30" s="11">
        <f t="shared" si="0"/>
        <v>21925554</v>
      </c>
      <c r="BG30" s="11">
        <f t="shared" si="0"/>
        <v>443565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113.8</v>
      </c>
      <c r="BD31" s="6">
        <f ca="1">IF(BD30=0,0,LOG(BD30/$BB$31,10))</f>
        <v>0</v>
      </c>
      <c r="BE31" s="6">
        <f t="shared" ref="BE31:CG31" ca="1" si="1">IF(BE30=0,0,LOG(BE30/$BB$31,10))</f>
        <v>0.45430890895551279</v>
      </c>
      <c r="BF31" s="6">
        <f t="shared" ca="1" si="1"/>
        <v>5.2848083135755273</v>
      </c>
      <c r="BG31" s="6">
        <f t="shared" ca="1" si="1"/>
        <v>3.5908150082707535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5.2848083135755273</v>
      </c>
      <c r="BD33" s="11">
        <f t="shared" ref="BD33:CG33" ca="1" si="2">BD31/$BB$33</f>
        <v>0</v>
      </c>
      <c r="BE33" s="6">
        <f t="shared" ca="1" si="2"/>
        <v>8.5965068551018528E-2</v>
      </c>
      <c r="BF33" s="11">
        <f t="shared" ca="1" si="2"/>
        <v>1</v>
      </c>
      <c r="BG33" s="6">
        <f t="shared" ca="1" si="2"/>
        <v>0.67945983945088939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10</v>
      </c>
      <c r="BG35" s="6">
        <f t="shared" ref="BG35" ca="1" si="6">ROUND(10*BG33,0)</f>
        <v>7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1.46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0.44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0.06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 t="str">
        <f>DIAG!$T$51</f>
        <v>2,7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 t="str">
        <f>O64</f>
        <v>2,7</v>
      </c>
      <c r="N65" s="75" t="s">
        <v>51</v>
      </c>
      <c r="O65" s="76" t="e">
        <f t="shared" ref="O65:AG65" si="10">(2*O66*($M65+1)-$M65-$M65*O66^2)/(SQRT(3)*$M65*(1-O66))</f>
        <v>#VALUE!</v>
      </c>
      <c r="P65" s="76" t="e">
        <f t="shared" si="10"/>
        <v>#VALUE!</v>
      </c>
      <c r="Q65" s="76" t="e">
        <f t="shared" si="10"/>
        <v>#VALUE!</v>
      </c>
      <c r="R65" s="76" t="e">
        <f t="shared" si="10"/>
        <v>#VALUE!</v>
      </c>
      <c r="S65" s="76" t="e">
        <f t="shared" si="10"/>
        <v>#VALUE!</v>
      </c>
      <c r="T65" s="76" t="e">
        <f t="shared" si="10"/>
        <v>#VALUE!</v>
      </c>
      <c r="U65" s="76" t="e">
        <f t="shared" si="10"/>
        <v>#VALUE!</v>
      </c>
      <c r="V65" s="76" t="e">
        <f t="shared" si="10"/>
        <v>#VALUE!</v>
      </c>
      <c r="W65" s="76" t="e">
        <f t="shared" si="10"/>
        <v>#VALUE!</v>
      </c>
      <c r="X65" s="76" t="e">
        <f t="shared" si="10"/>
        <v>#VALUE!</v>
      </c>
      <c r="Y65" s="76" t="e">
        <f t="shared" si="10"/>
        <v>#VALUE!</v>
      </c>
      <c r="Z65" s="76" t="e">
        <f t="shared" si="10"/>
        <v>#VALUE!</v>
      </c>
      <c r="AA65" s="76" t="e">
        <f t="shared" si="10"/>
        <v>#VALUE!</v>
      </c>
      <c r="AB65" s="76" t="e">
        <f t="shared" si="10"/>
        <v>#VALUE!</v>
      </c>
      <c r="AC65" s="76" t="e">
        <f t="shared" si="10"/>
        <v>#VALUE!</v>
      </c>
      <c r="AD65" s="76" t="e">
        <f t="shared" si="10"/>
        <v>#VALUE!</v>
      </c>
      <c r="AE65" s="76" t="e">
        <f t="shared" si="10"/>
        <v>#VALUE!</v>
      </c>
      <c r="AF65" s="76" t="e">
        <f t="shared" si="10"/>
        <v>#VALUE!</v>
      </c>
      <c r="AG65" s="110" t="e">
        <f t="shared" si="10"/>
        <v>#VALUE!</v>
      </c>
      <c r="AM65" s="46">
        <f>AO64</f>
        <v>1</v>
      </c>
      <c r="AN65" s="75" t="s">
        <v>51</v>
      </c>
      <c r="AO65" s="76" t="e">
        <f t="shared" ref="AO65:BG65" si="11">(2*AO66*($M65+1)-$M65-$M65*AO66^2)/(SQRT(3)*$M65*(1-AO66))</f>
        <v>#VALUE!</v>
      </c>
      <c r="AP65" s="76" t="e">
        <f t="shared" si="11"/>
        <v>#VALUE!</v>
      </c>
      <c r="AQ65" s="76" t="e">
        <f t="shared" si="11"/>
        <v>#VALUE!</v>
      </c>
      <c r="AR65" s="76" t="e">
        <f t="shared" si="11"/>
        <v>#VALUE!</v>
      </c>
      <c r="AS65" s="76" t="e">
        <f t="shared" si="11"/>
        <v>#VALUE!</v>
      </c>
      <c r="AT65" s="76" t="e">
        <f t="shared" si="11"/>
        <v>#VALUE!</v>
      </c>
      <c r="AU65" s="76" t="e">
        <f t="shared" si="11"/>
        <v>#VALUE!</v>
      </c>
      <c r="AV65" s="76" t="e">
        <f t="shared" si="11"/>
        <v>#VALUE!</v>
      </c>
      <c r="AW65" s="76" t="e">
        <f t="shared" si="11"/>
        <v>#VALUE!</v>
      </c>
      <c r="AX65" s="76" t="e">
        <f t="shared" si="11"/>
        <v>#VALUE!</v>
      </c>
      <c r="AY65" s="76" t="e">
        <f t="shared" si="11"/>
        <v>#VALUE!</v>
      </c>
      <c r="AZ65" s="76" t="e">
        <f t="shared" si="11"/>
        <v>#VALUE!</v>
      </c>
      <c r="BA65" s="76" t="e">
        <f t="shared" si="11"/>
        <v>#VALUE!</v>
      </c>
      <c r="BB65" s="76" t="e">
        <f t="shared" si="11"/>
        <v>#VALUE!</v>
      </c>
      <c r="BC65" s="76" t="e">
        <f t="shared" si="11"/>
        <v>#VALUE!</v>
      </c>
      <c r="BD65" s="76" t="e">
        <f t="shared" si="11"/>
        <v>#VALUE!</v>
      </c>
      <c r="BE65" s="76" t="e">
        <f t="shared" si="11"/>
        <v>#VALUE!</v>
      </c>
      <c r="BF65" s="76" t="e">
        <f t="shared" si="11"/>
        <v>#VALUE!</v>
      </c>
      <c r="BG65" s="110" t="e">
        <f t="shared" si="11"/>
        <v>#VALUE!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ESI=2,7</v>
      </c>
      <c r="N66" s="86" t="s">
        <v>52</v>
      </c>
      <c r="O66" s="101">
        <f>IF(DIAG!T48,0,-1)</f>
        <v>0</v>
      </c>
      <c r="P66" s="101" t="e">
        <f>IF(DIAG!$T$48,$AG$67*P75,-1)</f>
        <v>#VALUE!</v>
      </c>
      <c r="Q66" s="101" t="e">
        <f>IF(DIAG!$T$48,$AG$67*Q75,-1)</f>
        <v>#VALUE!</v>
      </c>
      <c r="R66" s="101" t="e">
        <f>IF(DIAG!$T$48,$AG$67*R75,-1)</f>
        <v>#VALUE!</v>
      </c>
      <c r="S66" s="101" t="e">
        <f>IF(DIAG!$T$48,$AG$67*S75,-1)</f>
        <v>#VALUE!</v>
      </c>
      <c r="T66" s="101" t="e">
        <f>IF(DIAG!$T$48,$AG$67*T75,-1)</f>
        <v>#VALUE!</v>
      </c>
      <c r="U66" s="101" t="e">
        <f>IF(DIAG!$T$48,$AG$67*U75,-1)</f>
        <v>#VALUE!</v>
      </c>
      <c r="V66" s="101" t="e">
        <f>IF(DIAG!$T$48,$AG$67*V75,-1)</f>
        <v>#VALUE!</v>
      </c>
      <c r="W66" s="101" t="e">
        <f>IF(DIAG!$T$48,$AG$67*W75,-1)</f>
        <v>#VALUE!</v>
      </c>
      <c r="X66" s="101" t="e">
        <f>IF(DIAG!$T$48,$AG$67*X75,-1)</f>
        <v>#VALUE!</v>
      </c>
      <c r="Y66" s="101" t="e">
        <f>IF(DIAG!$T$48,$AG$67*Y75,-1)</f>
        <v>#VALUE!</v>
      </c>
      <c r="Z66" s="101" t="e">
        <f>IF(DIAG!$T$48,$AG$67*Z75,-1)</f>
        <v>#VALUE!</v>
      </c>
      <c r="AA66" s="101" t="e">
        <f>IF(DIAG!$T$48,$AG$67*AA75,-1)</f>
        <v>#VALUE!</v>
      </c>
      <c r="AB66" s="101" t="e">
        <f>IF(DIAG!$T$48,$AG$67*AB75,-1)</f>
        <v>#VALUE!</v>
      </c>
      <c r="AC66" s="101" t="e">
        <f>IF(DIAG!$T$48,$AG$67*AC75,-1)</f>
        <v>#VALUE!</v>
      </c>
      <c r="AD66" s="101" t="e">
        <f>IF(DIAG!$T$48,$AG$67*AD75,-1)</f>
        <v>#VALUE!</v>
      </c>
      <c r="AE66" s="101" t="e">
        <f>IF(DIAG!$T$48,$AG$67*AE75,-1)</f>
        <v>#VALUE!</v>
      </c>
      <c r="AF66" s="101" t="e">
        <f>IF(DIAG!$T$48,$AG$67*AF75,-1)</f>
        <v>#VALUE!</v>
      </c>
      <c r="AG66" s="111" t="e">
        <f>IF(DIAG!T48,((2*$M$65+1-SQRT(4*$M$65+1))/($M$65*2))*DIAG!$T$48,-1)</f>
        <v>#VALUE!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 t="e">
        <f>(AG66-O66)/18</f>
        <v>#VALUE!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12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12</v>
      </c>
      <c r="N69" s="75" t="s">
        <v>51</v>
      </c>
      <c r="O69" s="76">
        <f t="shared" ref="O69:AG69" si="12">(2*O70*($M69+1)-$M69-$M69*O70^2)/(SQRT(3)*$M69*(1-O70))</f>
        <v>-0.57735026918962573</v>
      </c>
      <c r="P69" s="76">
        <f t="shared" si="12"/>
        <v>-0.5491103103705679</v>
      </c>
      <c r="Q69" s="76">
        <f t="shared" si="12"/>
        <v>-0.52049001540579909</v>
      </c>
      <c r="R69" s="76">
        <f t="shared" si="12"/>
        <v>-0.49143505056021713</v>
      </c>
      <c r="S69" s="76">
        <f t="shared" si="12"/>
        <v>-0.46188021535170054</v>
      </c>
      <c r="T69" s="76">
        <f t="shared" si="12"/>
        <v>-0.4317465828808385</v>
      </c>
      <c r="U69" s="76">
        <f t="shared" si="12"/>
        <v>-0.40093768693724008</v>
      </c>
      <c r="V69" s="76">
        <f t="shared" si="12"/>
        <v>-0.36933436337865766</v>
      </c>
      <c r="W69" s="76">
        <f t="shared" si="12"/>
        <v>-0.33678765702728164</v>
      </c>
      <c r="X69" s="76">
        <f t="shared" si="12"/>
        <v>-0.30310889132455354</v>
      </c>
      <c r="Y69" s="76">
        <f t="shared" si="12"/>
        <v>-0.26805548212375485</v>
      </c>
      <c r="Z69" s="76">
        <f t="shared" si="12"/>
        <v>-0.23131020400225388</v>
      </c>
      <c r="AA69" s="76">
        <f t="shared" si="12"/>
        <v>-0.19245008972987526</v>
      </c>
      <c r="AB69" s="76">
        <f t="shared" si="12"/>
        <v>-0.15089836581092497</v>
      </c>
      <c r="AC69" s="76">
        <f t="shared" si="12"/>
        <v>-0.10584754935143149</v>
      </c>
      <c r="AD69" s="76">
        <f t="shared" si="12"/>
        <v>-5.6131276171213614E-2</v>
      </c>
      <c r="AE69" s="76">
        <f t="shared" si="12"/>
        <v>-1.281975124255709E-16</v>
      </c>
      <c r="AF69" s="76">
        <f t="shared" si="12"/>
        <v>6.5295566158350318E-2</v>
      </c>
      <c r="AG69" s="110">
        <f t="shared" si="12"/>
        <v>0.14433756729740643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-1.2028130608117202</v>
      </c>
      <c r="AP69" s="76">
        <f t="shared" si="13"/>
        <v>-1.2028130608117202</v>
      </c>
      <c r="AQ69" s="76">
        <f t="shared" si="13"/>
        <v>-1.2028130608117202</v>
      </c>
      <c r="AR69" s="76">
        <f t="shared" si="13"/>
        <v>-1.2028130608117202</v>
      </c>
      <c r="AS69" s="76">
        <f t="shared" si="13"/>
        <v>-1.2028130608117202</v>
      </c>
      <c r="AT69" s="76">
        <f t="shared" si="13"/>
        <v>-1.2028130608117202</v>
      </c>
      <c r="AU69" s="76">
        <f t="shared" si="13"/>
        <v>-1.2028130608117202</v>
      </c>
      <c r="AV69" s="76">
        <f t="shared" si="13"/>
        <v>-1.2028130608117202</v>
      </c>
      <c r="AW69" s="76">
        <f t="shared" si="13"/>
        <v>-1.2028130608117202</v>
      </c>
      <c r="AX69" s="76">
        <f t="shared" si="13"/>
        <v>-1.2028130608117202</v>
      </c>
      <c r="AY69" s="76">
        <f t="shared" si="13"/>
        <v>-1.2028130608117202</v>
      </c>
      <c r="AZ69" s="76">
        <f t="shared" si="13"/>
        <v>-1.2028130608117202</v>
      </c>
      <c r="BA69" s="76">
        <f t="shared" si="13"/>
        <v>-1.2028130608117202</v>
      </c>
      <c r="BB69" s="76">
        <f t="shared" si="13"/>
        <v>-1.2028130608117202</v>
      </c>
      <c r="BC69" s="76">
        <f t="shared" si="13"/>
        <v>-1.2028130608117202</v>
      </c>
      <c r="BD69" s="76">
        <f t="shared" si="13"/>
        <v>-1.2028130608117202</v>
      </c>
      <c r="BE69" s="76">
        <f t="shared" si="13"/>
        <v>-1.2028130608117202</v>
      </c>
      <c r="BF69" s="76">
        <f t="shared" si="13"/>
        <v>-1.2028130608117202</v>
      </c>
      <c r="BG69" s="110">
        <f t="shared" si="13"/>
        <v>-1.2028130608117202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ESI=12</v>
      </c>
      <c r="N70" s="86" t="s">
        <v>52</v>
      </c>
      <c r="O70" s="101">
        <f>IF(DIAG!T49,0,-1)</f>
        <v>0</v>
      </c>
      <c r="P70" s="101">
        <f>IF(DIAG!$T$49,$AG$71*P75,-1)</f>
        <v>4.1666666666666664E-2</v>
      </c>
      <c r="Q70" s="101">
        <f>IF(DIAG!$T$49,$AG$71*Q75,-1)</f>
        <v>8.3333333333333329E-2</v>
      </c>
      <c r="R70" s="101">
        <f>IF(DIAG!$T$49,$AG$71*R75,-1)</f>
        <v>0.125</v>
      </c>
      <c r="S70" s="101">
        <f>IF(DIAG!$T$49,$AG$71*S75,-1)</f>
        <v>0.16666666666666666</v>
      </c>
      <c r="T70" s="101">
        <f>IF(DIAG!$T$49,$AG$71*T75,-1)</f>
        <v>0.20833333333333331</v>
      </c>
      <c r="U70" s="101">
        <f>IF(DIAG!$T$49,$AG$71*U75,-1)</f>
        <v>0.25</v>
      </c>
      <c r="V70" s="101">
        <f>IF(DIAG!$T$49,$AG$71*V75,-1)</f>
        <v>0.29166666666666663</v>
      </c>
      <c r="W70" s="101">
        <f>IF(DIAG!$T$49,$AG$71*W75,-1)</f>
        <v>0.33333333333333331</v>
      </c>
      <c r="X70" s="101">
        <f>IF(DIAG!$T$49,$AG$71*X75,-1)</f>
        <v>0.375</v>
      </c>
      <c r="Y70" s="101">
        <f>IF(DIAG!$T$49,$AG$71*Y75,-1)</f>
        <v>0.41666666666666663</v>
      </c>
      <c r="Z70" s="101">
        <f>IF(DIAG!$T$49,$AG$71*Z75,-1)</f>
        <v>0.45833333333333331</v>
      </c>
      <c r="AA70" s="101">
        <f>IF(DIAG!$T$49,$AG$71*AA75,-1)</f>
        <v>0.5</v>
      </c>
      <c r="AB70" s="101">
        <f>IF(DIAG!$T$49,$AG$71*AB75,-1)</f>
        <v>0.54166666666666663</v>
      </c>
      <c r="AC70" s="101">
        <f>IF(DIAG!$T$49,$AG$71*AC75,-1)</f>
        <v>0.58333333333333326</v>
      </c>
      <c r="AD70" s="101">
        <f>IF(DIAG!$T$49,$AG$71*AD75,-1)</f>
        <v>0.625</v>
      </c>
      <c r="AE70" s="101">
        <f>IF(DIAG!$T$49,$AG$71*AE75,-1)</f>
        <v>0.66666666666666663</v>
      </c>
      <c r="AF70" s="101">
        <f>IF(DIAG!$T$49,$AG$71*AF75,-1)</f>
        <v>0.70833333333333326</v>
      </c>
      <c r="AG70" s="111">
        <f>IF(DIAG!T49,((2*$M$69+1-SQRT(4*$M$69+1))/($M$69*2))*DIAG!$T$49,-1)</f>
        <v>0.75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4.1666666666666664E-2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1.1599999999999999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1.1599999999999999</v>
      </c>
      <c r="N73" s="75" t="s">
        <v>51</v>
      </c>
      <c r="O73" s="76">
        <f>(2*O74*($M73+1)-$M73-$M73*O74^2)/(SQRT(3)*$M73*(1-O74))</f>
        <v>-0.57735026918962573</v>
      </c>
      <c r="P73" s="76">
        <f t="shared" ref="P73:AG73" si="14">(2*P74*($M73+1)-$M73-$M73*P74^2)/(SQRT(3)*$M73*(1-P74))</f>
        <v>-0.5412326513063177</v>
      </c>
      <c r="Q73" s="76">
        <f t="shared" si="14"/>
        <v>-0.50402217436396701</v>
      </c>
      <c r="R73" s="76">
        <f t="shared" si="14"/>
        <v>-0.46563923095702653</v>
      </c>
      <c r="S73" s="76">
        <f t="shared" si="14"/>
        <v>-0.42599628945500162</v>
      </c>
      <c r="T73" s="76">
        <f t="shared" si="14"/>
        <v>-0.38499688285511346</v>
      </c>
      <c r="U73" s="76">
        <f t="shared" si="14"/>
        <v>-0.34253443875080991</v>
      </c>
      <c r="V73" s="76">
        <f t="shared" si="14"/>
        <v>-0.29849092050596143</v>
      </c>
      <c r="W73" s="76">
        <f>(2*W74*($M73+1)-$M73-$M73*W74^2)/(SQRT(3)*$M73*(1-W74))</f>
        <v>-0.2527352431117374</v>
      </c>
      <c r="X73" s="76">
        <f>(2*X74*($M73+1)-$M73-$M73*X74^2)/(SQRT(3)*$M73*(1-X74))</f>
        <v>-0.20512141889878258</v>
      </c>
      <c r="Y73" s="76">
        <f>(2*Y74*($M73+1)-$M73-$M73*Y74^2)/(SQRT(3)*$M73*(1-Y74))</f>
        <v>-0.15548637778655605</v>
      </c>
      <c r="Z73" s="76">
        <f t="shared" si="14"/>
        <v>-0.10364739341574018</v>
      </c>
      <c r="AA73" s="76">
        <f>(2*AA74*($M73+1)-$M73-$M73*AA74^2)/(SQRT(3)*$M73*(1-AA74))</f>
        <v>-4.9399029444389994E-2</v>
      </c>
      <c r="AB73" s="76">
        <f>(2*AB74*($M73+1)-$M73-$M73*AB74^2)/(SQRT(3)*$M73*(1-AB74))</f>
        <v>7.4905017018618266E-3</v>
      </c>
      <c r="AC73" s="76">
        <f>(2*AC74*($M73+1)-$M73-$M73*AC74^2)/(SQRT(3)*$M73*(1-AC74))</f>
        <v>6.7283703882421372E-2</v>
      </c>
      <c r="AD73" s="76">
        <f>(2*AD74*($M73+1)-$M73-$M73*AD74^2)/(SQRT(3)*$M73*(1-AD74))</f>
        <v>0.13027905970474507</v>
      </c>
      <c r="AE73" s="76">
        <f t="shared" si="14"/>
        <v>0.19681741328309224</v>
      </c>
      <c r="AF73" s="76">
        <f t="shared" si="14"/>
        <v>0.26728976177068081</v>
      </c>
      <c r="AG73" s="110">
        <f t="shared" si="14"/>
        <v>0.34214683228042386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ESI=1.16</v>
      </c>
      <c r="N74" s="80" t="s">
        <v>52</v>
      </c>
      <c r="O74" s="97">
        <f>IF(DIAG!T50,0,-1)</f>
        <v>0</v>
      </c>
      <c r="P74" s="97">
        <f>IF(DIAG!$T$50,$AG$75*P75,-1)</f>
        <v>2.2632461268975491E-2</v>
      </c>
      <c r="Q74" s="97">
        <f>IF(DIAG!$T$50,$AG$75*Q75,-1)</f>
        <v>4.5264922537950981E-2</v>
      </c>
      <c r="R74" s="97">
        <f>IF(DIAG!$T$50,$AG$75*R75,-1)</f>
        <v>6.7897383806926476E-2</v>
      </c>
      <c r="S74" s="97">
        <f>IF(DIAG!$T$50,$AG$75*S75,-1)</f>
        <v>9.0529845075901963E-2</v>
      </c>
      <c r="T74" s="97">
        <f>IF(DIAG!$T$50,$AG$75*T75,-1)</f>
        <v>0.11316230634487745</v>
      </c>
      <c r="U74" s="97">
        <f>IF(DIAG!$T$50,$AG$75*U75,-1)</f>
        <v>0.13579476761385295</v>
      </c>
      <c r="V74" s="97">
        <f>IF(DIAG!$T$50,$AG$75*V75,-1)</f>
        <v>0.15842722888282842</v>
      </c>
      <c r="W74" s="97">
        <f>IF(DIAG!$T$50,$AG$75*W75,-1)</f>
        <v>0.18105969015180393</v>
      </c>
      <c r="X74" s="97">
        <f>IF(DIAG!$T$50,$AG$75*X75,-1)</f>
        <v>0.20369215142077943</v>
      </c>
      <c r="Y74" s="97">
        <f>IF(DIAG!$T$50,$AG$75*Y75,-1)</f>
        <v>0.2263246126897549</v>
      </c>
      <c r="Z74" s="97">
        <f>IF(DIAG!$T$50,$AG$75*Z75,-1)</f>
        <v>0.2489570739587304</v>
      </c>
      <c r="AA74" s="97">
        <f>IF(DIAG!$T$50,$AG$75*AA75,-1)</f>
        <v>0.2715895352277059</v>
      </c>
      <c r="AB74" s="97">
        <f>IF(DIAG!$T$50,$AG$75*AB75,-1)</f>
        <v>0.2942219964966814</v>
      </c>
      <c r="AC74" s="97">
        <f>IF(DIAG!$T$50,$AG$75*AC75,-1)</f>
        <v>0.31685445776565685</v>
      </c>
      <c r="AD74" s="97">
        <f>IF(DIAG!$T$50,$AG$75*AD75,-1)</f>
        <v>0.33948691903463235</v>
      </c>
      <c r="AE74" s="97">
        <f>IF(DIAG!$T$50,$AG$75*AE75,-1)</f>
        <v>0.36211938030360785</v>
      </c>
      <c r="AF74" s="97">
        <f>IF(DIAG!$T$50,$AG$75*AF75,-1)</f>
        <v>0.38475184157258335</v>
      </c>
      <c r="AG74" s="111">
        <f>IF(DIAG!T50,((2*$M$73+1-SQRT(4*$M$73+1))/($M$73*2))*DIAG!$T$50,-1)</f>
        <v>0.40738430284155885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2.2632461268975491E-2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-7.0045582623259189E-3</v>
      </c>
      <c r="B79" s="122">
        <f>VLOOKUP(B78,A237:AE237,DIAG!$T$58+1,0)</f>
        <v>0.98169357577254346</v>
      </c>
      <c r="E79" s="121">
        <f>VLOOKUP(E78,A236:AE236,DIAG!$W$56+1,0)</f>
        <v>-7.0045582623259189E-3</v>
      </c>
      <c r="F79" s="122">
        <f>VLOOKUP(F78,A237:AE237,DIAG!$W$56+1,0)</f>
        <v>0.98169357577254346</v>
      </c>
      <c r="G79" s="121">
        <f>VLOOKUP(G78,A236:AE236,DIAG!$W$58+1,0)</f>
        <v>-7.0045582623259189E-3</v>
      </c>
      <c r="H79" s="122">
        <f>VLOOKUP(H78,A237:AE237,DIAG!$W$58+1,0)</f>
        <v>0.98169357577254346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1.7212254900215718</v>
      </c>
      <c r="D80" s="22">
        <f>IFERROR((B80*(A80-$E$79)-A80*(B80-$F$79))/(A80-$E$79),0)</f>
        <v>0.99375000000000002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-1.6799614372198588</v>
      </c>
      <c r="D81" s="22">
        <f>(B81*(A81-$G$79)-A81*(B81-$H$79))/(A81-$G$79)</f>
        <v>0.96992618800707608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2.6135016002247871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5.6207310475794975E-6</v>
      </c>
      <c r="E87" s="131">
        <f ca="1">IFERROR(E91,0)</f>
        <v>-6.9939843172879121E-3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1.3247549118151146E-4</v>
      </c>
      <c r="N87" s="131">
        <f ca="1">IFERROR(N91,0)</f>
        <v>-7.0023247544792272E-3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0.9937596745455517</v>
      </c>
      <c r="E88" s="136">
        <f ca="1">IFERROR((C80*E87+D80),0)</f>
        <v>0.9817117759162729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0.96970363429051443</v>
      </c>
      <c r="N88" s="136">
        <f ca="1">IFERROR((C81*N87+D81),0)</f>
        <v>0.98168982356549117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5.6207310475794975E-6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1.3247549118151146E-4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-6.9939843172879121E-3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-7.0023247544792272E-3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1.3933640307330372E-2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1.3948982324207312E-2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1.8098754520051059E-3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0.99686520376175547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1.8098754520051059E-3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1.15289492479249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-6.9939843172879121E-3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1.2085785102955755E-2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1.2080173049703633E-2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1.135369676654286</v>
      </c>
      <c r="E102" s="147">
        <f ca="1">IFERROR(SQRT((D87-D94)^2+(D88-D95)^2),0)</f>
        <v>3.5916078308736244E-3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1.1353465054393932</v>
      </c>
      <c r="N102" s="147">
        <f ca="1">IFERROR(SQRT((M87-M94)^2+(M88-M95)^2),0)</f>
        <v>1.1284970180369691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0.98479891986569512</v>
      </c>
      <c r="E103" s="149">
        <f ca="1">IFERROR(E102/D98,0)</f>
        <v>3.115295031349088E-3</v>
      </c>
      <c r="G103" s="150"/>
      <c r="H103" s="151"/>
      <c r="I103" s="151"/>
      <c r="J103" s="151"/>
      <c r="K103" s="151"/>
      <c r="L103" s="138"/>
      <c r="M103" s="148">
        <f ca="1">IFERROR(M102/M98,0)</f>
        <v>0.98323891580840173</v>
      </c>
      <c r="N103" s="149">
        <f ca="1">IFERROR(N102/M98,0)</f>
        <v>0.97730708571500102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1.9726261745731064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-0.50650081756999243</v>
      </c>
      <c r="M108" s="103">
        <f ca="1">IFERROR(LOG(100*N103),0)</f>
        <v>1.990031047522745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8.227486780171242E-2</v>
      </c>
      <c r="M109" s="103">
        <f ca="1">IFERROR(LOG(100*M100),0)</f>
        <v>8.207315564215624E-2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1.9933475635863127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1.9926590592461568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1-iaop</v>
      </c>
      <c r="C211" s="10" t="str">
        <f>CONCATENATE(" 2-",Resumo!B12)</f>
        <v xml:space="preserve"> 2-tamara</v>
      </c>
      <c r="D211" s="10" t="str">
        <f>CONCATENATE(" 3-",Resumo!B22)</f>
        <v xml:space="preserve"> 3-a</v>
      </c>
      <c r="E211" s="10" t="str">
        <f>CONCATENATE(" 4-",Resumo!B32)</f>
        <v xml:space="preserve"> 4-b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21</v>
      </c>
      <c r="C212" s="13">
        <f>Resumo!G12</f>
        <v>78</v>
      </c>
      <c r="D212" s="13">
        <f>Resumo!G22</f>
        <v>21211212</v>
      </c>
      <c r="E212" s="13">
        <f>Resumo!G32</f>
        <v>22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3</v>
      </c>
      <c r="C213" s="13">
        <f>Resumo!G13</f>
        <v>5</v>
      </c>
      <c r="D213" s="13">
        <f>Resumo!G23</f>
        <v>323223</v>
      </c>
      <c r="E213" s="13">
        <f>Resumo!G33</f>
        <v>322332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1.5</v>
      </c>
      <c r="C214" s="13">
        <f>Resumo!G14</f>
        <v>94</v>
      </c>
      <c r="D214" s="13">
        <f>Resumo!G24</f>
        <v>3232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0.3</v>
      </c>
      <c r="C215" s="13">
        <f>Resumo!G15</f>
        <v>0.68</v>
      </c>
      <c r="D215" s="13">
        <f>Resumo!G25</f>
        <v>43443</v>
      </c>
      <c r="E215" s="13">
        <f>Resumo!G35</f>
        <v>100000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85</v>
      </c>
      <c r="C216" s="13">
        <f>Resumo!G16</f>
        <v>146</v>
      </c>
      <c r="D216" s="13">
        <f>Resumo!G26</f>
        <v>232323</v>
      </c>
      <c r="E216" s="13">
        <f>Resumo!G36</f>
        <v>21211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3</v>
      </c>
      <c r="C217" s="13">
        <f>Resumo!G17</f>
        <v>0.25</v>
      </c>
      <c r="D217" s="13">
        <f>Resumo!G27</f>
        <v>112121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3</v>
      </c>
      <c r="C218" s="13">
        <f>Resumo!G18</f>
        <v>1</v>
      </c>
      <c r="D218" s="13">
        <f>Resumo!G28</f>
        <v>155564</v>
      </c>
      <c r="E218" s="13">
        <f>Resumo!G38</f>
        <v>100000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113.8</v>
      </c>
      <c r="C219" s="16">
        <f>Resumo!G19</f>
        <v>323.93</v>
      </c>
      <c r="D219" s="16">
        <f>Resumo!G29</f>
        <v>21925554</v>
      </c>
      <c r="E219" s="16">
        <f>Resumo!G39</f>
        <v>443565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647.27513227513225</v>
      </c>
      <c r="C220" s="18">
        <f t="shared" ref="C220:AE220" si="18">IFERROR(C230/C232,0)</f>
        <v>17370.951096121418</v>
      </c>
      <c r="D220" s="18">
        <f t="shared" si="18"/>
        <v>6313.3658633844316</v>
      </c>
      <c r="E220" s="18">
        <f t="shared" si="18"/>
        <v>0.22300502081300966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0.94463971880492092</v>
      </c>
      <c r="C221" s="20">
        <f t="shared" ref="C221:AE221" si="19">IFERROR((C212+C214+C216)/C219,0)</f>
        <v>0.98169357577254346</v>
      </c>
      <c r="D221" s="20">
        <f t="shared" si="19"/>
        <v>0.97816306032677669</v>
      </c>
      <c r="E221" s="20">
        <f t="shared" si="19"/>
        <v>4.7868970725823724E-2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2.6362038664323375E-2</v>
      </c>
      <c r="C222" s="20">
        <f t="shared" ref="C222:AE222" si="20">IFERROR(C213/C$219,0)</f>
        <v>1.5435433581329299E-2</v>
      </c>
      <c r="D222" s="20">
        <f t="shared" si="20"/>
        <v>1.4741839590461431E-2</v>
      </c>
      <c r="E222" s="20">
        <f t="shared" si="20"/>
        <v>0.726684927800886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2.6362038664323375E-2</v>
      </c>
      <c r="C223" s="20">
        <f t="shared" ref="C223:AE223" si="21">IFERROR(C218/C$219,0)</f>
        <v>3.0870867162658597E-3</v>
      </c>
      <c r="D223" s="20">
        <f t="shared" si="21"/>
        <v>7.0951000827618772E-3</v>
      </c>
      <c r="E223" s="20">
        <f t="shared" si="21"/>
        <v>0.22544610147329028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0.94463971880492092</v>
      </c>
      <c r="C225" s="21">
        <f t="shared" ref="C225:AE225" si="22">IFERROR(((C212+C214+C216)/C219),0)</f>
        <v>0.98169357577254346</v>
      </c>
      <c r="D225" s="21">
        <f t="shared" si="22"/>
        <v>0.97816306032677669</v>
      </c>
      <c r="E225" s="21">
        <f t="shared" si="22"/>
        <v>4.7868970725823724E-2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2.6362038664323375E-2</v>
      </c>
      <c r="C226" s="21">
        <f t="shared" ref="C226:AE226" si="23">IFERROR(C213/C219,0)</f>
        <v>1.5435433581329299E-2</v>
      </c>
      <c r="D226" s="21">
        <f t="shared" si="23"/>
        <v>1.4741839590461431E-2</v>
      </c>
      <c r="E226" s="21">
        <f t="shared" si="23"/>
        <v>0.726684927800886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2.6362038664323375E-2</v>
      </c>
      <c r="C227" s="24">
        <f t="shared" ref="C227:AE227" si="24">IFERROR(C218/C219,0)</f>
        <v>3.0870867162658597E-3</v>
      </c>
      <c r="D227" s="24">
        <f t="shared" si="24"/>
        <v>7.0951000827618772E-3</v>
      </c>
      <c r="E227" s="24">
        <f t="shared" si="24"/>
        <v>0.22544610147329028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0.97100175746924433</v>
      </c>
      <c r="C228" s="28">
        <f t="shared" ref="C228:AE228" si="25">IFERROR(C225+C226,0)</f>
        <v>0.99712900935387272</v>
      </c>
      <c r="D228" s="28">
        <f t="shared" si="25"/>
        <v>0.99290489991723807</v>
      </c>
      <c r="E228" s="28">
        <f t="shared" si="25"/>
        <v>0.77455389852670975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0.99736379613356774</v>
      </c>
      <c r="C229" s="28">
        <f t="shared" ref="C229:AE229" si="26">IFERROR(C225+C226+C227,0)</f>
        <v>1.0002160960701385</v>
      </c>
      <c r="D229" s="28">
        <f t="shared" si="26"/>
        <v>1</v>
      </c>
      <c r="E229" s="28">
        <f t="shared" si="26"/>
        <v>1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37.93333333333333</v>
      </c>
      <c r="C230" s="34">
        <f t="shared" ref="C230:AE230" si="27">IFERROR(C219/C218,0)</f>
        <v>323.93</v>
      </c>
      <c r="D230" s="34">
        <f t="shared" si="27"/>
        <v>140.94233884446274</v>
      </c>
      <c r="E230" s="34">
        <f t="shared" si="27"/>
        <v>4.4356499999999999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2.9864253393665156E-2</v>
      </c>
      <c r="C231" s="38">
        <f t="shared" ref="C231:AE231" si="28">IFERROR((C215+C217)/(C212+C214+C216+C213),0)</f>
        <v>2.8792569659442727E-3</v>
      </c>
      <c r="D231" s="38">
        <f t="shared" si="28"/>
        <v>7.1458002507121038E-3</v>
      </c>
      <c r="E231" s="38">
        <f t="shared" si="28"/>
        <v>0.29106573719674589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5.8604651162790698E-2</v>
      </c>
      <c r="C232" s="38">
        <f t="shared" ref="C232:AE232" si="29">IFERROR((C213+C215+C217)/(C212+C214+C216),0)</f>
        <v>1.8647798742138365E-2</v>
      </c>
      <c r="D232" s="38">
        <f t="shared" si="29"/>
        <v>2.2324437058508631E-2</v>
      </c>
      <c r="E232" s="38">
        <f t="shared" si="29"/>
        <v>19.890359346300571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647.27513227513225</v>
      </c>
      <c r="C233" s="160">
        <f t="shared" ref="C233:AE233" si="30">IFERROR(C230/C232,0)</f>
        <v>17370.951096121418</v>
      </c>
      <c r="D233" s="160">
        <f t="shared" si="30"/>
        <v>6313.3658633844316</v>
      </c>
      <c r="E233" s="160">
        <f t="shared" si="30"/>
        <v>0.22300502081300966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1-iaop</v>
      </c>
      <c r="C235" s="45" t="str">
        <f t="shared" si="31"/>
        <v xml:space="preserve"> 2-tamara</v>
      </c>
      <c r="D235" s="45" t="str">
        <f t="shared" si="31"/>
        <v xml:space="preserve"> 3-a</v>
      </c>
      <c r="E235" s="45" t="str">
        <f t="shared" si="31"/>
        <v xml:space="preserve"> 4-b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-1.5220130119234633E-3</v>
      </c>
      <c r="C236" s="47">
        <f t="shared" ref="C236:AE236" si="32">IFERROR(((2*C227+C225-1)/SQRT(3)),0)</f>
        <v>-7.0045582623259189E-3</v>
      </c>
      <c r="D236" s="47">
        <f t="shared" si="32"/>
        <v>-4.4148471131932893E-3</v>
      </c>
      <c r="E236" s="47">
        <f t="shared" si="32"/>
        <v>-0.28939037130852951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0.94463971880492092</v>
      </c>
      <c r="C237" s="52">
        <f>IF(DIAG!$H38,C225,-1)</f>
        <v>0.98169357577254346</v>
      </c>
      <c r="D237" s="52">
        <f>IF(DIAG!$H39,D225,-1)</f>
        <v>0.97816306032677669</v>
      </c>
      <c r="E237" s="52">
        <f>IF(DIAG!$H40,E225,-1)</f>
        <v>4.7868970725823724E-2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Feni</cp:lastModifiedBy>
  <cp:lastPrinted>2023-08-01T15:05:48Z</cp:lastPrinted>
  <dcterms:created xsi:type="dcterms:W3CDTF">2003-07-04T14:12:44Z</dcterms:created>
  <dcterms:modified xsi:type="dcterms:W3CDTF">2023-08-17T19:04:26Z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