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A14769F0-B3CD-497F-AE95-0878BE981EC6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calcMode="manual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<sst xmlns="http://schemas.openxmlformats.org/spreadsheetml/2006/main" count="2079" uniqueCount="226">
  <si>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</si>
  <si>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</si>
  <si>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</si>
  <si>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</si>
  <si>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</si>
  <si>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</si>
  <si>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</si>
  <si>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</si>
  <si>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</si>
  <si>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</si>
  <si>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</si>
  <si>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</si>
  <si>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</si>
  <si>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</si>
  <si>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</si>
  <si>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</si>
  <si>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</si>
  <si>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</si>
  <si>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</si>
  <si>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</si>
  <si>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</si>
  <si>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</si>
  <si>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</si>
  <si>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</si>
  <si>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</si>
  <si>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</si>
  <si>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</si>
  <si>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</si>
  <si>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</si>
  <si>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</si>
  <si>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</si>
  <si>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</si>
  <si>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</si>
  <si>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</si>
  <si>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</si>
  <si>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</si>
  <si>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</si>
  <si>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</si>
  <si>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</si>
  <si>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</si>
  <si>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</si>
  <si>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</si>
  <si>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</si>
  <si>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</si>
  <si>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</si>
  <si>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</si>
  <si>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</si>
  <si>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</si>
  <si>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</si>
  <si>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</si>
  <si>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</si>
  <si>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</si>
  <si>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</si>
  <si>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</si>
  <si>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</si>
  <si>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</si>
  <si>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</si>
  <si>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</si>
  <si>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</si>
  <si>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</si>
  <si>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</si>
  <si>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</si>
  <si>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</si>
  <si>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</si>
  <si>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</si>
  <si>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</si>
  <si>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</si>
  <si>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</si>
  <si>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</si>
  <si>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</si>
  <si>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</si>
  <si>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</si>
  <si>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</si>
  <si>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</si>
  <si>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</si>
  <si>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</si>
  <si>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</si>
  <si>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</si>
  <si>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</si>
  <si>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</si>
  <si>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</si>
  <si>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</si>
  <si>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</si>
  <si>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</si>
  <si>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</si>
  <si>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</si>
  <si>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</si>
  <si>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</si>
  <si>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</si>
  <si>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</si>
  <si>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</si>
  <si>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</si>
  <si>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</si>
  <si>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</si>
  <si>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</si>
  <si>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</si>
  <si>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</si>
  <si>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</si>
  <si>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</si>
  <si>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</si>
  <si>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</si>
  <si>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</si>
  <si>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</si>
  <si>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</si>
  <si>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</si>
  <si>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</si>
  <si>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</si>
  <si>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</si>
  <si>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</si>
  <si>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</si>
  <si>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</si>
  <si>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</si>
  <si>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</si>
  <si>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</si>
  <si>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</si>
  <si>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</si>
  <si>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</si>
  <si>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</si>
  <si>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</si>
  <si>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</si>
  <si>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</si>
  <si>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</si>
  <si>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</si>
  <si>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</si>
  <si>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</si>
  <si>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Ponto2</t>
  </si>
  <si>
    <t>Ponto3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</si>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</sst>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12</xdr:col>
      <xdr:colOff>419100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N24" sqref="N24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214</v>
      </c>
      <c r="U1" s="177" t="s">
        <v>214</v>
      </c>
      <c r="V1" s="177" t="s">
        <v>214</v>
      </c>
      <c r="W1" s="176">
        <v>10</v>
      </c>
      <c r="X1" s="178"/>
      <c r="Y1" s="178"/>
      <c r="AA1" s="176">
        <f>X1+Y1+Z1</f>
        <v>0</v>
      </c>
      <c r="AM1" s="176">
        <v>1</v>
      </c>
      <c r="AT1" s="176" t="s">
        <v>5</v>
      </c>
    </row>
    <row r="2" spans="8:46" x14ac:dyDescent="0.2">
      <c r="S2" s="177">
        <v>2</v>
      </c>
      <c r="T2" s="177" t="s">
        <v>125</v>
      </c>
      <c r="U2" s="177" t="s">
        <v>125</v>
      </c>
      <c r="V2" s="177" t="s">
        <v>125</v>
      </c>
      <c r="AM2" s="176">
        <v>2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126</v>
      </c>
      <c r="U3" s="177" t="s">
        <v>126</v>
      </c>
      <c r="V3" s="177" t="s">
        <v>126</v>
      </c>
      <c r="AM3" s="176">
        <v>3</v>
      </c>
      <c r="AT3" s="176" t="s">
        <v>6</v>
      </c>
    </row>
    <row r="4" spans="8:46" x14ac:dyDescent="0.2">
      <c r="S4" s="177">
        <v>4</v>
      </c>
      <c r="T4" s="177" t="s">
        <v>215</v>
      </c>
      <c r="U4" s="177" t="s">
        <v>215</v>
      </c>
      <c r="V4" s="177" t="s">
        <v>215</v>
      </c>
      <c r="X4" s="176" t="s">
        <v>96</v>
      </c>
      <c r="AM4" s="176">
        <v>4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216</v>
      </c>
      <c r="U5" s="177" t="s">
        <v>216</v>
      </c>
      <c r="V5" s="177" t="s">
        <v>216</v>
      </c>
      <c r="X5" s="176" t="s">
        <v>104</v>
      </c>
      <c r="Y5" s="176" t="s">
        <v>107</v>
      </c>
      <c r="Z5" s="176" t="s">
        <v>106</v>
      </c>
      <c r="AM5" s="176">
        <v>5</v>
      </c>
    </row>
    <row r="6" spans="8:46" x14ac:dyDescent="0.2">
      <c r="S6" s="177">
        <v>6</v>
      </c>
      <c r="T6" s="177" t="s">
        <v>217</v>
      </c>
      <c r="U6" s="177" t="s">
        <v>217</v>
      </c>
      <c r="V6" s="177" t="s">
        <v>217</v>
      </c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S7" s="177">
        <v>7</v>
      </c>
      <c r="T7" s="177" t="s">
        <v>218</v>
      </c>
      <c r="U7" s="177" t="s">
        <v>218</v>
      </c>
      <c r="V7" s="177" t="s">
        <v>218</v>
      </c>
      <c r="AM7" s="176">
        <v>7</v>
      </c>
    </row>
    <row r="8" spans="8:46" x14ac:dyDescent="0.2">
      <c r="S8" s="177">
        <v>8</v>
      </c>
      <c r="T8" s="177" t="s">
        <v>219</v>
      </c>
      <c r="U8" s="177" t="s">
        <v>219</v>
      </c>
      <c r="V8" s="177" t="s">
        <v>219</v>
      </c>
      <c r="AM8" s="176">
        <v>8</v>
      </c>
    </row>
    <row r="9" spans="8:46" x14ac:dyDescent="0.2">
      <c r="S9" s="177">
        <v>9</v>
      </c>
      <c r="T9" s="177" t="s">
        <v>220</v>
      </c>
      <c r="U9" s="177" t="s">
        <v>220</v>
      </c>
      <c r="V9" s="177" t="s">
        <v>220</v>
      </c>
      <c r="AM9" s="176">
        <v>9</v>
      </c>
    </row>
    <row r="10" spans="8:46" x14ac:dyDescent="0.2">
      <c r="S10" s="177">
        <v>10</v>
      </c>
      <c r="T10" s="177" t="s">
        <v>221</v>
      </c>
      <c r="U10" s="177" t="s">
        <v>221</v>
      </c>
      <c r="V10" s="177" t="s">
        <v>221</v>
      </c>
      <c r="AM10" s="176">
        <v>10</v>
      </c>
    </row>
    <row r="11" spans="8:46" x14ac:dyDescent="0.2">
      <c r="R11" s="176" t="s">
        <v>67</v>
      </c>
      <c r="S11" s="177">
        <v>1</v>
      </c>
      <c r="T11" s="177" t="b">
        <v>1</v>
      </c>
      <c r="U11" s="177" t="b">
        <v>1</v>
      </c>
      <c r="V11" s="177" t="b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E37" s="176" t="s">
        <v>67</v>
      </c>
      <c r="F37" s="176">
        <v>1</v>
      </c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F38" s="176">
        <v>2</v>
      </c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F39" s="176">
        <v>3</v>
      </c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F40" s="176">
        <v>4</v>
      </c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F41" s="176">
        <v>5</v>
      </c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F42" s="176">
        <v>6</v>
      </c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6">
        <v>7</v>
      </c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F44" s="176">
        <v>8</v>
      </c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6">
        <v>9</v>
      </c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F46" s="176">
        <v>10</v>
      </c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213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3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3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3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3" x14ac:dyDescent="0.2">
      <c r="S52" s="177">
        <v>5</v>
      </c>
      <c r="T52" s="177">
        <v>5</v>
      </c>
      <c r="U52" s="177">
        <v>5</v>
      </c>
      <c r="V52" s="177">
        <v>5</v>
      </c>
    </row>
    <row r="53" spans="17:33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3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3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125</v>
      </c>
      <c r="X55" s="176" t="s">
        <v>125</v>
      </c>
      <c r="Y55" s="176" t="s">
        <v>125</v>
      </c>
      <c r="AA55" s="176" t="s">
        <v>6</v>
      </c>
    </row>
    <row r="56" spans="17:33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17:33" x14ac:dyDescent="0.2">
      <c r="R57" s="176" t="s">
        <v>91</v>
      </c>
      <c r="S57" s="177">
        <v>0</v>
      </c>
      <c r="T57" s="177" t="s">
        <v>214</v>
      </c>
      <c r="U57" s="177" t="s">
        <v>214</v>
      </c>
      <c r="V57" s="177" t="s">
        <v>214</v>
      </c>
      <c r="W57" s="176" t="s">
        <v>126</v>
      </c>
      <c r="X57" s="176" t="s">
        <v>126</v>
      </c>
      <c r="Y57" s="176" t="s">
        <v>126</v>
      </c>
      <c r="Z57" s="176" t="s">
        <v>5</v>
      </c>
      <c r="AA57" s="176" t="s">
        <v>7</v>
      </c>
    </row>
    <row r="58" spans="17:33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3" x14ac:dyDescent="0.2">
      <c r="R59" s="176" t="s">
        <v>73</v>
      </c>
      <c r="S59" s="177">
        <v>0</v>
      </c>
      <c r="T59" s="177" t="s">
        <v>214</v>
      </c>
      <c r="U59" s="177" t="s">
        <v>214</v>
      </c>
      <c r="V59" s="177" t="s">
        <v>214</v>
      </c>
      <c r="AG59" s="176" t="s">
        <v>1</v>
      </c>
    </row>
    <row r="60" spans="17:33" x14ac:dyDescent="0.2">
      <c r="S60" s="177">
        <v>0</v>
      </c>
      <c r="T60" s="177">
        <v>1</v>
      </c>
      <c r="U60" s="177">
        <v>1</v>
      </c>
      <c r="V60" s="177">
        <v>1</v>
      </c>
    </row>
    <row r="61" spans="17:33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0</v>
      </c>
      <c r="Y61" s="180">
        <f>Diagrama!D6</f>
        <v>0</v>
      </c>
      <c r="Z61" s="180">
        <f>Diagrama!E6</f>
        <v>0</v>
      </c>
      <c r="AA61" s="180">
        <f>Diagrama!F6</f>
        <v>0</v>
      </c>
      <c r="AB61" s="180">
        <f>Diagrama!G6</f>
        <v>0</v>
      </c>
      <c r="AC61" s="180">
        <f>Diagrama!H6</f>
        <v>0</v>
      </c>
      <c r="AD61" s="180">
        <f>Diagrama!I6</f>
        <v>0</v>
      </c>
      <c r="AE61" s="180">
        <f>Diagrama!J6</f>
        <v>0</v>
      </c>
      <c r="AF61" s="180">
        <f>Diagrama!K6</f>
        <v>0</v>
      </c>
      <c r="AG61" s="180">
        <f>Diagrama!L6</f>
        <v>0</v>
      </c>
    </row>
    <row r="62" spans="17:33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0</v>
      </c>
      <c r="Y62" s="180">
        <f>Diagrama!D7</f>
        <v>0</v>
      </c>
      <c r="Z62" s="180">
        <f>Diagrama!E7</f>
        <v>0</v>
      </c>
      <c r="AA62" s="180">
        <f>Diagrama!F7</f>
        <v>0</v>
      </c>
      <c r="AB62" s="180">
        <f>Diagrama!G7</f>
        <v>0</v>
      </c>
      <c r="AC62" s="180">
        <f>Diagrama!H7</f>
        <v>0</v>
      </c>
      <c r="AD62" s="180">
        <f>Diagrama!I7</f>
        <v>0</v>
      </c>
      <c r="AE62" s="180">
        <f>Diagrama!J7</f>
        <v>0</v>
      </c>
      <c r="AF62" s="180">
        <f>Diagrama!K7</f>
        <v>0</v>
      </c>
      <c r="AG62" s="180">
        <f>Diagrama!L7</f>
        <v>0</v>
      </c>
    </row>
    <row r="63" spans="17:33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0</v>
      </c>
      <c r="Y63" s="180">
        <f>Diagrama!D8</f>
        <v>0</v>
      </c>
      <c r="Z63" s="180">
        <f>Diagrama!E8</f>
        <v>0</v>
      </c>
      <c r="AA63" s="180">
        <f>Diagrama!F8</f>
        <v>0</v>
      </c>
      <c r="AB63" s="180">
        <f>Diagrama!G8</f>
        <v>0</v>
      </c>
      <c r="AC63" s="180">
        <f>Diagrama!H8</f>
        <v>0</v>
      </c>
      <c r="AD63" s="180">
        <f>Diagrama!I8</f>
        <v>0</v>
      </c>
      <c r="AE63" s="180">
        <f>Diagrama!J8</f>
        <v>0</v>
      </c>
      <c r="AF63" s="180">
        <f>Diagrama!K8</f>
        <v>0</v>
      </c>
      <c r="AG63" s="180">
        <f>Diagrama!L8</f>
        <v>0</v>
      </c>
    </row>
    <row r="64" spans="17:33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0</v>
      </c>
      <c r="Y64" s="180">
        <f>Diagrama!D9</f>
        <v>0</v>
      </c>
      <c r="Z64" s="180">
        <f>Diagrama!E9</f>
        <v>0</v>
      </c>
      <c r="AA64" s="180">
        <f>Diagrama!F9</f>
        <v>0</v>
      </c>
      <c r="AB64" s="180">
        <f>Diagrama!G9</f>
        <v>0</v>
      </c>
      <c r="AC64" s="180">
        <f>Diagrama!H9</f>
        <v>0</v>
      </c>
      <c r="AD64" s="180">
        <f>Diagrama!I9</f>
        <v>0</v>
      </c>
      <c r="AE64" s="180">
        <f>Diagrama!J9</f>
        <v>0</v>
      </c>
      <c r="AF64" s="180">
        <f>Diagrama!K9</f>
        <v>0</v>
      </c>
      <c r="AG64" s="180">
        <f>Diagrama!L9</f>
        <v>0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0</v>
      </c>
      <c r="Y65" s="183">
        <f>Diagrama!D20</f>
        <v>0</v>
      </c>
      <c r="Z65" s="183">
        <f>Diagrama!E20</f>
        <v>0</v>
      </c>
      <c r="AA65" s="183">
        <f>Diagrama!F20</f>
        <v>0</v>
      </c>
      <c r="AB65" s="183">
        <f>Diagrama!G20</f>
        <v>0</v>
      </c>
      <c r="AC65" s="183">
        <f>Diagrama!H20</f>
        <v>0</v>
      </c>
      <c r="AD65" s="183">
        <f>Diagrama!I20</f>
        <v>0</v>
      </c>
      <c r="AE65" s="183">
        <f>Diagrama!J20</f>
        <v>0</v>
      </c>
      <c r="AF65" s="183">
        <f>Diagrama!K20</f>
        <v>0</v>
      </c>
      <c r="AG65" s="183">
        <f>Diagrama!L20</f>
        <v>0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</v>
      </c>
      <c r="Y66" s="183">
        <f>Diagrama!D21</f>
        <v>0</v>
      </c>
      <c r="Z66" s="183">
        <f>Diagrama!E21</f>
        <v>0</v>
      </c>
      <c r="AA66" s="183">
        <f>Diagrama!F21</f>
        <v>0</v>
      </c>
      <c r="AB66" s="183">
        <f>Diagrama!G21</f>
        <v>0</v>
      </c>
      <c r="AC66" s="183">
        <f>Diagrama!H21</f>
        <v>0</v>
      </c>
      <c r="AD66" s="183">
        <f>Diagrama!I21</f>
        <v>0</v>
      </c>
      <c r="AE66" s="183">
        <f>Diagrama!J21</f>
        <v>0</v>
      </c>
      <c r="AF66" s="183">
        <f>Diagrama!K21</f>
        <v>0</v>
      </c>
      <c r="AG66" s="183">
        <f>Diagrama!L21</f>
        <v>0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0</v>
      </c>
      <c r="Y67" s="183">
        <f>Diagrama!D22</f>
        <v>0</v>
      </c>
      <c r="Z67" s="183">
        <f>Diagrama!E22</f>
        <v>0</v>
      </c>
      <c r="AA67" s="183">
        <f>Diagrama!F22</f>
        <v>0</v>
      </c>
      <c r="AB67" s="183">
        <f>Diagrama!G22</f>
        <v>0</v>
      </c>
      <c r="AC67" s="183">
        <f>Diagrama!H22</f>
        <v>0</v>
      </c>
      <c r="AD67" s="183">
        <f>Diagrama!I22</f>
        <v>0</v>
      </c>
      <c r="AE67" s="183">
        <f>Diagrama!J22</f>
        <v>0</v>
      </c>
      <c r="AF67" s="183">
        <f>Diagrama!K22</f>
        <v>0</v>
      </c>
      <c r="AG67" s="183">
        <f>Diagrama!L22</f>
        <v>0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</v>
      </c>
      <c r="Y68" s="183">
        <f>Diagrama!D23</f>
        <v>0</v>
      </c>
      <c r="Z68" s="183">
        <f>Diagrama!E23</f>
        <v>0</v>
      </c>
      <c r="AA68" s="183">
        <f>Diagrama!F23</f>
        <v>0</v>
      </c>
      <c r="AB68" s="183">
        <f>Diagrama!G23</f>
        <v>0</v>
      </c>
      <c r="AC68" s="183">
        <f>Diagrama!H23</f>
        <v>0</v>
      </c>
      <c r="AD68" s="183">
        <f>Diagrama!I23</f>
        <v>0</v>
      </c>
      <c r="AE68" s="183">
        <f>Diagrama!J23</f>
        <v>0</v>
      </c>
      <c r="AF68" s="183">
        <f>Diagrama!K23</f>
        <v>0</v>
      </c>
      <c r="AG68" s="183">
        <f>Diagrama!L23</f>
        <v>0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 t="e">
        <f t="shared" si="0"/>
        <v>#DIV/0!</v>
      </c>
      <c r="Y69" s="185" t="e">
        <f t="shared" si="0"/>
        <v>#DIV/0!</v>
      </c>
      <c r="Z69" s="185" t="e">
        <f t="shared" si="0"/>
        <v>#DIV/0!</v>
      </c>
      <c r="AA69" s="185" t="e">
        <f t="shared" si="0"/>
        <v>#DIV/0!</v>
      </c>
      <c r="AB69" s="185" t="e">
        <f t="shared" si="0"/>
        <v>#DIV/0!</v>
      </c>
      <c r="AC69" s="185" t="e">
        <f>100*AC61/AC64</f>
        <v>#DIV/0!</v>
      </c>
      <c r="AD69" s="185" t="e">
        <f>100*AD61/AD64</f>
        <v>#DIV/0!</v>
      </c>
      <c r="AE69" s="185" t="e">
        <f>100*AE61/AE64</f>
        <v>#DIV/0!</v>
      </c>
      <c r="AF69" s="185" t="e">
        <f>100*AF61/AF64</f>
        <v>#DIV/0!</v>
      </c>
      <c r="AG69" s="185" t="e">
        <f>100*AG61/AG64</f>
        <v>#DIV/0!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18:33" x14ac:dyDescent="0.2">
      <c r="T73" s="186"/>
      <c r="W73" s="178">
        <v>0</v>
      </c>
    </row>
    <row r="74" spans="18:33" x14ac:dyDescent="0.2">
      <c r="T74" s="186"/>
      <c r="W74" s="178">
        <v>0.75</v>
      </c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504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214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214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214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125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125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125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126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126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126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215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215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215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216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216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216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217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217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217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218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218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218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219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219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219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220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220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220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221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221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221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222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222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222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223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223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223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224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224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224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127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127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127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128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128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128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129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129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129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130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130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130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131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131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131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132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132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132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133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133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133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134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134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134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135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135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135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136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136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136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137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137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137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138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138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138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139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139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139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140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140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140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141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141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141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142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142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142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143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143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143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144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144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144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145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145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145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146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146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146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147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147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147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148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148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148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149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149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149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150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150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150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151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151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151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152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152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152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153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153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153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154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154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154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155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155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155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156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156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156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157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157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157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158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158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158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159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159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159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160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160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160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161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161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161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162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162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162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163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163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163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164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164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164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165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165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165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166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166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166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167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167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167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168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168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168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169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169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169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170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170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170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171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171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171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172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172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172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173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173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173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174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174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174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175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175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175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176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176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176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177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177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177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178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178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178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179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179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179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180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180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180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181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181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181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182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182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182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183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183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183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184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184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184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185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185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185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186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186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186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187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187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187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188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188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188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189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189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189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190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190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190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191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191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191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192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192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192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193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193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193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194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194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194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195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195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195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196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196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196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197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197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197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198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198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198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199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199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199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200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200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200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201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201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201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202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202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202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203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203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203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204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204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204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205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205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205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206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206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206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207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207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207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208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208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208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209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209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209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210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210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210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211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211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211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212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212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212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02" sqref="B3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214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125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126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215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216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217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218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219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220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221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222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223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224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127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128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129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130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131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132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133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134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135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136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137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138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139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140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141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142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143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144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145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146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147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148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149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150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151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152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153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154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155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156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157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158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159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160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161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162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163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164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165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166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167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168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169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170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171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172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173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174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175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176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177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178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179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180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181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182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183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184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185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186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187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188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189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190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191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192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193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194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195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196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197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198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199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200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201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202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203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204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205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206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207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208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209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210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211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212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/>
      <c r="C305" s="198" t="s">
        <v>118</v>
      </c>
      <c r="D305" s="199"/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/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/>
    </row>
    <row r="308" spans="1:4" ht="13.5" x14ac:dyDescent="0.25">
      <c r="A308" s="202">
        <v>103</v>
      </c>
      <c r="B308" s="191"/>
      <c r="C308" s="198" t="s">
        <v>118</v>
      </c>
      <c r="D308" s="199"/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/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/>
    </row>
    <row r="311" spans="1:4" ht="13.5" x14ac:dyDescent="0.25">
      <c r="A311" s="202">
        <v>104</v>
      </c>
      <c r="B311" s="191"/>
      <c r="C311" s="198" t="s">
        <v>118</v>
      </c>
      <c r="D311" s="199"/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/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/>
    </row>
    <row r="314" spans="1:4" ht="13.5" x14ac:dyDescent="0.25">
      <c r="A314" s="202">
        <v>105</v>
      </c>
      <c r="B314" s="191"/>
      <c r="C314" s="198" t="s">
        <v>118</v>
      </c>
      <c r="D314" s="199"/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/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/>
    </row>
    <row r="317" spans="1:4" ht="13.5" x14ac:dyDescent="0.25">
      <c r="A317" s="202">
        <v>106</v>
      </c>
      <c r="B317" s="191"/>
      <c r="C317" s="198" t="s">
        <v>118</v>
      </c>
      <c r="D317" s="199"/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/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/>
    </row>
    <row r="320" spans="1:4" ht="13.5" x14ac:dyDescent="0.25">
      <c r="A320" s="202">
        <v>107</v>
      </c>
      <c r="B320" s="191"/>
      <c r="C320" s="198" t="s">
        <v>118</v>
      </c>
      <c r="D320" s="199"/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/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/>
    </row>
    <row r="323" spans="1:4" ht="13.5" x14ac:dyDescent="0.25">
      <c r="A323" s="202">
        <v>108</v>
      </c>
      <c r="B323" s="191"/>
      <c r="C323" s="198" t="s">
        <v>118</v>
      </c>
      <c r="D323" s="199"/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/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/>
    </row>
    <row r="326" spans="1:4" ht="13.5" x14ac:dyDescent="0.25">
      <c r="A326" s="202">
        <v>109</v>
      </c>
      <c r="B326" s="191"/>
      <c r="C326" s="198" t="s">
        <v>118</v>
      </c>
      <c r="D326" s="199"/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/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/>
    </row>
    <row r="329" spans="1:4" ht="13.5" x14ac:dyDescent="0.25">
      <c r="A329" s="202">
        <v>110</v>
      </c>
      <c r="B329" s="191"/>
      <c r="C329" s="198" t="s">
        <v>118</v>
      </c>
      <c r="D329" s="199"/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/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/>
    </row>
    <row r="332" spans="1:4" ht="13.5" x14ac:dyDescent="0.25">
      <c r="A332" s="202">
        <v>111</v>
      </c>
      <c r="B332" s="191"/>
      <c r="C332" s="198" t="s">
        <v>118</v>
      </c>
      <c r="D332" s="199"/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/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/>
    </row>
    <row r="335" spans="1:4" ht="13.5" x14ac:dyDescent="0.25">
      <c r="A335" s="202">
        <v>112</v>
      </c>
      <c r="B335" s="191"/>
      <c r="C335" s="198" t="s">
        <v>118</v>
      </c>
      <c r="D335" s="199"/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/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/>
    </row>
    <row r="338" spans="1:4" ht="13.5" x14ac:dyDescent="0.25">
      <c r="A338" s="202">
        <v>113</v>
      </c>
      <c r="B338" s="191"/>
      <c r="C338" s="198" t="s">
        <v>118</v>
      </c>
      <c r="D338" s="199"/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/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/>
    </row>
    <row r="341" spans="1:4" ht="13.5" x14ac:dyDescent="0.25">
      <c r="A341" s="202">
        <v>114</v>
      </c>
      <c r="B341" s="191"/>
      <c r="C341" s="198" t="s">
        <v>118</v>
      </c>
      <c r="D341" s="199"/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/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/>
    </row>
    <row r="344" spans="1:4" ht="13.5" x14ac:dyDescent="0.25">
      <c r="A344" s="202">
        <v>115</v>
      </c>
      <c r="B344" s="191"/>
      <c r="C344" s="198" t="s">
        <v>118</v>
      </c>
      <c r="D344" s="199"/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/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/>
    </row>
    <row r="347" spans="1:4" ht="13.5" x14ac:dyDescent="0.25">
      <c r="A347" s="202">
        <v>116</v>
      </c>
      <c r="B347" s="191"/>
      <c r="C347" s="198" t="s">
        <v>118</v>
      </c>
      <c r="D347" s="199"/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/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/>
    </row>
    <row r="350" spans="1:4" ht="13.5" x14ac:dyDescent="0.25">
      <c r="A350" s="202">
        <v>117</v>
      </c>
      <c r="B350" s="191"/>
      <c r="C350" s="198" t="s">
        <v>118</v>
      </c>
      <c r="D350" s="199"/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/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/>
    </row>
    <row r="353" spans="1:4" ht="13.5" x14ac:dyDescent="0.25">
      <c r="A353" s="202">
        <v>118</v>
      </c>
      <c r="B353" s="191"/>
      <c r="C353" s="198" t="s">
        <v>118</v>
      </c>
      <c r="D353" s="199"/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/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/>
    </row>
    <row r="356" spans="1:4" ht="13.5" x14ac:dyDescent="0.25">
      <c r="A356" s="202">
        <v>119</v>
      </c>
      <c r="B356" s="191"/>
      <c r="C356" s="198" t="s">
        <v>118</v>
      </c>
      <c r="D356" s="199"/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/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/>
    </row>
    <row r="359" spans="1:4" ht="13.5" x14ac:dyDescent="0.25">
      <c r="A359" s="202">
        <v>120</v>
      </c>
      <c r="B359" s="191"/>
      <c r="C359" s="198" t="s">
        <v>118</v>
      </c>
      <c r="D359" s="199"/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/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/>
    </row>
    <row r="362" spans="1:4" ht="13.5" x14ac:dyDescent="0.25">
      <c r="A362" s="202">
        <v>121</v>
      </c>
      <c r="B362" s="191"/>
      <c r="C362" s="198" t="s">
        <v>118</v>
      </c>
      <c r="D362" s="199"/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/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/>
    </row>
    <row r="365" spans="1:4" ht="13.5" x14ac:dyDescent="0.25">
      <c r="A365" s="202">
        <v>122</v>
      </c>
      <c r="B365" s="191"/>
      <c r="C365" s="198" t="s">
        <v>118</v>
      </c>
      <c r="D365" s="199"/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/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/>
    </row>
    <row r="368" spans="1:4" ht="13.5" x14ac:dyDescent="0.25">
      <c r="A368" s="202">
        <v>123</v>
      </c>
      <c r="B368" s="191"/>
      <c r="C368" s="198" t="s">
        <v>118</v>
      </c>
      <c r="D368" s="199"/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/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/>
    </row>
    <row r="371" spans="1:4" ht="13.5" x14ac:dyDescent="0.25">
      <c r="A371" s="202">
        <v>124</v>
      </c>
      <c r="B371" s="191"/>
      <c r="C371" s="198" t="s">
        <v>118</v>
      </c>
      <c r="D371" s="199"/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/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/>
    </row>
    <row r="374" spans="1:4" ht="13.5" x14ac:dyDescent="0.25">
      <c r="A374" s="202">
        <v>125</v>
      </c>
      <c r="B374" s="191"/>
      <c r="C374" s="198" t="s">
        <v>118</v>
      </c>
      <c r="D374" s="199"/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/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/>
    </row>
    <row r="377" spans="1:4" ht="13.5" x14ac:dyDescent="0.25">
      <c r="A377" s="202">
        <v>126</v>
      </c>
      <c r="B377" s="191"/>
      <c r="C377" s="198" t="s">
        <v>118</v>
      </c>
      <c r="D377" s="199"/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/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/>
    </row>
    <row r="380" spans="1:4" ht="13.5" x14ac:dyDescent="0.25">
      <c r="A380" s="202">
        <v>127</v>
      </c>
      <c r="B380" s="191"/>
      <c r="C380" s="198" t="s">
        <v>118</v>
      </c>
      <c r="D380" s="199"/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/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/>
    </row>
    <row r="383" spans="1:4" ht="13.5" x14ac:dyDescent="0.25">
      <c r="A383" s="202">
        <v>128</v>
      </c>
      <c r="B383" s="191"/>
      <c r="C383" s="198" t="s">
        <v>118</v>
      </c>
      <c r="D383" s="199"/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/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/>
    </row>
    <row r="386" spans="1:4" ht="13.5" x14ac:dyDescent="0.25">
      <c r="A386" s="202">
        <v>129</v>
      </c>
      <c r="B386" s="191"/>
      <c r="C386" s="198" t="s">
        <v>118</v>
      </c>
      <c r="D386" s="199"/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/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/>
    </row>
    <row r="389" spans="1:4" ht="13.5" x14ac:dyDescent="0.25">
      <c r="A389" s="202">
        <v>130</v>
      </c>
      <c r="B389" s="191"/>
      <c r="C389" s="198" t="s">
        <v>118</v>
      </c>
      <c r="D389" s="199"/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/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/>
    </row>
    <row r="392" spans="1:4" ht="13.5" x14ac:dyDescent="0.25">
      <c r="A392" s="202">
        <v>131</v>
      </c>
      <c r="B392" s="191"/>
      <c r="C392" s="198" t="s">
        <v>118</v>
      </c>
      <c r="D392" s="199"/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/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/>
    </row>
    <row r="395" spans="1:4" ht="13.5" x14ac:dyDescent="0.25">
      <c r="A395" s="202">
        <v>132</v>
      </c>
      <c r="B395" s="191"/>
      <c r="C395" s="198" t="s">
        <v>118</v>
      </c>
      <c r="D395" s="199"/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/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/>
    </row>
    <row r="398" spans="1:4" ht="13.5" x14ac:dyDescent="0.25">
      <c r="A398" s="202">
        <v>133</v>
      </c>
      <c r="B398" s="191"/>
      <c r="C398" s="198" t="s">
        <v>118</v>
      </c>
      <c r="D398" s="199"/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/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/>
    </row>
    <row r="401" spans="1:4" ht="13.5" x14ac:dyDescent="0.25">
      <c r="A401" s="202">
        <v>134</v>
      </c>
      <c r="B401" s="191"/>
      <c r="C401" s="198" t="s">
        <v>118</v>
      </c>
      <c r="D401" s="199"/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/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/>
    </row>
    <row r="404" spans="1:4" ht="13.5" x14ac:dyDescent="0.25">
      <c r="A404" s="202">
        <v>135</v>
      </c>
      <c r="B404" s="191"/>
      <c r="C404" s="198" t="s">
        <v>118</v>
      </c>
      <c r="D404" s="199"/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/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/>
    </row>
    <row r="407" spans="1:4" ht="13.5" x14ac:dyDescent="0.25">
      <c r="A407" s="202">
        <v>136</v>
      </c>
      <c r="B407" s="191"/>
      <c r="C407" s="198" t="s">
        <v>118</v>
      </c>
      <c r="D407" s="199"/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/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/>
    </row>
    <row r="410" spans="1:4" ht="13.5" x14ac:dyDescent="0.25">
      <c r="A410" s="202">
        <v>137</v>
      </c>
      <c r="B410" s="191"/>
      <c r="C410" s="198" t="s">
        <v>118</v>
      </c>
      <c r="D410" s="199"/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/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/>
    </row>
    <row r="413" spans="1:4" ht="13.5" x14ac:dyDescent="0.25">
      <c r="A413" s="202">
        <v>138</v>
      </c>
      <c r="B413" s="191"/>
      <c r="C413" s="198" t="s">
        <v>118</v>
      </c>
      <c r="D413" s="199"/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/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/>
    </row>
    <row r="416" spans="1:4" ht="13.5" x14ac:dyDescent="0.25">
      <c r="A416" s="202">
        <v>139</v>
      </c>
      <c r="B416" s="191"/>
      <c r="C416" s="198" t="s">
        <v>118</v>
      </c>
      <c r="D416" s="199"/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/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/>
    </row>
    <row r="419" spans="1:4" ht="13.5" x14ac:dyDescent="0.25">
      <c r="A419" s="202">
        <v>140</v>
      </c>
      <c r="B419" s="191"/>
      <c r="C419" s="198" t="s">
        <v>118</v>
      </c>
      <c r="D419" s="199"/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/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/>
    </row>
    <row r="422" spans="1:4" ht="13.5" x14ac:dyDescent="0.25">
      <c r="A422" s="202">
        <v>141</v>
      </c>
      <c r="B422" s="191"/>
      <c r="C422" s="198" t="s">
        <v>118</v>
      </c>
      <c r="D422" s="199"/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/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/>
    </row>
    <row r="425" spans="1:4" ht="13.5" x14ac:dyDescent="0.25">
      <c r="A425" s="202">
        <v>142</v>
      </c>
      <c r="B425" s="191"/>
      <c r="C425" s="198" t="s">
        <v>118</v>
      </c>
      <c r="D425" s="199"/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/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/>
    </row>
    <row r="428" spans="1:4" ht="13.5" x14ac:dyDescent="0.25">
      <c r="A428" s="202">
        <v>143</v>
      </c>
      <c r="B428" s="191"/>
      <c r="C428" s="198" t="s">
        <v>118</v>
      </c>
      <c r="D428" s="199"/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/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/>
    </row>
    <row r="431" spans="1:4" ht="13.5" x14ac:dyDescent="0.25">
      <c r="A431" s="202">
        <v>144</v>
      </c>
      <c r="B431" s="191"/>
      <c r="C431" s="198" t="s">
        <v>118</v>
      </c>
      <c r="D431" s="199"/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/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/>
    </row>
    <row r="434" spans="1:4" ht="13.5" x14ac:dyDescent="0.25">
      <c r="A434" s="202">
        <v>145</v>
      </c>
      <c r="B434" s="191"/>
      <c r="C434" s="198" t="s">
        <v>118</v>
      </c>
      <c r="D434" s="199"/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/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/>
    </row>
    <row r="437" spans="1:4" ht="13.5" x14ac:dyDescent="0.25">
      <c r="A437" s="202">
        <v>146</v>
      </c>
      <c r="B437" s="191"/>
      <c r="C437" s="198" t="s">
        <v>118</v>
      </c>
      <c r="D437" s="199"/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/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/>
    </row>
    <row r="440" spans="1:4" ht="13.5" x14ac:dyDescent="0.25">
      <c r="A440" s="202">
        <v>147</v>
      </c>
      <c r="B440" s="191"/>
      <c r="C440" s="198" t="s">
        <v>118</v>
      </c>
      <c r="D440" s="199"/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/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/>
    </row>
    <row r="443" spans="1:4" ht="13.5" x14ac:dyDescent="0.25">
      <c r="A443" s="202">
        <v>148</v>
      </c>
      <c r="B443" s="191"/>
      <c r="C443" s="198" t="s">
        <v>118</v>
      </c>
      <c r="D443" s="199"/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/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/>
    </row>
    <row r="446" spans="1:4" ht="13.5" x14ac:dyDescent="0.25">
      <c r="A446" s="202">
        <v>149</v>
      </c>
      <c r="B446" s="191"/>
      <c r="C446" s="198" t="s">
        <v>118</v>
      </c>
      <c r="D446" s="199"/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/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/>
    </row>
    <row r="449" spans="1:4" ht="13.5" x14ac:dyDescent="0.25">
      <c r="A449" s="202">
        <v>150</v>
      </c>
      <c r="B449" s="191"/>
      <c r="C449" s="198" t="s">
        <v>118</v>
      </c>
      <c r="D449" s="199"/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/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/>
    </row>
    <row r="452" spans="1:4" ht="13.5" x14ac:dyDescent="0.25">
      <c r="A452" s="202">
        <v>151</v>
      </c>
      <c r="B452" s="191"/>
      <c r="C452" s="198" t="s">
        <v>118</v>
      </c>
      <c r="D452" s="199"/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/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/>
    </row>
    <row r="455" spans="1:4" ht="13.5" x14ac:dyDescent="0.25">
      <c r="A455" s="202">
        <v>152</v>
      </c>
      <c r="B455" s="191"/>
      <c r="C455" s="198" t="s">
        <v>118</v>
      </c>
      <c r="D455" s="199"/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/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/>
    </row>
    <row r="458" spans="1:4" ht="13.5" x14ac:dyDescent="0.25">
      <c r="A458" s="202">
        <v>153</v>
      </c>
      <c r="B458" s="191"/>
      <c r="C458" s="198" t="s">
        <v>118</v>
      </c>
      <c r="D458" s="199"/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/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/>
    </row>
    <row r="461" spans="1:4" ht="13.5" x14ac:dyDescent="0.25">
      <c r="A461" s="202">
        <v>154</v>
      </c>
      <c r="B461" s="191"/>
      <c r="C461" s="198" t="s">
        <v>118</v>
      </c>
      <c r="D461" s="199"/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/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/>
    </row>
    <row r="464" spans="1:4" ht="13.5" x14ac:dyDescent="0.25">
      <c r="A464" s="202">
        <v>155</v>
      </c>
      <c r="B464" s="191"/>
      <c r="C464" s="198" t="s">
        <v>118</v>
      </c>
      <c r="D464" s="199"/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/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/>
    </row>
    <row r="467" spans="1:4" ht="13.5" x14ac:dyDescent="0.25">
      <c r="A467" s="202">
        <v>156</v>
      </c>
      <c r="B467" s="191"/>
      <c r="C467" s="198" t="s">
        <v>118</v>
      </c>
      <c r="D467" s="199"/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/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/>
    </row>
    <row r="470" spans="1:4" ht="13.5" x14ac:dyDescent="0.25">
      <c r="A470" s="202">
        <v>157</v>
      </c>
      <c r="B470" s="191"/>
      <c r="C470" s="198" t="s">
        <v>118</v>
      </c>
      <c r="D470" s="199"/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/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/>
    </row>
    <row r="473" spans="1:4" ht="13.5" x14ac:dyDescent="0.25">
      <c r="A473" s="202">
        <v>158</v>
      </c>
      <c r="B473" s="191"/>
      <c r="C473" s="198" t="s">
        <v>118</v>
      </c>
      <c r="D473" s="199"/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/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/>
    </row>
    <row r="476" spans="1:4" ht="13.5" x14ac:dyDescent="0.25">
      <c r="A476" s="202">
        <v>159</v>
      </c>
      <c r="B476" s="191"/>
      <c r="C476" s="198" t="s">
        <v>118</v>
      </c>
      <c r="D476" s="199"/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/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/>
    </row>
    <row r="479" spans="1:4" ht="13.5" x14ac:dyDescent="0.25">
      <c r="A479" s="202">
        <v>160</v>
      </c>
      <c r="B479" s="191"/>
      <c r="C479" s="198" t="s">
        <v>118</v>
      </c>
      <c r="D479" s="199"/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/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/>
    </row>
    <row r="482" spans="1:4" ht="13.5" x14ac:dyDescent="0.25">
      <c r="A482" s="202">
        <v>161</v>
      </c>
      <c r="B482" s="191"/>
      <c r="C482" s="198" t="s">
        <v>118</v>
      </c>
      <c r="D482" s="199"/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/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/>
    </row>
    <row r="485" spans="1:4" ht="13.5" x14ac:dyDescent="0.25">
      <c r="A485" s="202">
        <v>162</v>
      </c>
      <c r="B485" s="191"/>
      <c r="C485" s="198" t="s">
        <v>118</v>
      </c>
      <c r="D485" s="199"/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/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/>
    </row>
    <row r="488" spans="1:4" ht="13.5" x14ac:dyDescent="0.25">
      <c r="A488" s="202">
        <v>163</v>
      </c>
      <c r="B488" s="191"/>
      <c r="C488" s="198" t="s">
        <v>118</v>
      </c>
      <c r="D488" s="199"/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/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/>
    </row>
    <row r="491" spans="1:4" ht="13.5" x14ac:dyDescent="0.25">
      <c r="A491" s="202">
        <v>164</v>
      </c>
      <c r="B491" s="191"/>
      <c r="C491" s="198" t="s">
        <v>118</v>
      </c>
      <c r="D491" s="199"/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/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/>
    </row>
    <row r="494" spans="1:4" ht="13.5" x14ac:dyDescent="0.25">
      <c r="A494" s="202">
        <v>165</v>
      </c>
      <c r="B494" s="191"/>
      <c r="C494" s="198" t="s">
        <v>118</v>
      </c>
      <c r="D494" s="199"/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/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/>
    </row>
    <row r="497" spans="1:4" ht="13.5" x14ac:dyDescent="0.25">
      <c r="A497" s="202">
        <v>166</v>
      </c>
      <c r="B497" s="191"/>
      <c r="C497" s="198" t="s">
        <v>118</v>
      </c>
      <c r="D497" s="199"/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/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/>
    </row>
    <row r="500" spans="1:4" ht="13.5" x14ac:dyDescent="0.25">
      <c r="A500" s="202">
        <v>167</v>
      </c>
      <c r="B500" s="191"/>
      <c r="C500" s="198" t="s">
        <v>118</v>
      </c>
      <c r="D500" s="199"/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/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/>
    </row>
    <row r="503" spans="1:4" ht="13.5" x14ac:dyDescent="0.25">
      <c r="A503" s="202">
        <v>168</v>
      </c>
      <c r="B503" s="191"/>
      <c r="C503" s="198" t="s">
        <v>118</v>
      </c>
      <c r="D503" s="199"/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/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/>
    </row>
    <row r="506" spans="1:4" ht="13.5" x14ac:dyDescent="0.25">
      <c r="A506" s="202">
        <v>169</v>
      </c>
      <c r="B506" s="191"/>
      <c r="C506" s="198" t="s">
        <v>118</v>
      </c>
      <c r="D506" s="199"/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/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/>
    </row>
    <row r="509" spans="1:4" ht="13.5" x14ac:dyDescent="0.25">
      <c r="A509" s="202">
        <v>170</v>
      </c>
      <c r="B509" s="191"/>
      <c r="C509" s="198" t="s">
        <v>118</v>
      </c>
      <c r="D509" s="199"/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/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/>
    </row>
    <row r="512" spans="1:4" ht="13.5" x14ac:dyDescent="0.25">
      <c r="A512" s="202">
        <v>171</v>
      </c>
      <c r="B512" s="191"/>
      <c r="C512" s="198" t="s">
        <v>118</v>
      </c>
      <c r="D512" s="199"/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/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/>
    </row>
    <row r="515" spans="1:4" ht="13.5" x14ac:dyDescent="0.25">
      <c r="A515" s="202">
        <v>172</v>
      </c>
      <c r="B515" s="191"/>
      <c r="C515" s="198" t="s">
        <v>118</v>
      </c>
      <c r="D515" s="199"/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/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/>
    </row>
    <row r="518" spans="1:4" ht="13.5" x14ac:dyDescent="0.25">
      <c r="A518" s="202">
        <v>173</v>
      </c>
      <c r="B518" s="191"/>
      <c r="C518" s="198" t="s">
        <v>118</v>
      </c>
      <c r="D518" s="199"/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/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/>
    </row>
    <row r="521" spans="1:4" ht="13.5" x14ac:dyDescent="0.25">
      <c r="A521" s="202">
        <v>174</v>
      </c>
      <c r="B521" s="191"/>
      <c r="C521" s="198" t="s">
        <v>118</v>
      </c>
      <c r="D521" s="199"/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/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/>
    </row>
    <row r="524" spans="1:4" ht="13.5" x14ac:dyDescent="0.25">
      <c r="A524" s="202">
        <v>175</v>
      </c>
      <c r="B524" s="191"/>
      <c r="C524" s="198" t="s">
        <v>118</v>
      </c>
      <c r="D524" s="199"/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/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/>
    </row>
    <row r="527" spans="1:4" ht="13.5" x14ac:dyDescent="0.25">
      <c r="A527" s="202">
        <v>176</v>
      </c>
      <c r="B527" s="191"/>
      <c r="C527" s="198" t="s">
        <v>118</v>
      </c>
      <c r="D527" s="199"/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/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/>
    </row>
    <row r="530" spans="1:4" ht="13.5" x14ac:dyDescent="0.25">
      <c r="A530" s="202">
        <v>177</v>
      </c>
      <c r="B530" s="191"/>
      <c r="C530" s="198" t="s">
        <v>118</v>
      </c>
      <c r="D530" s="199"/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/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/>
    </row>
    <row r="533" spans="1:4" ht="13.5" x14ac:dyDescent="0.25">
      <c r="A533" s="202">
        <v>178</v>
      </c>
      <c r="B533" s="191"/>
      <c r="C533" s="198" t="s">
        <v>118</v>
      </c>
      <c r="D533" s="199"/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/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/>
    </row>
    <row r="536" spans="1:4" ht="13.5" x14ac:dyDescent="0.25">
      <c r="A536" s="202">
        <v>179</v>
      </c>
      <c r="B536" s="191"/>
      <c r="C536" s="198" t="s">
        <v>118</v>
      </c>
      <c r="D536" s="199"/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/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/>
    </row>
    <row r="539" spans="1:4" ht="13.5" x14ac:dyDescent="0.25">
      <c r="A539" s="202">
        <v>180</v>
      </c>
      <c r="B539" s="191"/>
      <c r="C539" s="198" t="s">
        <v>118</v>
      </c>
      <c r="D539" s="199"/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/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/>
    </row>
    <row r="542" spans="1:4" ht="13.5" x14ac:dyDescent="0.25">
      <c r="A542" s="202">
        <v>181</v>
      </c>
      <c r="B542" s="191"/>
      <c r="C542" s="198" t="s">
        <v>118</v>
      </c>
      <c r="D542" s="199"/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/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/>
    </row>
    <row r="545" spans="1:4" ht="13.5" x14ac:dyDescent="0.25">
      <c r="A545" s="202">
        <v>182</v>
      </c>
      <c r="B545" s="191"/>
      <c r="C545" s="198" t="s">
        <v>118</v>
      </c>
      <c r="D545" s="199"/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/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/>
    </row>
    <row r="548" spans="1:4" ht="13.5" x14ac:dyDescent="0.25">
      <c r="A548" s="202">
        <v>183</v>
      </c>
      <c r="B548" s="191"/>
      <c r="C548" s="198" t="s">
        <v>118</v>
      </c>
      <c r="D548" s="199"/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/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/>
    </row>
    <row r="551" spans="1:4" ht="13.5" x14ac:dyDescent="0.25">
      <c r="A551" s="202">
        <v>184</v>
      </c>
      <c r="B551" s="191"/>
      <c r="C551" s="198" t="s">
        <v>118</v>
      </c>
      <c r="D551" s="199"/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/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/>
    </row>
    <row r="554" spans="1:4" ht="13.5" x14ac:dyDescent="0.25">
      <c r="A554" s="202">
        <v>185</v>
      </c>
      <c r="B554" s="191"/>
      <c r="C554" s="198" t="s">
        <v>118</v>
      </c>
      <c r="D554" s="199"/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/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/>
    </row>
    <row r="557" spans="1:4" ht="13.5" x14ac:dyDescent="0.25">
      <c r="A557" s="202">
        <v>186</v>
      </c>
      <c r="B557" s="191"/>
      <c r="C557" s="198" t="s">
        <v>118</v>
      </c>
      <c r="D557" s="199"/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/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/>
    </row>
    <row r="560" spans="1:4" ht="13.5" x14ac:dyDescent="0.25">
      <c r="A560" s="202">
        <v>187</v>
      </c>
      <c r="B560" s="191"/>
      <c r="C560" s="198" t="s">
        <v>118</v>
      </c>
      <c r="D560" s="199"/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/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/>
    </row>
    <row r="563" spans="1:4" ht="13.5" x14ac:dyDescent="0.25">
      <c r="A563" s="202">
        <v>188</v>
      </c>
      <c r="B563" s="191"/>
      <c r="C563" s="198" t="s">
        <v>118</v>
      </c>
      <c r="D563" s="199"/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/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/>
    </row>
    <row r="566" spans="1:4" ht="13.5" x14ac:dyDescent="0.25">
      <c r="A566" s="202">
        <v>189</v>
      </c>
      <c r="B566" s="191"/>
      <c r="C566" s="198" t="s">
        <v>118</v>
      </c>
      <c r="D566" s="199"/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/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/>
    </row>
    <row r="569" spans="1:4" ht="13.5" x14ac:dyDescent="0.25">
      <c r="A569" s="202">
        <v>190</v>
      </c>
      <c r="B569" s="191"/>
      <c r="C569" s="198" t="s">
        <v>118</v>
      </c>
      <c r="D569" s="199"/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/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/>
    </row>
    <row r="572" spans="1:4" ht="13.5" x14ac:dyDescent="0.25">
      <c r="A572" s="202">
        <v>191</v>
      </c>
      <c r="B572" s="191"/>
      <c r="C572" s="198" t="s">
        <v>118</v>
      </c>
      <c r="D572" s="199"/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/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/>
    </row>
    <row r="575" spans="1:4" ht="13.5" x14ac:dyDescent="0.25">
      <c r="A575" s="202">
        <v>192</v>
      </c>
      <c r="B575" s="191"/>
      <c r="C575" s="198" t="s">
        <v>118</v>
      </c>
      <c r="D575" s="199"/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/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/>
    </row>
    <row r="578" spans="1:4" ht="13.5" x14ac:dyDescent="0.25">
      <c r="A578" s="202">
        <v>193</v>
      </c>
      <c r="B578" s="191"/>
      <c r="C578" s="198" t="s">
        <v>118</v>
      </c>
      <c r="D578" s="199"/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/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/>
    </row>
    <row r="581" spans="1:4" ht="13.5" x14ac:dyDescent="0.25">
      <c r="A581" s="202">
        <v>194</v>
      </c>
      <c r="B581" s="191"/>
      <c r="C581" s="198" t="s">
        <v>118</v>
      </c>
      <c r="D581" s="199"/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/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/>
    </row>
    <row r="584" spans="1:4" ht="13.5" x14ac:dyDescent="0.25">
      <c r="A584" s="202">
        <v>195</v>
      </c>
      <c r="B584" s="191"/>
      <c r="C584" s="198" t="s">
        <v>118</v>
      </c>
      <c r="D584" s="199"/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/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/>
    </row>
    <row r="587" spans="1:4" ht="13.5" x14ac:dyDescent="0.25">
      <c r="A587" s="202">
        <v>196</v>
      </c>
      <c r="B587" s="191"/>
      <c r="C587" s="198" t="s">
        <v>118</v>
      </c>
      <c r="D587" s="199"/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/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/>
    </row>
    <row r="590" spans="1:4" ht="13.5" x14ac:dyDescent="0.25">
      <c r="A590" s="202">
        <v>197</v>
      </c>
      <c r="B590" s="191"/>
      <c r="C590" s="198" t="s">
        <v>118</v>
      </c>
      <c r="D590" s="199"/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/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/>
    </row>
    <row r="593" spans="1:4" ht="13.5" x14ac:dyDescent="0.25">
      <c r="A593" s="202">
        <v>198</v>
      </c>
      <c r="B593" s="191"/>
      <c r="C593" s="198" t="s">
        <v>118</v>
      </c>
      <c r="D593" s="199"/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/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/>
    </row>
    <row r="596" spans="1:4" ht="13.5" x14ac:dyDescent="0.25">
      <c r="A596" s="202">
        <v>199</v>
      </c>
      <c r="B596" s="191"/>
      <c r="C596" s="198" t="s">
        <v>118</v>
      </c>
      <c r="D596" s="199"/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/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/>
    </row>
    <row r="599" spans="1:4" ht="13.5" x14ac:dyDescent="0.25">
      <c r="A599" s="202">
        <v>200</v>
      </c>
      <c r="B599" s="191"/>
      <c r="C599" s="198" t="s">
        <v>118</v>
      </c>
      <c r="D599" s="199"/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/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abSelected="1" zoomScale="98" zoomScaleNormal="98" workbookViewId="0">
      <selection activeCell="A14" sqref="A14:GS14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/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225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/>
      <c r="D8" s="19"/>
      <c r="E8" s="19"/>
      <c r="F8" s="19"/>
      <c r="G8" s="19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/>
      <c r="D9" s="20"/>
      <c r="E9" s="20"/>
      <c r="F9" s="20"/>
      <c r="G9" s="20"/>
      <c r="H9" s="21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1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0.5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2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</v>
      </c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5.0000000000000009</v>
      </c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8">
        <v>0.39999999999999991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225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110</v>
      </c>
      <c r="B26" s="58">
        <v>9.6225044864937673E-2</v>
      </c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111</v>
      </c>
      <c r="B27" s="64"/>
      <c r="C27" s="65"/>
      <c r="D27" s="65"/>
      <c r="E27" s="65"/>
      <c r="F27" s="65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>
        <f>VLOOKUP(A28,A25:G25,A83,0)</f>
        <v>0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6</v>
      </c>
      <c r="BD30" s="14">
        <f t="shared" ref="BD30:BM30" si="0">B9</f>
        <v>6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0</v>
      </c>
      <c r="BD31" s="9" t="e">
        <f t="shared" ref="BD31:BM31" ca="1" si="1">IF(BD30=0,0,LOG(BD30/$BB$31,10))</f>
        <v>#DIV/0!</v>
      </c>
      <c r="BE31" s="9">
        <f t="shared" si="1"/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 t="e">
        <f ca="1">IF(OR(BB29=0,BB30=BB31),1,LOG(BB30/BB31,10))</f>
        <v>#DIV/0!</v>
      </c>
      <c r="BD33" s="14" t="e">
        <f t="shared" ref="BD33:BM33" ca="1" si="2">BD31/$BB$33</f>
        <v>#DIV/0!</v>
      </c>
      <c r="BE33" s="9" t="e">
        <f t="shared" ca="1" si="2"/>
        <v>#DIV/0!</v>
      </c>
      <c r="BF33" s="14" t="e">
        <f t="shared" ca="1" si="2"/>
        <v>#DIV/0!</v>
      </c>
      <c r="BG33" s="9" t="e">
        <f t="shared" ca="1" si="2"/>
        <v>#DIV/0!</v>
      </c>
      <c r="BH33" s="9" t="e">
        <f t="shared" ca="1" si="2"/>
        <v>#DIV/0!</v>
      </c>
      <c r="BI33" s="9" t="e">
        <f t="shared" ca="1" si="2"/>
        <v>#DIV/0!</v>
      </c>
      <c r="BJ33" s="9" t="e">
        <f t="shared" ca="1" si="2"/>
        <v>#DIV/0!</v>
      </c>
      <c r="BK33" s="9" t="e">
        <f t="shared" ca="1" si="2"/>
        <v>#DIV/0!</v>
      </c>
      <c r="BL33" s="9" t="e">
        <f t="shared" ca="1" si="2"/>
        <v>#DIV/0!</v>
      </c>
      <c r="BM33" s="9" t="e">
        <f t="shared" ca="1" si="2"/>
        <v>#DIV/0!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 t="e">
        <f ca="1">ROUND(10*BD33,0)</f>
        <v>#DIV/0!</v>
      </c>
      <c r="BE35" s="9" t="e">
        <f t="shared" ref="BE35:BM35" ca="1" si="5">ROUND(10*BE33,0)</f>
        <v>#DIV/0!</v>
      </c>
      <c r="BF35" s="9" t="e">
        <f ca="1">ROUND(10*BF33,0)</f>
        <v>#DIV/0!</v>
      </c>
      <c r="BG35" s="9" t="e">
        <f t="shared" ref="BG35" ca="1" si="6">ROUND(10*BG33,0)</f>
        <v>#DIV/0!</v>
      </c>
      <c r="BH35" s="9" t="e">
        <f t="shared" ca="1" si="5"/>
        <v>#DIV/0!</v>
      </c>
      <c r="BI35" s="9" t="e">
        <f t="shared" ca="1" si="5"/>
        <v>#DIV/0!</v>
      </c>
      <c r="BJ35" s="9" t="e">
        <f t="shared" ca="1" si="5"/>
        <v>#DIV/0!</v>
      </c>
      <c r="BK35" s="9" t="e">
        <f t="shared" ca="1" si="5"/>
        <v>#DIV/0!</v>
      </c>
      <c r="BL35" s="9" t="e">
        <f t="shared" ca="1" si="5"/>
        <v>#DIV/0!</v>
      </c>
      <c r="BM35" s="9" t="e">
        <f t="shared" ca="1" si="5"/>
        <v>#DIV/0!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0</v>
      </c>
      <c r="R50" s="126">
        <f t="shared" si="10"/>
        <v>0</v>
      </c>
      <c r="S50" s="126">
        <f t="shared" si="10"/>
        <v>0</v>
      </c>
      <c r="T50" s="126">
        <f t="shared" ref="T50:Y50" si="11">F26</f>
        <v>0</v>
      </c>
      <c r="U50" s="126">
        <f t="shared" si="11"/>
        <v>0</v>
      </c>
      <c r="V50" s="126">
        <f t="shared" si="11"/>
        <v>0</v>
      </c>
      <c r="W50" s="126">
        <f t="shared" si="11"/>
        <v>0</v>
      </c>
      <c r="X50" s="126">
        <f t="shared" si="11"/>
        <v>0</v>
      </c>
      <c r="Y50" s="127">
        <f t="shared" si="11"/>
        <v>0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>
        <f>C5</f>
        <v>0</v>
      </c>
      <c r="O52" s="93"/>
      <c r="P52" s="93"/>
      <c r="Q52" s="94">
        <f>C27</f>
        <v>0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>
        <f>D5</f>
        <v>0</v>
      </c>
      <c r="O53" s="93"/>
      <c r="P53" s="93"/>
      <c r="Q53" s="93"/>
      <c r="R53" s="94">
        <f>D27</f>
        <v>0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>
        <f>E5</f>
        <v>0</v>
      </c>
      <c r="O54" s="93"/>
      <c r="P54" s="93"/>
      <c r="Q54" s="93"/>
      <c r="R54" s="93"/>
      <c r="S54" s="94">
        <f>E27</f>
        <v>0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>
        <f>F5</f>
        <v>0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>
        <f>G5</f>
        <v>0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>
        <f>H5</f>
        <v>0</v>
      </c>
      <c r="O57" s="93"/>
      <c r="P57" s="93"/>
      <c r="Q57" s="93"/>
      <c r="R57" s="93"/>
      <c r="S57" s="93"/>
      <c r="T57" s="94">
        <f>F27</f>
        <v>0</v>
      </c>
      <c r="U57" s="94">
        <v>0.74762365496818795</v>
      </c>
      <c r="V57" s="94">
        <f>H27</f>
        <v>0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>
        <f>I5</f>
        <v>0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>
        <f>J5</f>
        <v>0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>
        <f>K5</f>
        <v>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0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</v>
      </c>
      <c r="E79" s="141">
        <f>VLOOKUP(E78,A26:K26,DIAG!$W$56+1,0)</f>
        <v>0</v>
      </c>
      <c r="F79" s="142">
        <f>VLOOKUP(F78,A27:K27,DIAG!$W$56+1,0)</f>
        <v>0</v>
      </c>
      <c r="G79" s="141">
        <f>VLOOKUP(G78,A26:K26,DIAG!$W$58+1,0)</f>
        <v>0</v>
      </c>
      <c r="H79" s="142">
        <f>VLOOKUP(H78,A27:K27,DIAG!$W$58+1,0)</f>
        <v>0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0</v>
      </c>
      <c r="D81" s="29">
        <f>(B81*(A81-$G$79)-A81*(B81-$H$79))/(A81-$G$79)</f>
        <v>0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-10.392304845413259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9.6225044864937673E-2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1.0046189622236181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2023-04-28T01:09:42Z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