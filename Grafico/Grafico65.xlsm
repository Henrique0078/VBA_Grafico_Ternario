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DEE1DD5C-DD16-4879-802B-AF3A4137F71B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F5" i="6" l="1"/>
  <c r="BF25" i="6" s="1"/>
  <c r="AX5" i="6"/>
  <c r="AX25" i="6" s="1"/>
  <c r="Z5" i="6"/>
  <c r="Z25" i="6" s="1"/>
  <c r="I5" i="6"/>
  <c r="I25" i="6" s="1"/>
  <c r="G5" i="6"/>
  <c r="G25" i="6" s="1"/>
  <c r="D5" i="6"/>
  <c r="D25" i="6" s="1"/>
  <c r="C5" i="6"/>
  <c r="C25" i="6" s="1"/>
  <c r="CV8" i="6"/>
  <c r="CU7" i="6"/>
  <c r="CP7" i="6"/>
  <c r="CN8" i="6"/>
  <c r="CM9" i="6"/>
  <c r="CG7" i="6"/>
  <c r="CE8" i="6"/>
  <c r="CC7" i="6"/>
  <c r="CB6" i="6"/>
  <c r="CA8" i="6"/>
  <c r="BV8" i="6"/>
  <c r="BT6" i="6"/>
  <c r="BR7" i="6"/>
  <c r="BQ7" i="6"/>
  <c r="BN7" i="6"/>
  <c r="BM7" i="6"/>
  <c r="BJ7" i="6"/>
  <c r="BH6" i="6"/>
  <c r="BG9" i="6"/>
  <c r="BF8" i="6"/>
  <c r="BE7" i="6"/>
  <c r="BD6" i="6"/>
  <c r="BC8" i="6"/>
  <c r="BB7" i="6"/>
  <c r="AZ6" i="6"/>
  <c r="AY9" i="6"/>
  <c r="AX8" i="6"/>
  <c r="AU8" i="6"/>
  <c r="AT8" i="6"/>
  <c r="AT7" i="6"/>
  <c r="AS7" i="6"/>
  <c r="AQ8" i="6"/>
  <c r="AM8" i="6"/>
  <c r="AL7" i="6"/>
  <c r="AK7" i="6"/>
  <c r="AH8" i="6"/>
  <c r="AG7" i="6"/>
  <c r="AD8" i="6"/>
  <c r="W8" i="6"/>
  <c r="V8" i="6"/>
  <c r="T6" i="6"/>
  <c r="R7" i="6"/>
  <c r="P6" i="6"/>
  <c r="N7" i="6"/>
  <c r="M8" i="6"/>
  <c r="J8" i="6"/>
  <c r="J7" i="6"/>
  <c r="H6" i="6"/>
  <c r="G8" i="6"/>
  <c r="F8" i="6"/>
  <c r="F7" i="6"/>
  <c r="E7" i="6"/>
  <c r="CI7" i="6"/>
  <c r="CE7" i="6"/>
  <c r="X7" i="6"/>
  <c r="S9" i="6"/>
  <c r="Q8" i="6"/>
  <c r="U8" i="6"/>
  <c r="AB7" i="6"/>
  <c r="AM6" i="6"/>
  <c r="K7" i="6"/>
  <c r="I7" i="6"/>
  <c r="B7" i="6"/>
  <c r="CW5" i="6"/>
  <c r="CW25" i="6" s="1"/>
  <c r="CV5" i="6"/>
  <c r="CV25" i="6" s="1"/>
  <c r="CU5" i="6"/>
  <c r="CU25" i="6" s="1"/>
  <c r="CT5" i="6"/>
  <c r="CT25" i="6" s="1"/>
  <c r="CS5" i="6"/>
  <c r="CS25" i="6" s="1"/>
  <c r="CR5" i="6"/>
  <c r="CR25" i="6" s="1"/>
  <c r="CQ5" i="6"/>
  <c r="CQ25" i="6" s="1"/>
  <c r="CP5" i="6"/>
  <c r="CP25" i="6" s="1"/>
  <c r="CO5" i="6"/>
  <c r="CO25" i="6" s="1"/>
  <c r="CN5" i="6"/>
  <c r="CN25" i="6" s="1"/>
  <c r="CM5" i="6"/>
  <c r="CM25" i="6" s="1"/>
  <c r="CL5" i="6"/>
  <c r="CL25" i="6" s="1"/>
  <c r="CK5" i="6"/>
  <c r="CK25" i="6" s="1"/>
  <c r="CJ5" i="6"/>
  <c r="CJ25" i="6" s="1"/>
  <c r="CI5" i="6"/>
  <c r="CI25" i="6" s="1"/>
  <c r="CH5" i="6"/>
  <c r="CH25" i="6" s="1"/>
  <c r="CG5" i="6"/>
  <c r="CG25" i="6" s="1"/>
  <c r="CF5" i="6"/>
  <c r="CF25" i="6" s="1"/>
  <c r="CE5" i="6"/>
  <c r="CE25" i="6" s="1"/>
  <c r="CD5" i="6"/>
  <c r="CD25" i="6" s="1"/>
  <c r="CC5" i="6"/>
  <c r="CC25" i="6" s="1"/>
  <c r="CB5" i="6"/>
  <c r="CB25" i="6" s="1"/>
  <c r="CA5" i="6"/>
  <c r="CA25" i="6" s="1"/>
  <c r="BZ5" i="6"/>
  <c r="BZ25" i="6" s="1"/>
  <c r="BY5" i="6"/>
  <c r="BY25" i="6" s="1"/>
  <c r="BX5" i="6"/>
  <c r="BX25" i="6" s="1"/>
  <c r="BW5" i="6"/>
  <c r="BW25" i="6" s="1"/>
  <c r="BV5" i="6"/>
  <c r="BV25" i="6" s="1"/>
  <c r="BU5" i="6"/>
  <c r="BU25" i="6" s="1"/>
  <c r="BT5" i="6"/>
  <c r="BT25" i="6" s="1"/>
  <c r="BS5" i="6"/>
  <c r="BS25" i="6" s="1"/>
  <c r="BR5" i="6"/>
  <c r="BR25" i="6" s="1"/>
  <c r="BQ5" i="6"/>
  <c r="BQ25" i="6" s="1"/>
  <c r="BP5" i="6"/>
  <c r="BP25" i="6" s="1"/>
  <c r="BO5" i="6"/>
  <c r="BO25" i="6" s="1"/>
  <c r="BN5" i="6"/>
  <c r="BN25" i="6" s="1"/>
  <c r="BM5" i="6"/>
  <c r="BM25" i="6" s="1"/>
  <c r="BL5" i="6"/>
  <c r="BL25" i="6" s="1"/>
  <c r="BK5" i="6"/>
  <c r="BK25" i="6" s="1"/>
  <c r="BJ5" i="6"/>
  <c r="BJ25" i="6" s="1"/>
  <c r="BI5" i="6"/>
  <c r="BI25" i="6" s="1"/>
  <c r="BH5" i="6"/>
  <c r="BH25" i="6" s="1"/>
  <c r="BG5" i="6"/>
  <c r="BG25" i="6" s="1"/>
  <c r="BE5" i="6"/>
  <c r="BE25" i="6" s="1"/>
  <c r="BD5" i="6"/>
  <c r="BD25" i="6" s="1"/>
  <c r="BC5" i="6"/>
  <c r="BC25" i="6" s="1"/>
  <c r="BB5" i="6"/>
  <c r="BB25" i="6" s="1"/>
  <c r="BA5" i="6"/>
  <c r="BA25" i="6" s="1"/>
  <c r="AZ5" i="6"/>
  <c r="AZ25" i="6" s="1"/>
  <c r="AY5" i="6"/>
  <c r="AY25" i="6" s="1"/>
  <c r="AW5" i="6"/>
  <c r="AW25" i="6" s="1"/>
  <c r="AV5" i="6"/>
  <c r="AV25" i="6" s="1"/>
  <c r="AU5" i="6"/>
  <c r="AU25" i="6" s="1"/>
  <c r="AT5" i="6"/>
  <c r="AT25" i="6" s="1"/>
  <c r="AS5" i="6"/>
  <c r="AS25" i="6" s="1"/>
  <c r="AR5" i="6"/>
  <c r="AR25" i="6" s="1"/>
  <c r="AQ5" i="6"/>
  <c r="AQ25" i="6" s="1"/>
  <c r="AP5" i="6"/>
  <c r="AP25" i="6" s="1"/>
  <c r="AO5" i="6"/>
  <c r="AO25" i="6" s="1"/>
  <c r="AN5" i="6"/>
  <c r="AN25" i="6" s="1"/>
  <c r="AM5" i="6"/>
  <c r="AM25" i="6" s="1"/>
  <c r="AL5" i="6"/>
  <c r="AL25" i="6" s="1"/>
  <c r="AK5" i="6"/>
  <c r="AK25" i="6" s="1"/>
  <c r="AJ5" i="6"/>
  <c r="AJ25" i="6" s="1"/>
  <c r="AI5" i="6"/>
  <c r="AI25" i="6" s="1"/>
  <c r="AH5" i="6"/>
  <c r="AH25" i="6" s="1"/>
  <c r="AG5" i="6"/>
  <c r="AG25" i="6" s="1"/>
  <c r="AF5" i="6"/>
  <c r="AF25" i="6" s="1"/>
  <c r="AE5" i="6"/>
  <c r="AE25" i="6" s="1"/>
  <c r="AD5" i="6"/>
  <c r="AD25" i="6" s="1"/>
  <c r="AC5" i="6"/>
  <c r="AC25" i="6" s="1"/>
  <c r="AB5" i="6"/>
  <c r="AB25" i="6" s="1"/>
  <c r="AA5" i="6"/>
  <c r="AA25" i="6" s="1"/>
  <c r="Y5" i="6"/>
  <c r="Y25" i="6" s="1"/>
  <c r="X5" i="6"/>
  <c r="X25" i="6" s="1"/>
  <c r="W5" i="6"/>
  <c r="W25" i="6" s="1"/>
  <c r="V5" i="6"/>
  <c r="V25" i="6" s="1"/>
  <c r="U5" i="6"/>
  <c r="U25" i="6" s="1"/>
  <c r="T5" i="6"/>
  <c r="T25" i="6" s="1"/>
  <c r="S5" i="6"/>
  <c r="S25" i="6" s="1"/>
  <c r="R5" i="6"/>
  <c r="R25" i="6" s="1"/>
  <c r="Q5" i="6"/>
  <c r="Q25" i="6" s="1"/>
  <c r="P5" i="6"/>
  <c r="P25" i="6" s="1"/>
  <c r="O5" i="6"/>
  <c r="O25" i="6" s="1"/>
  <c r="N5" i="6"/>
  <c r="M5" i="6"/>
  <c r="M25" i="6" s="1"/>
  <c r="L5" i="6"/>
  <c r="L25" i="6" s="1"/>
  <c r="K5" i="6"/>
  <c r="K25" i="6" s="1"/>
  <c r="J5" i="6"/>
  <c r="J25" i="6" s="1"/>
  <c r="H5" i="6"/>
  <c r="H25" i="6" s="1"/>
  <c r="F5" i="6"/>
  <c r="F25" i="6" s="1"/>
  <c r="E5" i="6"/>
  <c r="E25" i="6" s="1"/>
  <c r="N25" i="6"/>
  <c r="N411" i="6"/>
  <c r="N410" i="6"/>
  <c r="N408" i="6"/>
  <c r="N407" i="6"/>
  <c r="N405" i="6"/>
  <c r="N404" i="6"/>
  <c r="N402" i="6"/>
  <c r="N401" i="6"/>
  <c r="N399" i="6"/>
  <c r="N398" i="6"/>
  <c r="N396" i="6"/>
  <c r="N395" i="6"/>
  <c r="N393" i="6"/>
  <c r="N392" i="6"/>
  <c r="N390" i="6"/>
  <c r="N389" i="6"/>
  <c r="N387" i="6"/>
  <c r="N386" i="6"/>
  <c r="N384" i="6"/>
  <c r="N383" i="6"/>
  <c r="N381" i="6"/>
  <c r="N380" i="6"/>
  <c r="N378" i="6"/>
  <c r="N377" i="6"/>
  <c r="N375" i="6"/>
  <c r="N374" i="6"/>
  <c r="N372" i="6"/>
  <c r="N371" i="6"/>
  <c r="N369" i="6"/>
  <c r="N368" i="6"/>
  <c r="N366" i="6"/>
  <c r="N365" i="6"/>
  <c r="N363" i="6"/>
  <c r="N362" i="6"/>
  <c r="N360" i="6"/>
  <c r="N359" i="6"/>
  <c r="N357" i="6"/>
  <c r="N356" i="6"/>
  <c r="N354" i="6"/>
  <c r="N353" i="6"/>
  <c r="N351" i="6"/>
  <c r="N350" i="6"/>
  <c r="N348" i="6"/>
  <c r="N347" i="6"/>
  <c r="N345" i="6"/>
  <c r="N344" i="6"/>
  <c r="N342" i="6"/>
  <c r="N341" i="6"/>
  <c r="N339" i="6"/>
  <c r="N338" i="6"/>
  <c r="N336" i="6"/>
  <c r="N335" i="6"/>
  <c r="N333" i="6"/>
  <c r="N332" i="6"/>
  <c r="N330" i="6"/>
  <c r="N329" i="6"/>
  <c r="N327" i="6"/>
  <c r="N326" i="6"/>
  <c r="N324" i="6"/>
  <c r="N323" i="6"/>
  <c r="N321" i="6"/>
  <c r="N320" i="6"/>
  <c r="N318" i="6"/>
  <c r="N317" i="6"/>
  <c r="N315" i="6"/>
  <c r="N314" i="6"/>
  <c r="N312" i="6"/>
  <c r="N311" i="6"/>
  <c r="N309" i="6"/>
  <c r="N308" i="6"/>
  <c r="N306" i="6"/>
  <c r="N305" i="6"/>
  <c r="N303" i="6"/>
  <c r="N302" i="6"/>
  <c r="N300" i="6"/>
  <c r="N299" i="6"/>
  <c r="N297" i="6"/>
  <c r="N296" i="6"/>
  <c r="N294" i="6"/>
  <c r="N293" i="6"/>
  <c r="N291" i="6"/>
  <c r="N290" i="6"/>
  <c r="N288" i="6"/>
  <c r="N287" i="6"/>
  <c r="N285" i="6"/>
  <c r="N284" i="6"/>
  <c r="N282" i="6"/>
  <c r="N281" i="6"/>
  <c r="N279" i="6"/>
  <c r="N278" i="6"/>
  <c r="N276" i="6"/>
  <c r="N275" i="6"/>
  <c r="N273" i="6"/>
  <c r="N272" i="6"/>
  <c r="N270" i="6"/>
  <c r="N269" i="6"/>
  <c r="N267" i="6"/>
  <c r="N266" i="6"/>
  <c r="N264" i="6"/>
  <c r="N263" i="6"/>
  <c r="N261" i="6"/>
  <c r="N260" i="6"/>
  <c r="N258" i="6"/>
  <c r="N257" i="6"/>
  <c r="N255" i="6"/>
  <c r="N254" i="6"/>
  <c r="N252" i="6"/>
  <c r="N251" i="6"/>
  <c r="N249" i="6"/>
  <c r="N248" i="6"/>
  <c r="N246" i="6"/>
  <c r="N245" i="6"/>
  <c r="N243" i="6"/>
  <c r="N242" i="6"/>
  <c r="N240" i="6"/>
  <c r="N239" i="6"/>
  <c r="N237" i="6"/>
  <c r="N236" i="6"/>
  <c r="N234" i="6"/>
  <c r="N233" i="6"/>
  <c r="N231" i="6"/>
  <c r="N230" i="6"/>
  <c r="N228" i="6"/>
  <c r="N227" i="6"/>
  <c r="N225" i="6"/>
  <c r="N224" i="6"/>
  <c r="N222" i="6"/>
  <c r="N221" i="6"/>
  <c r="N219" i="6"/>
  <c r="N218" i="6"/>
  <c r="N216" i="6"/>
  <c r="N215" i="6"/>
  <c r="N213" i="6"/>
  <c r="N212" i="6"/>
  <c r="N210" i="6"/>
  <c r="N209" i="6"/>
  <c r="N207" i="6"/>
  <c r="N206" i="6"/>
  <c r="N204" i="6"/>
  <c r="N20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E381" i="6"/>
  <c r="E380" i="6"/>
  <c r="E378" i="6"/>
  <c r="E377" i="6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E318" i="6"/>
  <c r="E317" i="6"/>
  <c r="E315" i="6"/>
  <c r="E314" i="6"/>
  <c r="E312" i="6"/>
  <c r="E311" i="6"/>
  <c r="E309" i="6"/>
  <c r="E308" i="6"/>
  <c r="E306" i="6"/>
  <c r="E305" i="6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F267" i="6" s="1"/>
  <c r="G267" i="6" s="1"/>
  <c r="H267" i="6" s="1"/>
  <c r="I267" i="6" s="1"/>
  <c r="J267" i="6" s="1"/>
  <c r="K267" i="6" s="1"/>
  <c r="L267" i="6" s="1"/>
  <c r="M267" i="6" s="1"/>
  <c r="E266" i="6"/>
  <c r="E264" i="6"/>
  <c r="E263" i="6"/>
  <c r="E261" i="6"/>
  <c r="E260" i="6"/>
  <c r="E258" i="6"/>
  <c r="E257" i="6"/>
  <c r="E255" i="6"/>
  <c r="E254" i="6"/>
  <c r="E252" i="6"/>
  <c r="E251" i="6"/>
  <c r="E249" i="6"/>
  <c r="E248" i="6"/>
  <c r="E246" i="6"/>
  <c r="E245" i="6"/>
  <c r="E243" i="6"/>
  <c r="E242" i="6"/>
  <c r="E240" i="6"/>
  <c r="E239" i="6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E204" i="6"/>
  <c r="E20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L7" i="6"/>
  <c r="BO7" i="6"/>
  <c r="BP7" i="6"/>
  <c r="BU7" i="6"/>
  <c r="CF7" i="6"/>
  <c r="CJ7" i="6"/>
  <c r="CK7" i="6"/>
  <c r="CN7" i="6"/>
  <c r="CO7" i="6"/>
  <c r="CQ7" i="6"/>
  <c r="CR7" i="6"/>
  <c r="CS7" i="6"/>
  <c r="CT7" i="6"/>
  <c r="CV7" i="6"/>
  <c r="CW7" i="6"/>
  <c r="BS8" i="6"/>
  <c r="BT8" i="6"/>
  <c r="BU8" i="6"/>
  <c r="BX8" i="6"/>
  <c r="BY8" i="6"/>
  <c r="CB8" i="6"/>
  <c r="CC8" i="6"/>
  <c r="CF8" i="6"/>
  <c r="CG8" i="6"/>
  <c r="CI8" i="6"/>
  <c r="CJ8" i="6"/>
  <c r="CK8" i="6"/>
  <c r="CL8" i="6"/>
  <c r="CM8" i="6"/>
  <c r="CO8" i="6"/>
  <c r="CP8" i="6"/>
  <c r="CR8" i="6"/>
  <c r="CS8" i="6"/>
  <c r="CT8" i="6"/>
  <c r="CU8" i="6"/>
  <c r="CW8" i="6"/>
  <c r="CW6" i="6"/>
  <c r="CS6" i="6"/>
  <c r="CM6" i="6"/>
  <c r="BK7" i="6"/>
  <c r="BI7" i="6"/>
  <c r="BH7" i="6"/>
  <c r="BH8" i="6"/>
  <c r="BG7" i="6"/>
  <c r="BF7" i="6"/>
  <c r="BE8" i="6"/>
  <c r="BD7" i="6"/>
  <c r="BD8" i="6"/>
  <c r="BC7" i="6"/>
  <c r="BA8" i="6"/>
  <c r="AZ7" i="6"/>
  <c r="AZ8" i="6"/>
  <c r="AY7" i="6"/>
  <c r="AX7" i="6"/>
  <c r="AW8" i="6"/>
  <c r="AV7" i="6"/>
  <c r="AV8" i="6"/>
  <c r="AU7" i="6"/>
  <c r="AS8" i="6"/>
  <c r="AR7" i="6"/>
  <c r="AR8" i="6"/>
  <c r="AQ7" i="6"/>
  <c r="AP7" i="6"/>
  <c r="AO8" i="6"/>
  <c r="AN7" i="6"/>
  <c r="AN8" i="6"/>
  <c r="AM7" i="6"/>
  <c r="AK8" i="6"/>
  <c r="AJ7" i="6"/>
  <c r="AJ8" i="6"/>
  <c r="AI7" i="6"/>
  <c r="AH7" i="6"/>
  <c r="AG8" i="6"/>
  <c r="AF7" i="6"/>
  <c r="AF8" i="6"/>
  <c r="AE8" i="6"/>
  <c r="AB8" i="6"/>
  <c r="Y8" i="6"/>
  <c r="X8" i="6"/>
  <c r="T7" i="6"/>
  <c r="P7" i="6"/>
  <c r="P8" i="6"/>
  <c r="L7" i="6"/>
  <c r="L8" i="6"/>
  <c r="K8" i="6"/>
  <c r="I8" i="6"/>
  <c r="H7" i="6"/>
  <c r="H8" i="6"/>
  <c r="G7" i="6"/>
  <c r="E8" i="6"/>
  <c r="D7" i="6"/>
  <c r="D8" i="6"/>
  <c r="C7" i="6"/>
  <c r="C8" i="6"/>
  <c r="BZ6" i="6"/>
  <c r="BV6" i="6"/>
  <c r="BR6" i="6"/>
  <c r="BN6" i="6"/>
  <c r="BJ6" i="6"/>
  <c r="AY6" i="6"/>
  <c r="AU6" i="6"/>
  <c r="AQ6" i="6"/>
  <c r="AD6" i="6"/>
  <c r="Z6" i="6"/>
  <c r="V6" i="6"/>
  <c r="K6" i="6"/>
  <c r="F6" i="6"/>
  <c r="B8" i="6"/>
  <c r="B6" i="6"/>
  <c r="F173" i="6" l="1"/>
  <c r="G173" i="6" s="1"/>
  <c r="H173" i="6" s="1"/>
  <c r="I173" i="6" s="1"/>
  <c r="J173" i="6" s="1"/>
  <c r="K173" i="6" s="1"/>
  <c r="L173" i="6" s="1"/>
  <c r="M173" i="6" s="1"/>
  <c r="F209" i="6"/>
  <c r="G209" i="6" s="1"/>
  <c r="H209" i="6" s="1"/>
  <c r="I209" i="6" s="1"/>
  <c r="J209" i="6" s="1"/>
  <c r="K209" i="6" s="1"/>
  <c r="L209" i="6" s="1"/>
  <c r="M209" i="6" s="1"/>
  <c r="F227" i="6"/>
  <c r="G227" i="6" s="1"/>
  <c r="H227" i="6" s="1"/>
  <c r="I227" i="6" s="1"/>
  <c r="J227" i="6" s="1"/>
  <c r="K227" i="6" s="1"/>
  <c r="L227" i="6" s="1"/>
  <c r="M227" i="6" s="1"/>
  <c r="F251" i="6"/>
  <c r="G251" i="6" s="1"/>
  <c r="H251" i="6" s="1"/>
  <c r="I251" i="6" s="1"/>
  <c r="J251" i="6" s="1"/>
  <c r="K251" i="6" s="1"/>
  <c r="L251" i="6" s="1"/>
  <c r="M251" i="6" s="1"/>
  <c r="F275" i="6"/>
  <c r="G275" i="6" s="1"/>
  <c r="H275" i="6" s="1"/>
  <c r="I275" i="6" s="1"/>
  <c r="J275" i="6" s="1"/>
  <c r="K275" i="6" s="1"/>
  <c r="L275" i="6" s="1"/>
  <c r="M275" i="6" s="1"/>
  <c r="F299" i="6"/>
  <c r="G299" i="6" s="1"/>
  <c r="H299" i="6" s="1"/>
  <c r="I299" i="6" s="1"/>
  <c r="J299" i="6" s="1"/>
  <c r="K299" i="6" s="1"/>
  <c r="L299" i="6" s="1"/>
  <c r="M299" i="6" s="1"/>
  <c r="F323" i="6"/>
  <c r="G323" i="6" s="1"/>
  <c r="H323" i="6" s="1"/>
  <c r="I323" i="6" s="1"/>
  <c r="J323" i="6" s="1"/>
  <c r="K323" i="6" s="1"/>
  <c r="L323" i="6" s="1"/>
  <c r="M323" i="6" s="1"/>
  <c r="F347" i="6"/>
  <c r="G347" i="6" s="1"/>
  <c r="H347" i="6" s="1"/>
  <c r="I347" i="6" s="1"/>
  <c r="J347" i="6" s="1"/>
  <c r="K347" i="6" s="1"/>
  <c r="L347" i="6" s="1"/>
  <c r="M347" i="6" s="1"/>
  <c r="F365" i="6"/>
  <c r="G365" i="6" s="1"/>
  <c r="H365" i="6" s="1"/>
  <c r="I365" i="6" s="1"/>
  <c r="J365" i="6" s="1"/>
  <c r="K365" i="6" s="1"/>
  <c r="L365" i="6" s="1"/>
  <c r="M365" i="6" s="1"/>
  <c r="F371" i="6"/>
  <c r="G371" i="6" s="1"/>
  <c r="H371" i="6" s="1"/>
  <c r="I371" i="6" s="1"/>
  <c r="J371" i="6" s="1"/>
  <c r="K371" i="6" s="1"/>
  <c r="L371" i="6" s="1"/>
  <c r="M371" i="6" s="1"/>
  <c r="F389" i="6"/>
  <c r="G389" i="6" s="1"/>
  <c r="H389" i="6" s="1"/>
  <c r="I389" i="6" s="1"/>
  <c r="J389" i="6" s="1"/>
  <c r="K389" i="6" s="1"/>
  <c r="L389" i="6" s="1"/>
  <c r="M389" i="6" s="1"/>
  <c r="F407" i="6"/>
  <c r="G407" i="6" s="1"/>
  <c r="H407" i="6" s="1"/>
  <c r="I407" i="6" s="1"/>
  <c r="J407" i="6" s="1"/>
  <c r="K407" i="6" s="1"/>
  <c r="L407" i="6" s="1"/>
  <c r="M407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221" i="6"/>
  <c r="G221" i="6" s="1"/>
  <c r="H221" i="6" s="1"/>
  <c r="I221" i="6" s="1"/>
  <c r="J221" i="6" s="1"/>
  <c r="K221" i="6" s="1"/>
  <c r="L221" i="6" s="1"/>
  <c r="M221" i="6" s="1"/>
  <c r="F245" i="6"/>
  <c r="G245" i="6" s="1"/>
  <c r="H245" i="6" s="1"/>
  <c r="I245" i="6" s="1"/>
  <c r="J245" i="6" s="1"/>
  <c r="K245" i="6" s="1"/>
  <c r="L245" i="6" s="1"/>
  <c r="M245" i="6" s="1"/>
  <c r="F281" i="6"/>
  <c r="G281" i="6" s="1"/>
  <c r="H281" i="6" s="1"/>
  <c r="I281" i="6" s="1"/>
  <c r="J281" i="6" s="1"/>
  <c r="K281" i="6" s="1"/>
  <c r="L281" i="6" s="1"/>
  <c r="M281" i="6" s="1"/>
  <c r="F311" i="6"/>
  <c r="G311" i="6" s="1"/>
  <c r="H311" i="6" s="1"/>
  <c r="I311" i="6" s="1"/>
  <c r="J311" i="6" s="1"/>
  <c r="K311" i="6" s="1"/>
  <c r="L311" i="6" s="1"/>
  <c r="M311" i="6" s="1"/>
  <c r="F329" i="6"/>
  <c r="G329" i="6" s="1"/>
  <c r="H329" i="6" s="1"/>
  <c r="I329" i="6" s="1"/>
  <c r="J329" i="6" s="1"/>
  <c r="K329" i="6" s="1"/>
  <c r="L329" i="6" s="1"/>
  <c r="M329" i="6" s="1"/>
  <c r="F353" i="6"/>
  <c r="G353" i="6" s="1"/>
  <c r="H353" i="6" s="1"/>
  <c r="I353" i="6" s="1"/>
  <c r="J353" i="6" s="1"/>
  <c r="K353" i="6" s="1"/>
  <c r="L353" i="6" s="1"/>
  <c r="M353" i="6" s="1"/>
  <c r="F395" i="6"/>
  <c r="G395" i="6" s="1"/>
  <c r="H395" i="6" s="1"/>
  <c r="I395" i="6" s="1"/>
  <c r="J395" i="6" s="1"/>
  <c r="K395" i="6" s="1"/>
  <c r="L395" i="6" s="1"/>
  <c r="M395" i="6" s="1"/>
  <c r="F191" i="6"/>
  <c r="G191" i="6" s="1"/>
  <c r="H191" i="6" s="1"/>
  <c r="I191" i="6" s="1"/>
  <c r="J191" i="6" s="1"/>
  <c r="K191" i="6" s="1"/>
  <c r="L191" i="6" s="1"/>
  <c r="M191" i="6" s="1"/>
  <c r="F215" i="6"/>
  <c r="G215" i="6" s="1"/>
  <c r="H215" i="6" s="1"/>
  <c r="I215" i="6" s="1"/>
  <c r="J215" i="6" s="1"/>
  <c r="K215" i="6" s="1"/>
  <c r="L215" i="6" s="1"/>
  <c r="M215" i="6" s="1"/>
  <c r="F233" i="6"/>
  <c r="G233" i="6" s="1"/>
  <c r="H233" i="6" s="1"/>
  <c r="I233" i="6" s="1"/>
  <c r="J233" i="6" s="1"/>
  <c r="K233" i="6" s="1"/>
  <c r="L233" i="6" s="1"/>
  <c r="M233" i="6" s="1"/>
  <c r="F269" i="6"/>
  <c r="G269" i="6" s="1"/>
  <c r="H269" i="6" s="1"/>
  <c r="I269" i="6" s="1"/>
  <c r="J269" i="6" s="1"/>
  <c r="K269" i="6" s="1"/>
  <c r="L269" i="6" s="1"/>
  <c r="M269" i="6" s="1"/>
  <c r="F287" i="6"/>
  <c r="G287" i="6" s="1"/>
  <c r="H287" i="6" s="1"/>
  <c r="I287" i="6" s="1"/>
  <c r="J287" i="6" s="1"/>
  <c r="K287" i="6" s="1"/>
  <c r="L287" i="6" s="1"/>
  <c r="M287" i="6" s="1"/>
  <c r="F317" i="6"/>
  <c r="G317" i="6" s="1"/>
  <c r="H317" i="6" s="1"/>
  <c r="I317" i="6" s="1"/>
  <c r="J317" i="6" s="1"/>
  <c r="K317" i="6" s="1"/>
  <c r="L317" i="6" s="1"/>
  <c r="M317" i="6" s="1"/>
  <c r="F335" i="6"/>
  <c r="G335" i="6" s="1"/>
  <c r="H335" i="6" s="1"/>
  <c r="I335" i="6" s="1"/>
  <c r="J335" i="6" s="1"/>
  <c r="K335" i="6" s="1"/>
  <c r="L335" i="6" s="1"/>
  <c r="M335" i="6" s="1"/>
  <c r="F359" i="6"/>
  <c r="G359" i="6" s="1"/>
  <c r="H359" i="6" s="1"/>
  <c r="I359" i="6" s="1"/>
  <c r="J359" i="6" s="1"/>
  <c r="K359" i="6" s="1"/>
  <c r="L359" i="6" s="1"/>
  <c r="M359" i="6" s="1"/>
  <c r="F401" i="6"/>
  <c r="G401" i="6" s="1"/>
  <c r="H401" i="6" s="1"/>
  <c r="I401" i="6" s="1"/>
  <c r="J401" i="6" s="1"/>
  <c r="K401" i="6" s="1"/>
  <c r="L401" i="6" s="1"/>
  <c r="M40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212" i="6"/>
  <c r="G212" i="6" s="1"/>
  <c r="H212" i="6" s="1"/>
  <c r="I212" i="6" s="1"/>
  <c r="J212" i="6" s="1"/>
  <c r="K212" i="6" s="1"/>
  <c r="L212" i="6" s="1"/>
  <c r="M212" i="6" s="1"/>
  <c r="F218" i="6"/>
  <c r="G218" i="6" s="1"/>
  <c r="H218" i="6" s="1"/>
  <c r="I218" i="6" s="1"/>
  <c r="J218" i="6" s="1"/>
  <c r="K218" i="6" s="1"/>
  <c r="L218" i="6" s="1"/>
  <c r="M218" i="6" s="1"/>
  <c r="F224" i="6"/>
  <c r="G224" i="6" s="1"/>
  <c r="H224" i="6" s="1"/>
  <c r="I224" i="6" s="1"/>
  <c r="J224" i="6" s="1"/>
  <c r="K224" i="6" s="1"/>
  <c r="L224" i="6" s="1"/>
  <c r="M224" i="6" s="1"/>
  <c r="F230" i="6"/>
  <c r="G230" i="6" s="1"/>
  <c r="H230" i="6" s="1"/>
  <c r="I230" i="6" s="1"/>
  <c r="J230" i="6" s="1"/>
  <c r="K230" i="6" s="1"/>
  <c r="L230" i="6" s="1"/>
  <c r="M230" i="6" s="1"/>
  <c r="F248" i="6"/>
  <c r="G248" i="6" s="1"/>
  <c r="H248" i="6" s="1"/>
  <c r="I248" i="6" s="1"/>
  <c r="J248" i="6" s="1"/>
  <c r="K248" i="6" s="1"/>
  <c r="L248" i="6" s="1"/>
  <c r="M248" i="6" s="1"/>
  <c r="F254" i="6"/>
  <c r="G254" i="6" s="1"/>
  <c r="H254" i="6" s="1"/>
  <c r="I254" i="6" s="1"/>
  <c r="J254" i="6" s="1"/>
  <c r="K254" i="6" s="1"/>
  <c r="L254" i="6" s="1"/>
  <c r="M254" i="6" s="1"/>
  <c r="F266" i="6"/>
  <c r="G266" i="6" s="1"/>
  <c r="H266" i="6" s="1"/>
  <c r="I266" i="6" s="1"/>
  <c r="J266" i="6" s="1"/>
  <c r="K266" i="6" s="1"/>
  <c r="L266" i="6" s="1"/>
  <c r="M266" i="6" s="1"/>
  <c r="F272" i="6"/>
  <c r="G272" i="6" s="1"/>
  <c r="H272" i="6" s="1"/>
  <c r="I272" i="6" s="1"/>
  <c r="J272" i="6" s="1"/>
  <c r="K272" i="6" s="1"/>
  <c r="L272" i="6" s="1"/>
  <c r="M272" i="6" s="1"/>
  <c r="F284" i="6"/>
  <c r="G284" i="6" s="1"/>
  <c r="H284" i="6" s="1"/>
  <c r="I284" i="6" s="1"/>
  <c r="J284" i="6" s="1"/>
  <c r="K284" i="6" s="1"/>
  <c r="L284" i="6" s="1"/>
  <c r="M284" i="6" s="1"/>
  <c r="F290" i="6"/>
  <c r="G290" i="6" s="1"/>
  <c r="H290" i="6" s="1"/>
  <c r="I290" i="6" s="1"/>
  <c r="J290" i="6" s="1"/>
  <c r="K290" i="6" s="1"/>
  <c r="L290" i="6" s="1"/>
  <c r="M290" i="6" s="1"/>
  <c r="F296" i="6"/>
  <c r="G296" i="6" s="1"/>
  <c r="H296" i="6" s="1"/>
  <c r="I296" i="6" s="1"/>
  <c r="J296" i="6" s="1"/>
  <c r="K296" i="6" s="1"/>
  <c r="L296" i="6" s="1"/>
  <c r="M296" i="6" s="1"/>
  <c r="F302" i="6"/>
  <c r="G302" i="6" s="1"/>
  <c r="H302" i="6" s="1"/>
  <c r="I302" i="6" s="1"/>
  <c r="J302" i="6" s="1"/>
  <c r="K302" i="6" s="1"/>
  <c r="L302" i="6" s="1"/>
  <c r="M302" i="6" s="1"/>
  <c r="F308" i="6"/>
  <c r="G308" i="6" s="1"/>
  <c r="H308" i="6" s="1"/>
  <c r="I308" i="6" s="1"/>
  <c r="J308" i="6" s="1"/>
  <c r="K308" i="6" s="1"/>
  <c r="L308" i="6" s="1"/>
  <c r="M308" i="6" s="1"/>
  <c r="F314" i="6"/>
  <c r="G314" i="6" s="1"/>
  <c r="H314" i="6" s="1"/>
  <c r="I314" i="6" s="1"/>
  <c r="J314" i="6" s="1"/>
  <c r="K314" i="6" s="1"/>
  <c r="L314" i="6" s="1"/>
  <c r="M314" i="6" s="1"/>
  <c r="F326" i="6"/>
  <c r="G326" i="6" s="1"/>
  <c r="H326" i="6" s="1"/>
  <c r="I326" i="6" s="1"/>
  <c r="J326" i="6" s="1"/>
  <c r="K326" i="6" s="1"/>
  <c r="L326" i="6" s="1"/>
  <c r="M326" i="6" s="1"/>
  <c r="F332" i="6"/>
  <c r="G332" i="6" s="1"/>
  <c r="H332" i="6" s="1"/>
  <c r="I332" i="6" s="1"/>
  <c r="J332" i="6" s="1"/>
  <c r="K332" i="6" s="1"/>
  <c r="L332" i="6" s="1"/>
  <c r="M332" i="6" s="1"/>
  <c r="F338" i="6"/>
  <c r="G338" i="6" s="1"/>
  <c r="H338" i="6" s="1"/>
  <c r="I338" i="6" s="1"/>
  <c r="J338" i="6" s="1"/>
  <c r="K338" i="6" s="1"/>
  <c r="L338" i="6" s="1"/>
  <c r="M338" i="6" s="1"/>
  <c r="F344" i="6"/>
  <c r="G344" i="6" s="1"/>
  <c r="H344" i="6" s="1"/>
  <c r="I344" i="6" s="1"/>
  <c r="J344" i="6" s="1"/>
  <c r="K344" i="6" s="1"/>
  <c r="L344" i="6" s="1"/>
  <c r="M344" i="6" s="1"/>
  <c r="F350" i="6"/>
  <c r="G350" i="6" s="1"/>
  <c r="H350" i="6" s="1"/>
  <c r="I350" i="6" s="1"/>
  <c r="J350" i="6" s="1"/>
  <c r="K350" i="6" s="1"/>
  <c r="L350" i="6" s="1"/>
  <c r="M350" i="6" s="1"/>
  <c r="F356" i="6"/>
  <c r="G356" i="6" s="1"/>
  <c r="H356" i="6" s="1"/>
  <c r="I356" i="6" s="1"/>
  <c r="J356" i="6" s="1"/>
  <c r="K356" i="6" s="1"/>
  <c r="L356" i="6" s="1"/>
  <c r="M356" i="6" s="1"/>
  <c r="F368" i="6"/>
  <c r="G368" i="6" s="1"/>
  <c r="H368" i="6" s="1"/>
  <c r="I368" i="6" s="1"/>
  <c r="J368" i="6" s="1"/>
  <c r="K368" i="6" s="1"/>
  <c r="L368" i="6" s="1"/>
  <c r="M368" i="6" s="1"/>
  <c r="F374" i="6"/>
  <c r="G374" i="6" s="1"/>
  <c r="H374" i="6" s="1"/>
  <c r="I374" i="6" s="1"/>
  <c r="J374" i="6" s="1"/>
  <c r="K374" i="6" s="1"/>
  <c r="L374" i="6" s="1"/>
  <c r="M374" i="6" s="1"/>
  <c r="F380" i="6"/>
  <c r="G380" i="6" s="1"/>
  <c r="H380" i="6" s="1"/>
  <c r="I380" i="6" s="1"/>
  <c r="J380" i="6" s="1"/>
  <c r="K380" i="6" s="1"/>
  <c r="L380" i="6" s="1"/>
  <c r="M380" i="6" s="1"/>
  <c r="F386" i="6"/>
  <c r="G386" i="6" s="1"/>
  <c r="H386" i="6" s="1"/>
  <c r="I386" i="6" s="1"/>
  <c r="J386" i="6" s="1"/>
  <c r="K386" i="6" s="1"/>
  <c r="L386" i="6" s="1"/>
  <c r="M386" i="6" s="1"/>
  <c r="F392" i="6"/>
  <c r="G392" i="6" s="1"/>
  <c r="H392" i="6" s="1"/>
  <c r="I392" i="6" s="1"/>
  <c r="J392" i="6" s="1"/>
  <c r="K392" i="6" s="1"/>
  <c r="L392" i="6" s="1"/>
  <c r="M392" i="6" s="1"/>
  <c r="F398" i="6"/>
  <c r="G398" i="6" s="1"/>
  <c r="H398" i="6" s="1"/>
  <c r="I398" i="6" s="1"/>
  <c r="J398" i="6" s="1"/>
  <c r="K398" i="6" s="1"/>
  <c r="L398" i="6" s="1"/>
  <c r="M398" i="6" s="1"/>
  <c r="F404" i="6"/>
  <c r="G404" i="6" s="1"/>
  <c r="H404" i="6" s="1"/>
  <c r="I404" i="6" s="1"/>
  <c r="J404" i="6" s="1"/>
  <c r="K404" i="6" s="1"/>
  <c r="L404" i="6" s="1"/>
  <c r="M404" i="6" s="1"/>
  <c r="F410" i="6"/>
  <c r="G410" i="6" s="1"/>
  <c r="H410" i="6" s="1"/>
  <c r="I410" i="6" s="1"/>
  <c r="J410" i="6" s="1"/>
  <c r="K410" i="6" s="1"/>
  <c r="L410" i="6" s="1"/>
  <c r="M41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210" i="6"/>
  <c r="G210" i="6" s="1"/>
  <c r="H210" i="6" s="1"/>
  <c r="I210" i="6" s="1"/>
  <c r="J210" i="6" s="1"/>
  <c r="K210" i="6" s="1"/>
  <c r="L210" i="6" s="1"/>
  <c r="M210" i="6" s="1"/>
  <c r="F222" i="6"/>
  <c r="G222" i="6" s="1"/>
  <c r="H222" i="6" s="1"/>
  <c r="I222" i="6" s="1"/>
  <c r="J222" i="6" s="1"/>
  <c r="K222" i="6" s="1"/>
  <c r="L222" i="6" s="1"/>
  <c r="M222" i="6" s="1"/>
  <c r="F234" i="6"/>
  <c r="G234" i="6" s="1"/>
  <c r="H234" i="6" s="1"/>
  <c r="I234" i="6" s="1"/>
  <c r="J234" i="6" s="1"/>
  <c r="K234" i="6" s="1"/>
  <c r="L234" i="6" s="1"/>
  <c r="M234" i="6" s="1"/>
  <c r="F246" i="6"/>
  <c r="G246" i="6" s="1"/>
  <c r="H246" i="6" s="1"/>
  <c r="I246" i="6" s="1"/>
  <c r="J246" i="6" s="1"/>
  <c r="K246" i="6" s="1"/>
  <c r="L246" i="6" s="1"/>
  <c r="M246" i="6" s="1"/>
  <c r="F258" i="6"/>
  <c r="G258" i="6" s="1"/>
  <c r="H258" i="6" s="1"/>
  <c r="I258" i="6" s="1"/>
  <c r="J258" i="6" s="1"/>
  <c r="K258" i="6" s="1"/>
  <c r="L258" i="6" s="1"/>
  <c r="M258" i="6" s="1"/>
  <c r="F270" i="6"/>
  <c r="G270" i="6" s="1"/>
  <c r="H270" i="6" s="1"/>
  <c r="I270" i="6" s="1"/>
  <c r="J270" i="6" s="1"/>
  <c r="K270" i="6" s="1"/>
  <c r="L270" i="6" s="1"/>
  <c r="M270" i="6" s="1"/>
  <c r="F288" i="6"/>
  <c r="G288" i="6" s="1"/>
  <c r="H288" i="6" s="1"/>
  <c r="I288" i="6" s="1"/>
  <c r="J288" i="6" s="1"/>
  <c r="K288" i="6" s="1"/>
  <c r="L288" i="6" s="1"/>
  <c r="M288" i="6" s="1"/>
  <c r="F300" i="6"/>
  <c r="G300" i="6" s="1"/>
  <c r="H300" i="6" s="1"/>
  <c r="I300" i="6" s="1"/>
  <c r="J300" i="6" s="1"/>
  <c r="K300" i="6" s="1"/>
  <c r="L300" i="6" s="1"/>
  <c r="M300" i="6" s="1"/>
  <c r="F324" i="6"/>
  <c r="G324" i="6" s="1"/>
  <c r="H324" i="6" s="1"/>
  <c r="I324" i="6" s="1"/>
  <c r="J324" i="6" s="1"/>
  <c r="K324" i="6" s="1"/>
  <c r="L324" i="6" s="1"/>
  <c r="M324" i="6" s="1"/>
  <c r="F342" i="6"/>
  <c r="G342" i="6" s="1"/>
  <c r="H342" i="6" s="1"/>
  <c r="I342" i="6" s="1"/>
  <c r="J342" i="6" s="1"/>
  <c r="K342" i="6" s="1"/>
  <c r="L342" i="6" s="1"/>
  <c r="M342" i="6" s="1"/>
  <c r="F354" i="6"/>
  <c r="G354" i="6" s="1"/>
  <c r="H354" i="6" s="1"/>
  <c r="I354" i="6" s="1"/>
  <c r="J354" i="6" s="1"/>
  <c r="K354" i="6" s="1"/>
  <c r="L354" i="6" s="1"/>
  <c r="M354" i="6" s="1"/>
  <c r="F366" i="6"/>
  <c r="G366" i="6" s="1"/>
  <c r="H366" i="6" s="1"/>
  <c r="I366" i="6" s="1"/>
  <c r="J366" i="6" s="1"/>
  <c r="K366" i="6" s="1"/>
  <c r="L366" i="6" s="1"/>
  <c r="M366" i="6" s="1"/>
  <c r="F378" i="6"/>
  <c r="G378" i="6" s="1"/>
  <c r="H378" i="6" s="1"/>
  <c r="I378" i="6" s="1"/>
  <c r="J378" i="6" s="1"/>
  <c r="K378" i="6" s="1"/>
  <c r="L378" i="6" s="1"/>
  <c r="M378" i="6" s="1"/>
  <c r="F390" i="6"/>
  <c r="G390" i="6" s="1"/>
  <c r="H390" i="6" s="1"/>
  <c r="I390" i="6" s="1"/>
  <c r="J390" i="6" s="1"/>
  <c r="K390" i="6" s="1"/>
  <c r="L390" i="6" s="1"/>
  <c r="M390" i="6" s="1"/>
  <c r="F396" i="6"/>
  <c r="G396" i="6" s="1"/>
  <c r="H396" i="6" s="1"/>
  <c r="I396" i="6" s="1"/>
  <c r="J396" i="6" s="1"/>
  <c r="K396" i="6" s="1"/>
  <c r="L396" i="6" s="1"/>
  <c r="M396" i="6" s="1"/>
  <c r="F408" i="6"/>
  <c r="G408" i="6" s="1"/>
  <c r="H408" i="6" s="1"/>
  <c r="I408" i="6" s="1"/>
  <c r="J408" i="6" s="1"/>
  <c r="K408" i="6" s="1"/>
  <c r="L408" i="6" s="1"/>
  <c r="M408" i="6" s="1"/>
  <c r="F180" i="6"/>
  <c r="G180" i="6" s="1"/>
  <c r="H180" i="6" s="1"/>
  <c r="I180" i="6" s="1"/>
  <c r="J180" i="6" s="1"/>
  <c r="K180" i="6" s="1"/>
  <c r="L180" i="6" s="1"/>
  <c r="M180" i="6" s="1"/>
  <c r="F204" i="6"/>
  <c r="G204" i="6" s="1"/>
  <c r="H204" i="6" s="1"/>
  <c r="I204" i="6" s="1"/>
  <c r="J204" i="6" s="1"/>
  <c r="K204" i="6" s="1"/>
  <c r="L204" i="6" s="1"/>
  <c r="M204" i="6" s="1"/>
  <c r="F216" i="6"/>
  <c r="G216" i="6" s="1"/>
  <c r="H216" i="6" s="1"/>
  <c r="I216" i="6" s="1"/>
  <c r="J216" i="6" s="1"/>
  <c r="K216" i="6" s="1"/>
  <c r="L216" i="6" s="1"/>
  <c r="M216" i="6" s="1"/>
  <c r="F228" i="6"/>
  <c r="G228" i="6" s="1"/>
  <c r="H228" i="6" s="1"/>
  <c r="I228" i="6" s="1"/>
  <c r="J228" i="6" s="1"/>
  <c r="K228" i="6" s="1"/>
  <c r="L228" i="6" s="1"/>
  <c r="M228" i="6" s="1"/>
  <c r="F240" i="6"/>
  <c r="G240" i="6" s="1"/>
  <c r="H240" i="6" s="1"/>
  <c r="I240" i="6" s="1"/>
  <c r="J240" i="6" s="1"/>
  <c r="K240" i="6" s="1"/>
  <c r="L240" i="6" s="1"/>
  <c r="M240" i="6" s="1"/>
  <c r="F252" i="6"/>
  <c r="G252" i="6" s="1"/>
  <c r="H252" i="6" s="1"/>
  <c r="I252" i="6" s="1"/>
  <c r="J252" i="6" s="1"/>
  <c r="K252" i="6" s="1"/>
  <c r="L252" i="6" s="1"/>
  <c r="M252" i="6" s="1"/>
  <c r="F264" i="6"/>
  <c r="G264" i="6" s="1"/>
  <c r="H264" i="6" s="1"/>
  <c r="I264" i="6" s="1"/>
  <c r="J264" i="6" s="1"/>
  <c r="K264" i="6" s="1"/>
  <c r="L264" i="6" s="1"/>
  <c r="M264" i="6" s="1"/>
  <c r="F276" i="6"/>
  <c r="G276" i="6" s="1"/>
  <c r="H276" i="6" s="1"/>
  <c r="I276" i="6" s="1"/>
  <c r="J276" i="6" s="1"/>
  <c r="K276" i="6" s="1"/>
  <c r="L276" i="6" s="1"/>
  <c r="M276" i="6" s="1"/>
  <c r="F282" i="6"/>
  <c r="G282" i="6" s="1"/>
  <c r="H282" i="6" s="1"/>
  <c r="I282" i="6" s="1"/>
  <c r="J282" i="6" s="1"/>
  <c r="K282" i="6" s="1"/>
  <c r="L282" i="6" s="1"/>
  <c r="M282" i="6" s="1"/>
  <c r="F294" i="6"/>
  <c r="G294" i="6" s="1"/>
  <c r="H294" i="6" s="1"/>
  <c r="I294" i="6" s="1"/>
  <c r="J294" i="6" s="1"/>
  <c r="K294" i="6" s="1"/>
  <c r="L294" i="6" s="1"/>
  <c r="M294" i="6" s="1"/>
  <c r="F306" i="6"/>
  <c r="G306" i="6" s="1"/>
  <c r="H306" i="6" s="1"/>
  <c r="I306" i="6" s="1"/>
  <c r="J306" i="6" s="1"/>
  <c r="K306" i="6" s="1"/>
  <c r="L306" i="6" s="1"/>
  <c r="M306" i="6" s="1"/>
  <c r="F318" i="6"/>
  <c r="G318" i="6" s="1"/>
  <c r="H318" i="6" s="1"/>
  <c r="I318" i="6" s="1"/>
  <c r="J318" i="6" s="1"/>
  <c r="K318" i="6" s="1"/>
  <c r="L318" i="6" s="1"/>
  <c r="M318" i="6" s="1"/>
  <c r="F330" i="6"/>
  <c r="G330" i="6" s="1"/>
  <c r="H330" i="6" s="1"/>
  <c r="I330" i="6" s="1"/>
  <c r="J330" i="6" s="1"/>
  <c r="K330" i="6" s="1"/>
  <c r="L330" i="6" s="1"/>
  <c r="M330" i="6" s="1"/>
  <c r="F348" i="6"/>
  <c r="G348" i="6" s="1"/>
  <c r="H348" i="6" s="1"/>
  <c r="I348" i="6" s="1"/>
  <c r="J348" i="6" s="1"/>
  <c r="K348" i="6" s="1"/>
  <c r="L348" i="6" s="1"/>
  <c r="M348" i="6" s="1"/>
  <c r="F360" i="6"/>
  <c r="G360" i="6" s="1"/>
  <c r="H360" i="6" s="1"/>
  <c r="I360" i="6" s="1"/>
  <c r="J360" i="6" s="1"/>
  <c r="K360" i="6" s="1"/>
  <c r="L360" i="6" s="1"/>
  <c r="M360" i="6" s="1"/>
  <c r="F384" i="6"/>
  <c r="G384" i="6" s="1"/>
  <c r="H384" i="6" s="1"/>
  <c r="I384" i="6" s="1"/>
  <c r="J384" i="6" s="1"/>
  <c r="K384" i="6" s="1"/>
  <c r="L384" i="6" s="1"/>
  <c r="M384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207" i="6"/>
  <c r="G207" i="6" s="1"/>
  <c r="H207" i="6" s="1"/>
  <c r="I207" i="6" s="1"/>
  <c r="J207" i="6" s="1"/>
  <c r="K207" i="6" s="1"/>
  <c r="L207" i="6" s="1"/>
  <c r="M207" i="6" s="1"/>
  <c r="F213" i="6"/>
  <c r="G213" i="6" s="1"/>
  <c r="H213" i="6" s="1"/>
  <c r="I213" i="6" s="1"/>
  <c r="J213" i="6" s="1"/>
  <c r="K213" i="6" s="1"/>
  <c r="L213" i="6" s="1"/>
  <c r="M213" i="6" s="1"/>
  <c r="F219" i="6"/>
  <c r="G219" i="6" s="1"/>
  <c r="H219" i="6" s="1"/>
  <c r="I219" i="6" s="1"/>
  <c r="J219" i="6" s="1"/>
  <c r="K219" i="6" s="1"/>
  <c r="L219" i="6" s="1"/>
  <c r="M219" i="6" s="1"/>
  <c r="F225" i="6"/>
  <c r="G225" i="6" s="1"/>
  <c r="H225" i="6" s="1"/>
  <c r="I225" i="6" s="1"/>
  <c r="J225" i="6" s="1"/>
  <c r="K225" i="6" s="1"/>
  <c r="L225" i="6" s="1"/>
  <c r="M225" i="6" s="1"/>
  <c r="F231" i="6"/>
  <c r="G231" i="6" s="1"/>
  <c r="H231" i="6" s="1"/>
  <c r="I231" i="6" s="1"/>
  <c r="J231" i="6" s="1"/>
  <c r="K231" i="6" s="1"/>
  <c r="L231" i="6" s="1"/>
  <c r="M231" i="6" s="1"/>
  <c r="F243" i="6"/>
  <c r="G243" i="6" s="1"/>
  <c r="H243" i="6" s="1"/>
  <c r="I243" i="6" s="1"/>
  <c r="J243" i="6" s="1"/>
  <c r="K243" i="6" s="1"/>
  <c r="L243" i="6" s="1"/>
  <c r="M243" i="6" s="1"/>
  <c r="F249" i="6"/>
  <c r="G249" i="6" s="1"/>
  <c r="H249" i="6" s="1"/>
  <c r="I249" i="6" s="1"/>
  <c r="J249" i="6" s="1"/>
  <c r="K249" i="6" s="1"/>
  <c r="L249" i="6" s="1"/>
  <c r="M249" i="6" s="1"/>
  <c r="F255" i="6"/>
  <c r="G255" i="6" s="1"/>
  <c r="H255" i="6" s="1"/>
  <c r="I255" i="6" s="1"/>
  <c r="J255" i="6" s="1"/>
  <c r="K255" i="6" s="1"/>
  <c r="L255" i="6" s="1"/>
  <c r="M255" i="6" s="1"/>
  <c r="F261" i="6"/>
  <c r="G261" i="6" s="1"/>
  <c r="H261" i="6" s="1"/>
  <c r="I261" i="6" s="1"/>
  <c r="J261" i="6" s="1"/>
  <c r="K261" i="6" s="1"/>
  <c r="L261" i="6" s="1"/>
  <c r="M261" i="6" s="1"/>
  <c r="F279" i="6"/>
  <c r="G279" i="6" s="1"/>
  <c r="H279" i="6" s="1"/>
  <c r="I279" i="6" s="1"/>
  <c r="J279" i="6" s="1"/>
  <c r="K279" i="6" s="1"/>
  <c r="L279" i="6" s="1"/>
  <c r="M279" i="6" s="1"/>
  <c r="F291" i="6"/>
  <c r="G291" i="6" s="1"/>
  <c r="H291" i="6" s="1"/>
  <c r="I291" i="6" s="1"/>
  <c r="J291" i="6" s="1"/>
  <c r="K291" i="6" s="1"/>
  <c r="L291" i="6" s="1"/>
  <c r="M291" i="6" s="1"/>
  <c r="F297" i="6"/>
  <c r="G297" i="6" s="1"/>
  <c r="H297" i="6" s="1"/>
  <c r="I297" i="6" s="1"/>
  <c r="J297" i="6" s="1"/>
  <c r="K297" i="6" s="1"/>
  <c r="L297" i="6" s="1"/>
  <c r="M297" i="6" s="1"/>
  <c r="F309" i="6"/>
  <c r="G309" i="6" s="1"/>
  <c r="H309" i="6" s="1"/>
  <c r="I309" i="6" s="1"/>
  <c r="J309" i="6" s="1"/>
  <c r="K309" i="6" s="1"/>
  <c r="L309" i="6" s="1"/>
  <c r="M309" i="6" s="1"/>
  <c r="F315" i="6"/>
  <c r="G315" i="6" s="1"/>
  <c r="H315" i="6" s="1"/>
  <c r="I315" i="6" s="1"/>
  <c r="J315" i="6" s="1"/>
  <c r="K315" i="6" s="1"/>
  <c r="L315" i="6" s="1"/>
  <c r="M315" i="6" s="1"/>
  <c r="F321" i="6"/>
  <c r="G321" i="6" s="1"/>
  <c r="H321" i="6" s="1"/>
  <c r="I321" i="6" s="1"/>
  <c r="J321" i="6" s="1"/>
  <c r="K321" i="6" s="1"/>
  <c r="L321" i="6" s="1"/>
  <c r="M321" i="6" s="1"/>
  <c r="F327" i="6"/>
  <c r="G327" i="6" s="1"/>
  <c r="H327" i="6" s="1"/>
  <c r="I327" i="6" s="1"/>
  <c r="J327" i="6" s="1"/>
  <c r="K327" i="6" s="1"/>
  <c r="L327" i="6" s="1"/>
  <c r="M327" i="6" s="1"/>
  <c r="F333" i="6"/>
  <c r="G333" i="6" s="1"/>
  <c r="H333" i="6" s="1"/>
  <c r="I333" i="6" s="1"/>
  <c r="J333" i="6" s="1"/>
  <c r="K333" i="6" s="1"/>
  <c r="L333" i="6" s="1"/>
  <c r="M333" i="6" s="1"/>
  <c r="F345" i="6"/>
  <c r="G345" i="6" s="1"/>
  <c r="H345" i="6" s="1"/>
  <c r="I345" i="6" s="1"/>
  <c r="J345" i="6" s="1"/>
  <c r="K345" i="6" s="1"/>
  <c r="L345" i="6" s="1"/>
  <c r="M345" i="6" s="1"/>
  <c r="F351" i="6"/>
  <c r="G351" i="6" s="1"/>
  <c r="H351" i="6" s="1"/>
  <c r="I351" i="6" s="1"/>
  <c r="J351" i="6" s="1"/>
  <c r="K351" i="6" s="1"/>
  <c r="L351" i="6" s="1"/>
  <c r="M351" i="6" s="1"/>
  <c r="F363" i="6"/>
  <c r="G363" i="6" s="1"/>
  <c r="H363" i="6" s="1"/>
  <c r="I363" i="6" s="1"/>
  <c r="J363" i="6" s="1"/>
  <c r="K363" i="6" s="1"/>
  <c r="L363" i="6" s="1"/>
  <c r="M363" i="6" s="1"/>
  <c r="F375" i="6"/>
  <c r="G375" i="6" s="1"/>
  <c r="H375" i="6" s="1"/>
  <c r="I375" i="6" s="1"/>
  <c r="J375" i="6" s="1"/>
  <c r="K375" i="6" s="1"/>
  <c r="L375" i="6" s="1"/>
  <c r="M375" i="6" s="1"/>
  <c r="F381" i="6"/>
  <c r="G381" i="6" s="1"/>
  <c r="H381" i="6" s="1"/>
  <c r="I381" i="6" s="1"/>
  <c r="J381" i="6" s="1"/>
  <c r="K381" i="6" s="1"/>
  <c r="L381" i="6" s="1"/>
  <c r="M381" i="6" s="1"/>
  <c r="F387" i="6"/>
  <c r="G387" i="6" s="1"/>
  <c r="H387" i="6" s="1"/>
  <c r="I387" i="6" s="1"/>
  <c r="J387" i="6" s="1"/>
  <c r="K387" i="6" s="1"/>
  <c r="L387" i="6" s="1"/>
  <c r="M387" i="6" s="1"/>
  <c r="F405" i="6"/>
  <c r="G405" i="6" s="1"/>
  <c r="H405" i="6" s="1"/>
  <c r="I405" i="6" s="1"/>
  <c r="J405" i="6" s="1"/>
  <c r="K405" i="6" s="1"/>
  <c r="L405" i="6" s="1"/>
  <c r="M405" i="6" s="1"/>
  <c r="F411" i="6"/>
  <c r="G411" i="6" s="1"/>
  <c r="H411" i="6" s="1"/>
  <c r="I411" i="6" s="1"/>
  <c r="J411" i="6" s="1"/>
  <c r="K411" i="6" s="1"/>
  <c r="L411" i="6" s="1"/>
  <c r="M411" i="6" s="1"/>
  <c r="AI8" i="6"/>
  <c r="AY8" i="6"/>
  <c r="AY17" i="6" s="1"/>
  <c r="BG8" i="6"/>
  <c r="BG17" i="6" s="1"/>
  <c r="CO6" i="6"/>
  <c r="BW8" i="6"/>
  <c r="M9" i="6"/>
  <c r="M17" i="6" s="1"/>
  <c r="M20" i="6" s="1"/>
  <c r="Q9" i="6"/>
  <c r="Q13" i="6" s="1"/>
  <c r="U9" i="6"/>
  <c r="U13" i="6" s="1"/>
  <c r="AA8" i="6"/>
  <c r="F320" i="6"/>
  <c r="G320" i="6" s="1"/>
  <c r="H320" i="6" s="1"/>
  <c r="I320" i="6" s="1"/>
  <c r="J320" i="6" s="1"/>
  <c r="K320" i="6" s="1"/>
  <c r="L320" i="6" s="1"/>
  <c r="M320" i="6" s="1"/>
  <c r="B9" i="6"/>
  <c r="B17" i="6" s="1"/>
  <c r="BX6" i="6"/>
  <c r="AO7" i="6"/>
  <c r="AW7" i="6"/>
  <c r="BA7" i="6"/>
  <c r="CQ8" i="6"/>
  <c r="CH8" i="6"/>
  <c r="CD8" i="6"/>
  <c r="BZ8" i="6"/>
  <c r="Z8" i="6"/>
  <c r="AP8" i="6"/>
  <c r="BB8" i="6"/>
  <c r="AJ9" i="6"/>
  <c r="CH9" i="6"/>
  <c r="CE9" i="6"/>
  <c r="BK9" i="6"/>
  <c r="AX9" i="6"/>
  <c r="AV9" i="6"/>
  <c r="AL8" i="6"/>
  <c r="F206" i="6"/>
  <c r="G206" i="6" s="1"/>
  <c r="H206" i="6" s="1"/>
  <c r="I206" i="6" s="1"/>
  <c r="J206" i="6" s="1"/>
  <c r="K206" i="6" s="1"/>
  <c r="L206" i="6" s="1"/>
  <c r="M206" i="6" s="1"/>
  <c r="AD9" i="6"/>
  <c r="F198" i="6"/>
  <c r="G198" i="6" s="1"/>
  <c r="H198" i="6" s="1"/>
  <c r="I198" i="6" s="1"/>
  <c r="J198" i="6" s="1"/>
  <c r="K198" i="6" s="1"/>
  <c r="L198" i="6" s="1"/>
  <c r="M198" i="6" s="1"/>
  <c r="AC8" i="6"/>
  <c r="O9" i="6"/>
  <c r="CP9" i="6"/>
  <c r="CP16" i="6" s="1"/>
  <c r="CT9" i="6"/>
  <c r="CT16" i="6" s="1"/>
  <c r="CO9" i="6"/>
  <c r="CO17" i="6" s="1"/>
  <c r="CO20" i="6" s="1"/>
  <c r="CS9" i="6"/>
  <c r="CS15" i="6" s="1"/>
  <c r="CR9" i="6"/>
  <c r="CR17" i="6" s="1"/>
  <c r="CR21" i="6" s="1"/>
  <c r="CQ9" i="6"/>
  <c r="CQ12" i="6" s="1"/>
  <c r="CU9" i="6"/>
  <c r="CU12" i="6" s="1"/>
  <c r="CP6" i="6"/>
  <c r="CT6" i="6"/>
  <c r="CQ6" i="6"/>
  <c r="CU6" i="6"/>
  <c r="CN6" i="6"/>
  <c r="CR6" i="6"/>
  <c r="CV6" i="6"/>
  <c r="CJ9" i="6"/>
  <c r="CJ12" i="6" s="1"/>
  <c r="CD9" i="6"/>
  <c r="CL9" i="6"/>
  <c r="CL13" i="6" s="1"/>
  <c r="CF9" i="6"/>
  <c r="CF12" i="6" s="1"/>
  <c r="CI9" i="6"/>
  <c r="CI12" i="6" s="1"/>
  <c r="CG9" i="6"/>
  <c r="CG12" i="6" s="1"/>
  <c r="CK9" i="6"/>
  <c r="CK12" i="6" s="1"/>
  <c r="CM7" i="6"/>
  <c r="CM12" i="6" s="1"/>
  <c r="CH6" i="6"/>
  <c r="CL7" i="6"/>
  <c r="CH7" i="6"/>
  <c r="CD7" i="6"/>
  <c r="BZ9" i="6"/>
  <c r="BU9" i="6"/>
  <c r="BU16" i="6" s="1"/>
  <c r="BY9" i="6"/>
  <c r="BY13" i="6" s="1"/>
  <c r="CC9" i="6"/>
  <c r="CC17" i="6" s="1"/>
  <c r="CC21" i="6" s="1"/>
  <c r="BX9" i="6"/>
  <c r="BX13" i="6" s="1"/>
  <c r="CB9" i="6"/>
  <c r="CB15" i="6" s="1"/>
  <c r="CB22" i="6" s="1"/>
  <c r="BW9" i="6"/>
  <c r="BU6" i="6"/>
  <c r="BY6" i="6"/>
  <c r="BW6" i="6"/>
  <c r="CA6" i="6"/>
  <c r="BP9" i="6"/>
  <c r="BP16" i="6" s="1"/>
  <c r="BO9" i="6"/>
  <c r="BO16" i="6" s="1"/>
  <c r="BJ9" i="6"/>
  <c r="BJ12" i="6" s="1"/>
  <c r="BN9" i="6"/>
  <c r="BN16" i="6" s="1"/>
  <c r="BR9" i="6"/>
  <c r="BR12" i="6" s="1"/>
  <c r="BM9" i="6"/>
  <c r="BK6" i="6"/>
  <c r="BO6" i="6"/>
  <c r="BS6" i="6"/>
  <c r="F312" i="6"/>
  <c r="G312" i="6" s="1"/>
  <c r="H312" i="6" s="1"/>
  <c r="I312" i="6" s="1"/>
  <c r="J312" i="6" s="1"/>
  <c r="K312" i="6" s="1"/>
  <c r="L312" i="6" s="1"/>
  <c r="M312" i="6" s="1"/>
  <c r="BL6" i="6"/>
  <c r="BP6" i="6"/>
  <c r="BM6" i="6"/>
  <c r="BQ6" i="6"/>
  <c r="BI9" i="6"/>
  <c r="BA6" i="6"/>
  <c r="BE6" i="6"/>
  <c r="BI6" i="6"/>
  <c r="BB6" i="6"/>
  <c r="BF6" i="6"/>
  <c r="BC6" i="6"/>
  <c r="BG6" i="6"/>
  <c r="BG11" i="6" s="1"/>
  <c r="AR9" i="6"/>
  <c r="AR16" i="6" s="1"/>
  <c r="AQ9" i="6"/>
  <c r="AQ16" i="6" s="1"/>
  <c r="AU9" i="6"/>
  <c r="AU17" i="6" s="1"/>
  <c r="AU20" i="6" s="1"/>
  <c r="AP9" i="6"/>
  <c r="AP12" i="6" s="1"/>
  <c r="AT9" i="6"/>
  <c r="AT17" i="6" s="1"/>
  <c r="AT20" i="6" s="1"/>
  <c r="AS9" i="6"/>
  <c r="AS13" i="6" s="1"/>
  <c r="AW9" i="6"/>
  <c r="AR6" i="6"/>
  <c r="AV6" i="6"/>
  <c r="AS6" i="6"/>
  <c r="AW6" i="6"/>
  <c r="AP6" i="6"/>
  <c r="AT6" i="6"/>
  <c r="AT11" i="6" s="1"/>
  <c r="AX6" i="6"/>
  <c r="AK9" i="6"/>
  <c r="AK12" i="6" s="1"/>
  <c r="AO9" i="6"/>
  <c r="AO17" i="6" s="1"/>
  <c r="AO20" i="6" s="1"/>
  <c r="AL9" i="6"/>
  <c r="AL16" i="6" s="1"/>
  <c r="AF9" i="6"/>
  <c r="AF12" i="6" s="1"/>
  <c r="AN9" i="6"/>
  <c r="AN12" i="6" s="1"/>
  <c r="AI9" i="6"/>
  <c r="AI16" i="6" s="1"/>
  <c r="AM9" i="6"/>
  <c r="AM16" i="6" s="1"/>
  <c r="AH6" i="6"/>
  <c r="AI6" i="6"/>
  <c r="AL6" i="6"/>
  <c r="X9" i="6"/>
  <c r="X17" i="6" s="1"/>
  <c r="AB9" i="6"/>
  <c r="AB12" i="6" s="1"/>
  <c r="W9" i="6"/>
  <c r="AA9" i="6"/>
  <c r="AE9" i="6"/>
  <c r="V9" i="6"/>
  <c r="V13" i="6" s="1"/>
  <c r="Y9" i="6"/>
  <c r="Y13" i="6" s="1"/>
  <c r="AC9" i="6"/>
  <c r="W6" i="6"/>
  <c r="AE6" i="6"/>
  <c r="X6" i="6"/>
  <c r="AB6" i="6"/>
  <c r="AC7" i="6"/>
  <c r="AA6" i="6"/>
  <c r="Y6" i="6"/>
  <c r="AC6" i="6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9" i="6"/>
  <c r="N12" i="6" s="1"/>
  <c r="R9" i="6"/>
  <c r="R12" i="6" s="1"/>
  <c r="L9" i="6"/>
  <c r="L13" i="6" s="1"/>
  <c r="P9" i="6"/>
  <c r="P17" i="6" s="1"/>
  <c r="P20" i="6" s="1"/>
  <c r="L6" i="6"/>
  <c r="U6" i="6"/>
  <c r="N6" i="6"/>
  <c r="M7" i="6"/>
  <c r="Q6" i="6"/>
  <c r="M6" i="6"/>
  <c r="R6" i="6"/>
  <c r="O7" i="6"/>
  <c r="O6" i="6"/>
  <c r="S6" i="6"/>
  <c r="S15" i="6" s="1"/>
  <c r="S27" i="6" s="1"/>
  <c r="N165" i="6" s="1"/>
  <c r="Q7" i="6"/>
  <c r="S7" i="6"/>
  <c r="S12" i="6" s="1"/>
  <c r="U7" i="6"/>
  <c r="BG12" i="6"/>
  <c r="CW9" i="6"/>
  <c r="CW16" i="6" s="1"/>
  <c r="CV9" i="6"/>
  <c r="CV16" i="6" s="1"/>
  <c r="CL6" i="6"/>
  <c r="CK6" i="6"/>
  <c r="CJ6" i="6"/>
  <c r="CI6" i="6"/>
  <c r="CG6" i="6"/>
  <c r="CF6" i="6"/>
  <c r="CE6" i="6"/>
  <c r="CD6" i="6"/>
  <c r="CC6" i="6"/>
  <c r="CB7" i="6"/>
  <c r="CA7" i="6"/>
  <c r="BZ7" i="6"/>
  <c r="BY7" i="6"/>
  <c r="BX7" i="6"/>
  <c r="BW7" i="6"/>
  <c r="BV7" i="6"/>
  <c r="BT7" i="6"/>
  <c r="BS7" i="6"/>
  <c r="BR8" i="6"/>
  <c r="BQ8" i="6"/>
  <c r="BP8" i="6"/>
  <c r="BO8" i="6"/>
  <c r="BN8" i="6"/>
  <c r="BM8" i="6"/>
  <c r="BL8" i="6"/>
  <c r="BK8" i="6"/>
  <c r="BJ8" i="6"/>
  <c r="BI8" i="6"/>
  <c r="BH9" i="6"/>
  <c r="BF9" i="6"/>
  <c r="BD9" i="6"/>
  <c r="BD13" i="6" s="1"/>
  <c r="BC9" i="6"/>
  <c r="BB9" i="6"/>
  <c r="BA9" i="6"/>
  <c r="AZ9" i="6"/>
  <c r="AZ13" i="6" s="1"/>
  <c r="BG16" i="6"/>
  <c r="AY16" i="6"/>
  <c r="AY12" i="6"/>
  <c r="AY15" i="6"/>
  <c r="AY22" i="6" s="1"/>
  <c r="AO6" i="6"/>
  <c r="AN6" i="6"/>
  <c r="AK6" i="6"/>
  <c r="AJ6" i="6"/>
  <c r="AG6" i="6"/>
  <c r="AF6" i="6"/>
  <c r="AE7" i="6"/>
  <c r="AD7" i="6"/>
  <c r="AA7" i="6"/>
  <c r="Z7" i="6"/>
  <c r="W7" i="6"/>
  <c r="V7" i="6"/>
  <c r="S8" i="6"/>
  <c r="R8" i="6"/>
  <c r="O8" i="6"/>
  <c r="N8" i="6"/>
  <c r="T8" i="6"/>
  <c r="Y7" i="6"/>
  <c r="F203" i="6"/>
  <c r="G203" i="6" s="1"/>
  <c r="H203" i="6" s="1"/>
  <c r="I203" i="6" s="1"/>
  <c r="J203" i="6" s="1"/>
  <c r="K203" i="6" s="1"/>
  <c r="L203" i="6" s="1"/>
  <c r="M203" i="6" s="1"/>
  <c r="F239" i="6"/>
  <c r="G239" i="6" s="1"/>
  <c r="H239" i="6" s="1"/>
  <c r="I239" i="6" s="1"/>
  <c r="J239" i="6" s="1"/>
  <c r="K239" i="6" s="1"/>
  <c r="L239" i="6" s="1"/>
  <c r="M239" i="6" s="1"/>
  <c r="F257" i="6"/>
  <c r="G257" i="6" s="1"/>
  <c r="H257" i="6" s="1"/>
  <c r="I257" i="6" s="1"/>
  <c r="J257" i="6" s="1"/>
  <c r="K257" i="6" s="1"/>
  <c r="L257" i="6" s="1"/>
  <c r="M257" i="6" s="1"/>
  <c r="F263" i="6"/>
  <c r="G263" i="6" s="1"/>
  <c r="H263" i="6" s="1"/>
  <c r="I263" i="6" s="1"/>
  <c r="J263" i="6" s="1"/>
  <c r="K263" i="6" s="1"/>
  <c r="L263" i="6" s="1"/>
  <c r="M263" i="6" s="1"/>
  <c r="F305" i="6"/>
  <c r="G305" i="6" s="1"/>
  <c r="H305" i="6" s="1"/>
  <c r="I305" i="6" s="1"/>
  <c r="J305" i="6" s="1"/>
  <c r="K305" i="6" s="1"/>
  <c r="L305" i="6" s="1"/>
  <c r="M305" i="6" s="1"/>
  <c r="F377" i="6"/>
  <c r="G377" i="6" s="1"/>
  <c r="H377" i="6" s="1"/>
  <c r="I377" i="6" s="1"/>
  <c r="J377" i="6" s="1"/>
  <c r="K377" i="6" s="1"/>
  <c r="L377" i="6" s="1"/>
  <c r="M377" i="6" s="1"/>
  <c r="F383" i="6"/>
  <c r="G383" i="6" s="1"/>
  <c r="H383" i="6" s="1"/>
  <c r="I383" i="6" s="1"/>
  <c r="J383" i="6" s="1"/>
  <c r="K383" i="6" s="1"/>
  <c r="L383" i="6" s="1"/>
  <c r="M383" i="6" s="1"/>
  <c r="K9" i="6"/>
  <c r="K17" i="6" s="1"/>
  <c r="K21" i="6" s="1"/>
  <c r="J9" i="6"/>
  <c r="J6" i="6"/>
  <c r="I9" i="6"/>
  <c r="I6" i="6"/>
  <c r="H9" i="6"/>
  <c r="H12" i="6" s="1"/>
  <c r="G6" i="6"/>
  <c r="E9" i="6"/>
  <c r="E6" i="6"/>
  <c r="D9" i="6"/>
  <c r="D6" i="6"/>
  <c r="C9" i="6"/>
  <c r="C13" i="6" s="1"/>
  <c r="C6" i="6"/>
  <c r="F336" i="6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CM11" i="6"/>
  <c r="CM13" i="6"/>
  <c r="CM17" i="6"/>
  <c r="CM15" i="6"/>
  <c r="CM27" i="6" s="1"/>
  <c r="AY11" i="6"/>
  <c r="CF13" i="6" l="1"/>
  <c r="BW13" i="6"/>
  <c r="M13" i="6"/>
  <c r="BU13" i="6"/>
  <c r="AY13" i="6"/>
  <c r="X16" i="6"/>
  <c r="AL15" i="6"/>
  <c r="AL22" i="6" s="1"/>
  <c r="CS17" i="6"/>
  <c r="CS20" i="6" s="1"/>
  <c r="CS13" i="6"/>
  <c r="CP17" i="6"/>
  <c r="CP21" i="6" s="1"/>
  <c r="BN17" i="6"/>
  <c r="BN21" i="6" s="1"/>
  <c r="AU11" i="6"/>
  <c r="AU16" i="6"/>
  <c r="AU12" i="6"/>
  <c r="AL12" i="6"/>
  <c r="AA13" i="6"/>
  <c r="Q17" i="6"/>
  <c r="Q21" i="6" s="1"/>
  <c r="B15" i="6"/>
  <c r="B27" i="6" s="1"/>
  <c r="N114" i="6" s="1"/>
  <c r="AT12" i="6"/>
  <c r="CG16" i="6"/>
  <c r="AT21" i="6"/>
  <c r="AW12" i="6"/>
  <c r="CU15" i="6"/>
  <c r="CU27" i="6" s="1"/>
  <c r="CG15" i="6"/>
  <c r="CG27" i="6" s="1"/>
  <c r="BR11" i="6"/>
  <c r="BG13" i="6"/>
  <c r="AY20" i="6"/>
  <c r="AY10" i="6" s="1"/>
  <c r="AY21" i="6"/>
  <c r="AX15" i="6"/>
  <c r="AX27" i="6" s="1"/>
  <c r="AU21" i="6"/>
  <c r="AS12" i="6"/>
  <c r="AR15" i="6"/>
  <c r="AR22" i="6" s="1"/>
  <c r="AB13" i="6"/>
  <c r="AB15" i="6"/>
  <c r="AB27" i="6" s="1"/>
  <c r="V15" i="6"/>
  <c r="V27" i="6" s="1"/>
  <c r="V11" i="6"/>
  <c r="M12" i="6"/>
  <c r="AY19" i="6"/>
  <c r="AP16" i="6"/>
  <c r="BG15" i="6"/>
  <c r="BG27" i="6" s="1"/>
  <c r="AY27" i="6"/>
  <c r="AP15" i="6"/>
  <c r="AP27" i="6" s="1"/>
  <c r="BO12" i="6"/>
  <c r="AF11" i="6"/>
  <c r="M16" i="6"/>
  <c r="AT13" i="6"/>
  <c r="U15" i="6"/>
  <c r="U22" i="6" s="1"/>
  <c r="CI17" i="6"/>
  <c r="CI21" i="6" s="1"/>
  <c r="AF15" i="6"/>
  <c r="AF22" i="6" s="1"/>
  <c r="N16" i="6"/>
  <c r="AU13" i="6"/>
  <c r="CU16" i="6"/>
  <c r="C12" i="6"/>
  <c r="U12" i="6"/>
  <c r="Q15" i="6"/>
  <c r="Q22" i="6" s="1"/>
  <c r="U11" i="6"/>
  <c r="CD12" i="6"/>
  <c r="B21" i="6"/>
  <c r="B20" i="6"/>
  <c r="B12" i="6"/>
  <c r="B13" i="6"/>
  <c r="AA17" i="6"/>
  <c r="AA21" i="6" s="1"/>
  <c r="BA16" i="6"/>
  <c r="Q11" i="6"/>
  <c r="X12" i="6"/>
  <c r="B16" i="6"/>
  <c r="U17" i="6"/>
  <c r="U20" i="6" s="1"/>
  <c r="BZ13" i="6"/>
  <c r="AP17" i="6"/>
  <c r="AP20" i="6" s="1"/>
  <c r="B11" i="6"/>
  <c r="AO21" i="6"/>
  <c r="BN12" i="6"/>
  <c r="H15" i="6"/>
  <c r="H22" i="6" s="1"/>
  <c r="U16" i="6"/>
  <c r="V17" i="6"/>
  <c r="V26" i="6" s="1"/>
  <c r="AC12" i="6"/>
  <c r="AF16" i="6"/>
  <c r="AF18" i="6" s="1"/>
  <c r="BU11" i="6"/>
  <c r="CD13" i="6"/>
  <c r="AC13" i="6"/>
  <c r="CQ17" i="6"/>
  <c r="K11" i="6"/>
  <c r="BD12" i="6"/>
  <c r="CD17" i="6"/>
  <c r="CB12" i="6"/>
  <c r="BU17" i="6"/>
  <c r="BU20" i="6" s="1"/>
  <c r="BJ15" i="6"/>
  <c r="BJ27" i="6" s="1"/>
  <c r="BR17" i="6"/>
  <c r="BR20" i="6" s="1"/>
  <c r="M15" i="6"/>
  <c r="M26" i="6" s="1"/>
  <c r="N146" i="6" s="1"/>
  <c r="Z9" i="6"/>
  <c r="Z17" i="6" s="1"/>
  <c r="Z20" i="6" s="1"/>
  <c r="AW16" i="6"/>
  <c r="CL16" i="6"/>
  <c r="AZ15" i="6"/>
  <c r="AZ27" i="6" s="1"/>
  <c r="I11" i="6"/>
  <c r="K13" i="6"/>
  <c r="BZ15" i="6"/>
  <c r="BZ22" i="6" s="1"/>
  <c r="BJ11" i="6"/>
  <c r="BB11" i="6"/>
  <c r="AP13" i="6"/>
  <c r="BJ16" i="6"/>
  <c r="BU12" i="6"/>
  <c r="BX11" i="6"/>
  <c r="BV9" i="6"/>
  <c r="BV16" i="6" s="1"/>
  <c r="AB17" i="6"/>
  <c r="CB17" i="6"/>
  <c r="CB26" i="6" s="1"/>
  <c r="AZ11" i="6"/>
  <c r="BR15" i="6"/>
  <c r="BR22" i="6" s="1"/>
  <c r="CD15" i="6"/>
  <c r="CI11" i="6"/>
  <c r="BQ9" i="6"/>
  <c r="BQ15" i="6" s="1"/>
  <c r="BQ22" i="6" s="1"/>
  <c r="BY15" i="6"/>
  <c r="BY27" i="6" s="1"/>
  <c r="AV16" i="6"/>
  <c r="AV12" i="6"/>
  <c r="AX17" i="6"/>
  <c r="AX21" i="6" s="1"/>
  <c r="AX16" i="6"/>
  <c r="CE12" i="6"/>
  <c r="CE13" i="6"/>
  <c r="CE17" i="6"/>
  <c r="CE21" i="6" s="1"/>
  <c r="CE11" i="6"/>
  <c r="CE16" i="6"/>
  <c r="AJ16" i="6"/>
  <c r="AJ12" i="6"/>
  <c r="AJ17" i="6"/>
  <c r="AJ20" i="6" s="1"/>
  <c r="AJ13" i="6"/>
  <c r="AE15" i="6"/>
  <c r="AE22" i="6" s="1"/>
  <c r="S11" i="6"/>
  <c r="BU15" i="6"/>
  <c r="BU27" i="6" s="1"/>
  <c r="H11" i="6"/>
  <c r="CI16" i="6"/>
  <c r="CR13" i="6"/>
  <c r="CI13" i="6"/>
  <c r="BP12" i="6"/>
  <c r="F9" i="6"/>
  <c r="F12" i="6" s="1"/>
  <c r="AQ15" i="6"/>
  <c r="AQ22" i="6" s="1"/>
  <c r="BV15" i="6"/>
  <c r="BN13" i="6"/>
  <c r="Y15" i="6"/>
  <c r="BN15" i="6"/>
  <c r="O15" i="6"/>
  <c r="AK17" i="6"/>
  <c r="AK20" i="6" s="1"/>
  <c r="AP11" i="6"/>
  <c r="BO15" i="6"/>
  <c r="BO22" i="6" s="1"/>
  <c r="BS9" i="6"/>
  <c r="BS11" i="6" s="1"/>
  <c r="CA9" i="6"/>
  <c r="CA12" i="6" s="1"/>
  <c r="BT9" i="6"/>
  <c r="BT12" i="6" s="1"/>
  <c r="CQ11" i="6"/>
  <c r="CU11" i="6"/>
  <c r="AY26" i="6"/>
  <c r="AI15" i="6"/>
  <c r="AI27" i="6" s="1"/>
  <c r="AQ17" i="6"/>
  <c r="AQ20" i="6" s="1"/>
  <c r="CF15" i="6"/>
  <c r="CF22" i="6" s="1"/>
  <c r="G9" i="6"/>
  <c r="AQ13" i="6"/>
  <c r="N17" i="6"/>
  <c r="AJ15" i="6"/>
  <c r="AJ22" i="6" s="1"/>
  <c r="CE15" i="6"/>
  <c r="CE22" i="6" s="1"/>
  <c r="N15" i="6"/>
  <c r="N27" i="6" s="1"/>
  <c r="N150" i="6" s="1"/>
  <c r="T9" i="6"/>
  <c r="T13" i="6" s="1"/>
  <c r="Y11" i="6"/>
  <c r="AA11" i="6"/>
  <c r="AG9" i="6"/>
  <c r="AG16" i="6" s="1"/>
  <c r="AT16" i="6"/>
  <c r="BM15" i="6"/>
  <c r="BL9" i="6"/>
  <c r="CD16" i="6"/>
  <c r="BC15" i="6"/>
  <c r="BC22" i="6" s="1"/>
  <c r="BE9" i="6"/>
  <c r="BE17" i="6" s="1"/>
  <c r="BE21" i="6" s="1"/>
  <c r="BO13" i="6"/>
  <c r="O16" i="6"/>
  <c r="AV15" i="6"/>
  <c r="BI15" i="6"/>
  <c r="BI27" i="6" s="1"/>
  <c r="CN9" i="6"/>
  <c r="CN13" i="6" s="1"/>
  <c r="CW17" i="6"/>
  <c r="CW21" i="6" s="1"/>
  <c r="CW15" i="6"/>
  <c r="CW27" i="6" s="1"/>
  <c r="CW11" i="6"/>
  <c r="CV11" i="6"/>
  <c r="CU17" i="6"/>
  <c r="CU21" i="6" s="1"/>
  <c r="CU13" i="6"/>
  <c r="CS11" i="6"/>
  <c r="CS12" i="6"/>
  <c r="CS16" i="6"/>
  <c r="CS18" i="6" s="1"/>
  <c r="CS22" i="6"/>
  <c r="CR11" i="6"/>
  <c r="CP12" i="6"/>
  <c r="CP13" i="6"/>
  <c r="CO21" i="6"/>
  <c r="CO16" i="6"/>
  <c r="CO12" i="6"/>
  <c r="CO13" i="6"/>
  <c r="CO11" i="6"/>
  <c r="CL17" i="6"/>
  <c r="CK17" i="6"/>
  <c r="CK20" i="6" s="1"/>
  <c r="CK16" i="6"/>
  <c r="CJ15" i="6"/>
  <c r="CJ11" i="6"/>
  <c r="CJ16" i="6"/>
  <c r="CJ13" i="6"/>
  <c r="CJ17" i="6"/>
  <c r="CJ20" i="6" s="1"/>
  <c r="CI15" i="6"/>
  <c r="CH16" i="6"/>
  <c r="CH13" i="6"/>
  <c r="CH11" i="6"/>
  <c r="CH17" i="6"/>
  <c r="CH21" i="6" s="1"/>
  <c r="CH15" i="6"/>
  <c r="CG13" i="6"/>
  <c r="CF11" i="6"/>
  <c r="CC20" i="6"/>
  <c r="CC13" i="6"/>
  <c r="CC12" i="6"/>
  <c r="CC16" i="6"/>
  <c r="CB13" i="6"/>
  <c r="CB11" i="6"/>
  <c r="CB16" i="6"/>
  <c r="CB18" i="6" s="1"/>
  <c r="BZ17" i="6"/>
  <c r="BZ20" i="6" s="1"/>
  <c r="BZ11" i="6"/>
  <c r="BZ16" i="6"/>
  <c r="BY17" i="6"/>
  <c r="BY20" i="6" s="1"/>
  <c r="BY11" i="6"/>
  <c r="BX15" i="6"/>
  <c r="BX17" i="6"/>
  <c r="BX21" i="6" s="1"/>
  <c r="BX16" i="6"/>
  <c r="BW15" i="6"/>
  <c r="BW27" i="6" s="1"/>
  <c r="BW12" i="6"/>
  <c r="BW11" i="6"/>
  <c r="BR27" i="6"/>
  <c r="BP13" i="6"/>
  <c r="BO11" i="6"/>
  <c r="BN11" i="6"/>
  <c r="BM16" i="6"/>
  <c r="BK13" i="6"/>
  <c r="BK16" i="6"/>
  <c r="BK11" i="6"/>
  <c r="BK17" i="6"/>
  <c r="BK20" i="6" s="1"/>
  <c r="BK12" i="6"/>
  <c r="BK15" i="6"/>
  <c r="BI12" i="6"/>
  <c r="BI11" i="6"/>
  <c r="BI16" i="6"/>
  <c r="BC12" i="6"/>
  <c r="AY18" i="6"/>
  <c r="AX11" i="6"/>
  <c r="AX12" i="6"/>
  <c r="AX13" i="6"/>
  <c r="AV17" i="6"/>
  <c r="AV21" i="6" s="1"/>
  <c r="AS16" i="6"/>
  <c r="AS17" i="6"/>
  <c r="AO16" i="6"/>
  <c r="AO12" i="6"/>
  <c r="AO13" i="6"/>
  <c r="AN13" i="6"/>
  <c r="AN17" i="6"/>
  <c r="AN20" i="6" s="1"/>
  <c r="AM17" i="6"/>
  <c r="AM21" i="6" s="1"/>
  <c r="AM12" i="6"/>
  <c r="AL27" i="6"/>
  <c r="AL11" i="6"/>
  <c r="AK15" i="6"/>
  <c r="AK22" i="6" s="1"/>
  <c r="AK13" i="6"/>
  <c r="AK16" i="6"/>
  <c r="AJ11" i="6"/>
  <c r="AI11" i="6"/>
  <c r="AI13" i="6"/>
  <c r="AH9" i="6"/>
  <c r="AH17" i="6" s="1"/>
  <c r="AF17" i="6"/>
  <c r="AF13" i="6"/>
  <c r="AD11" i="6"/>
  <c r="AD13" i="6"/>
  <c r="AD17" i="6"/>
  <c r="AD21" i="6" s="1"/>
  <c r="AD15" i="6"/>
  <c r="AD22" i="6" s="1"/>
  <c r="AD16" i="6"/>
  <c r="AC17" i="6"/>
  <c r="AC21" i="6" s="1"/>
  <c r="AC11" i="6"/>
  <c r="AA15" i="6"/>
  <c r="Y17" i="6"/>
  <c r="X11" i="6"/>
  <c r="X13" i="6"/>
  <c r="X20" i="6"/>
  <c r="X21" i="6"/>
  <c r="X15" i="6"/>
  <c r="W11" i="6"/>
  <c r="R15" i="6"/>
  <c r="R22" i="6" s="1"/>
  <c r="R16" i="6"/>
  <c r="P12" i="6"/>
  <c r="O12" i="6"/>
  <c r="N13" i="6"/>
  <c r="N11" i="6"/>
  <c r="M11" i="6"/>
  <c r="K16" i="6"/>
  <c r="E11" i="6"/>
  <c r="C15" i="6"/>
  <c r="C22" i="6" s="1"/>
  <c r="C17" i="6"/>
  <c r="C21" i="6" s="1"/>
  <c r="C11" i="6"/>
  <c r="C16" i="6"/>
  <c r="CT12" i="6"/>
  <c r="CR16" i="6"/>
  <c r="CR15" i="6"/>
  <c r="CR27" i="6" s="1"/>
  <c r="CQ13" i="6"/>
  <c r="CQ15" i="6"/>
  <c r="CQ27" i="6" s="1"/>
  <c r="CT15" i="6"/>
  <c r="CO15" i="6"/>
  <c r="CS27" i="6"/>
  <c r="CT17" i="6"/>
  <c r="CT20" i="6" s="1"/>
  <c r="CQ16" i="6"/>
  <c r="CR20" i="6"/>
  <c r="CT13" i="6"/>
  <c r="CP11" i="6"/>
  <c r="CP15" i="6"/>
  <c r="CT11" i="6"/>
  <c r="CR12" i="6"/>
  <c r="CE27" i="6"/>
  <c r="CK13" i="6"/>
  <c r="CD11" i="6"/>
  <c r="CM16" i="6"/>
  <c r="CM19" i="6" s="1"/>
  <c r="CL12" i="6"/>
  <c r="CG11" i="6"/>
  <c r="CK11" i="6"/>
  <c r="CF16" i="6"/>
  <c r="CF17" i="6"/>
  <c r="CL11" i="6"/>
  <c r="CG17" i="6"/>
  <c r="CG21" i="6" s="1"/>
  <c r="CL15" i="6"/>
  <c r="CH12" i="6"/>
  <c r="BW17" i="6"/>
  <c r="BW21" i="6" s="1"/>
  <c r="BW16" i="6"/>
  <c r="BP11" i="6"/>
  <c r="BO17" i="6"/>
  <c r="BP15" i="6"/>
  <c r="BP27" i="6" s="1"/>
  <c r="BM12" i="6"/>
  <c r="BR16" i="6"/>
  <c r="BP17" i="6"/>
  <c r="BP20" i="6" s="1"/>
  <c r="BR13" i="6"/>
  <c r="BM11" i="6"/>
  <c r="BF11" i="6"/>
  <c r="AT15" i="6"/>
  <c r="AT22" i="6" s="1"/>
  <c r="AU15" i="6"/>
  <c r="AQ12" i="6"/>
  <c r="AR17" i="6"/>
  <c r="AR20" i="6" s="1"/>
  <c r="AV11" i="6"/>
  <c r="AR13" i="6"/>
  <c r="AW13" i="6"/>
  <c r="AR11" i="6"/>
  <c r="AW11" i="6"/>
  <c r="AW15" i="6"/>
  <c r="AQ11" i="6"/>
  <c r="AR12" i="6"/>
  <c r="AV13" i="6"/>
  <c r="AS11" i="6"/>
  <c r="AS15" i="6"/>
  <c r="AW17" i="6"/>
  <c r="AM13" i="6"/>
  <c r="AI12" i="6"/>
  <c r="AN16" i="6"/>
  <c r="AI17" i="6"/>
  <c r="AI20" i="6" s="1"/>
  <c r="AM15" i="6"/>
  <c r="AL13" i="6"/>
  <c r="AL17" i="6"/>
  <c r="AM11" i="6"/>
  <c r="AC15" i="6"/>
  <c r="AC27" i="6" s="1"/>
  <c r="AC16" i="6"/>
  <c r="AD12" i="6"/>
  <c r="AE16" i="6"/>
  <c r="AB11" i="6"/>
  <c r="W13" i="6"/>
  <c r="W17" i="6"/>
  <c r="AE11" i="6"/>
  <c r="W15" i="6"/>
  <c r="AB16" i="6"/>
  <c r="AE13" i="6"/>
  <c r="AE17" i="6"/>
  <c r="Q16" i="6"/>
  <c r="Q12" i="6"/>
  <c r="S16" i="6"/>
  <c r="S18" i="6" s="1"/>
  <c r="P21" i="6"/>
  <c r="O11" i="6"/>
  <c r="L15" i="6"/>
  <c r="L11" i="6"/>
  <c r="L17" i="6"/>
  <c r="L16" i="6"/>
  <c r="P15" i="6"/>
  <c r="P26" i="6" s="1"/>
  <c r="N155" i="6" s="1"/>
  <c r="P16" i="6"/>
  <c r="P13" i="6"/>
  <c r="R11" i="6"/>
  <c r="P11" i="6"/>
  <c r="L12" i="6"/>
  <c r="AO11" i="6"/>
  <c r="AO15" i="6"/>
  <c r="BI17" i="6"/>
  <c r="BI13" i="6"/>
  <c r="S22" i="6"/>
  <c r="CK15" i="6"/>
  <c r="CK27" i="6" s="1"/>
  <c r="AK11" i="6"/>
  <c r="CV12" i="6"/>
  <c r="R13" i="6"/>
  <c r="R17" i="6"/>
  <c r="AN11" i="6"/>
  <c r="AN15" i="6"/>
  <c r="CW12" i="6"/>
  <c r="BB12" i="6"/>
  <c r="BB17" i="6"/>
  <c r="BB13" i="6"/>
  <c r="BB15" i="6"/>
  <c r="BB16" i="6"/>
  <c r="BC13" i="6"/>
  <c r="BC11" i="6"/>
  <c r="BC17" i="6"/>
  <c r="BC16" i="6"/>
  <c r="BH13" i="6"/>
  <c r="BH11" i="6"/>
  <c r="BH12" i="6"/>
  <c r="BH17" i="6"/>
  <c r="BH16" i="6"/>
  <c r="BH15" i="6"/>
  <c r="BJ13" i="6"/>
  <c r="BJ17" i="6"/>
  <c r="BY12" i="6"/>
  <c r="BY16" i="6"/>
  <c r="Y12" i="6"/>
  <c r="Y16" i="6"/>
  <c r="W12" i="6"/>
  <c r="W16" i="6"/>
  <c r="AA12" i="6"/>
  <c r="AA16" i="6"/>
  <c r="BF13" i="6"/>
  <c r="BF16" i="6"/>
  <c r="BF12" i="6"/>
  <c r="BF17" i="6"/>
  <c r="BM13" i="6"/>
  <c r="BM17" i="6"/>
  <c r="BF15" i="6"/>
  <c r="BF27" i="6" s="1"/>
  <c r="CV15" i="6"/>
  <c r="CV18" i="6" s="1"/>
  <c r="BX12" i="6"/>
  <c r="CV17" i="6"/>
  <c r="BZ12" i="6"/>
  <c r="CW13" i="6"/>
  <c r="V16" i="6"/>
  <c r="V12" i="6"/>
  <c r="BA13" i="6"/>
  <c r="BA11" i="6"/>
  <c r="BA15" i="6"/>
  <c r="BA17" i="6"/>
  <c r="BA12" i="6"/>
  <c r="CC11" i="6"/>
  <c r="CC15" i="6"/>
  <c r="M21" i="6"/>
  <c r="CV13" i="6"/>
  <c r="AE12" i="6"/>
  <c r="O17" i="6"/>
  <c r="O13" i="6"/>
  <c r="S17" i="6"/>
  <c r="S13" i="6"/>
  <c r="AZ12" i="6"/>
  <c r="AZ16" i="6"/>
  <c r="AZ17" i="6"/>
  <c r="BD15" i="6"/>
  <c r="BD11" i="6"/>
  <c r="BD16" i="6"/>
  <c r="BD17" i="6"/>
  <c r="BG21" i="6"/>
  <c r="BG20" i="6"/>
  <c r="K20" i="6"/>
  <c r="K15" i="6"/>
  <c r="K12" i="6"/>
  <c r="J13" i="6"/>
  <c r="J16" i="6"/>
  <c r="J12" i="6"/>
  <c r="J17" i="6"/>
  <c r="J11" i="6"/>
  <c r="J15" i="6"/>
  <c r="I12" i="6"/>
  <c r="I13" i="6"/>
  <c r="I17" i="6"/>
  <c r="I15" i="6"/>
  <c r="I16" i="6"/>
  <c r="H17" i="6"/>
  <c r="H13" i="6"/>
  <c r="H16" i="6"/>
  <c r="E15" i="6"/>
  <c r="E12" i="6"/>
  <c r="E13" i="6"/>
  <c r="E17" i="6"/>
  <c r="E16" i="6"/>
  <c r="D15" i="6"/>
  <c r="D11" i="6"/>
  <c r="D12" i="6"/>
  <c r="D13" i="6"/>
  <c r="D16" i="6"/>
  <c r="D17" i="6"/>
  <c r="CB27" i="6"/>
  <c r="CM22" i="6"/>
  <c r="CM21" i="6"/>
  <c r="CM20" i="6"/>
  <c r="CM26" i="6"/>
  <c r="AR27" i="6"/>
  <c r="U27" i="6"/>
  <c r="N171" i="6" s="1"/>
  <c r="CI20" i="6" l="1"/>
  <c r="Z13" i="6"/>
  <c r="B19" i="6"/>
  <c r="CP20" i="6"/>
  <c r="BO18" i="6"/>
  <c r="AQ18" i="6"/>
  <c r="Z11" i="6"/>
  <c r="B22" i="6"/>
  <c r="B10" i="6" s="1"/>
  <c r="AB22" i="6"/>
  <c r="CE20" i="6"/>
  <c r="CE10" i="6" s="1"/>
  <c r="AQ21" i="6"/>
  <c r="Z16" i="6"/>
  <c r="Z21" i="6"/>
  <c r="CP19" i="6"/>
  <c r="X19" i="6"/>
  <c r="BV11" i="6"/>
  <c r="B26" i="6"/>
  <c r="N113" i="6" s="1"/>
  <c r="BN20" i="6"/>
  <c r="AL18" i="6"/>
  <c r="CS26" i="6"/>
  <c r="CH18" i="6"/>
  <c r="AV19" i="6"/>
  <c r="BX20" i="6"/>
  <c r="AP18" i="6"/>
  <c r="CS10" i="6"/>
  <c r="CT21" i="6"/>
  <c r="BN26" i="6"/>
  <c r="AL19" i="6"/>
  <c r="BR18" i="6"/>
  <c r="BN19" i="6"/>
  <c r="B18" i="6"/>
  <c r="CW18" i="6"/>
  <c r="CW20" i="6"/>
  <c r="BJ22" i="6"/>
  <c r="BG19" i="6"/>
  <c r="Z12" i="6"/>
  <c r="BV12" i="6"/>
  <c r="BG22" i="6"/>
  <c r="BG10" i="6" s="1"/>
  <c r="BI18" i="6"/>
  <c r="BX26" i="6"/>
  <c r="CI26" i="6"/>
  <c r="BW20" i="6"/>
  <c r="BX27" i="6"/>
  <c r="BX22" i="6"/>
  <c r="M19" i="6"/>
  <c r="AZ22" i="6"/>
  <c r="F17" i="6"/>
  <c r="F21" i="6" s="1"/>
  <c r="AZ26" i="6"/>
  <c r="AX22" i="6"/>
  <c r="AG15" i="6"/>
  <c r="AG22" i="6" s="1"/>
  <c r="AG12" i="6"/>
  <c r="Q26" i="6"/>
  <c r="N158" i="6" s="1"/>
  <c r="AG11" i="6"/>
  <c r="Q20" i="6"/>
  <c r="Q10" i="6" s="1"/>
  <c r="CU19" i="6"/>
  <c r="CU22" i="6"/>
  <c r="CU26" i="6"/>
  <c r="CU20" i="6"/>
  <c r="CU18" i="6"/>
  <c r="CS21" i="6"/>
  <c r="CJ26" i="6"/>
  <c r="CG26" i="6"/>
  <c r="CG22" i="6"/>
  <c r="CG18" i="6"/>
  <c r="BM26" i="6"/>
  <c r="BI19" i="6"/>
  <c r="BG26" i="6"/>
  <c r="BG18" i="6"/>
  <c r="BE12" i="6"/>
  <c r="AU19" i="6"/>
  <c r="AQ26" i="6"/>
  <c r="AQ27" i="6"/>
  <c r="AQ19" i="6"/>
  <c r="AK27" i="6"/>
  <c r="AB26" i="6"/>
  <c r="V22" i="6"/>
  <c r="N19" i="6"/>
  <c r="AV26" i="6"/>
  <c r="CI19" i="6"/>
  <c r="N26" i="6"/>
  <c r="N149" i="6" s="1"/>
  <c r="BX19" i="6"/>
  <c r="AR19" i="6"/>
  <c r="CS23" i="6"/>
  <c r="CQ18" i="6"/>
  <c r="CD18" i="6"/>
  <c r="BU21" i="6"/>
  <c r="BS15" i="6"/>
  <c r="BS22" i="6" s="1"/>
  <c r="BQ27" i="6"/>
  <c r="BQ13" i="6"/>
  <c r="BQ16" i="6"/>
  <c r="BQ18" i="6" s="1"/>
  <c r="BQ17" i="6"/>
  <c r="BQ20" i="6" s="1"/>
  <c r="BQ10" i="6" s="1"/>
  <c r="BQ12" i="6"/>
  <c r="BQ11" i="6"/>
  <c r="BM18" i="6"/>
  <c r="BI22" i="6"/>
  <c r="BE13" i="6"/>
  <c r="BE20" i="6"/>
  <c r="BE15" i="6"/>
  <c r="BE26" i="6" s="1"/>
  <c r="BE11" i="6"/>
  <c r="BE16" i="6"/>
  <c r="AY23" i="6"/>
  <c r="AX26" i="6"/>
  <c r="AX20" i="6"/>
  <c r="AX18" i="6"/>
  <c r="AT26" i="6"/>
  <c r="AT27" i="6"/>
  <c r="AR18" i="6"/>
  <c r="AP22" i="6"/>
  <c r="AP23" i="6" s="1"/>
  <c r="AF27" i="6"/>
  <c r="AD20" i="6"/>
  <c r="AD23" i="6" s="1"/>
  <c r="AB21" i="6"/>
  <c r="AA20" i="6"/>
  <c r="AA26" i="6"/>
  <c r="Z15" i="6"/>
  <c r="U26" i="6"/>
  <c r="N170" i="6" s="1"/>
  <c r="U19" i="6"/>
  <c r="U18" i="6"/>
  <c r="T16" i="6"/>
  <c r="R18" i="6"/>
  <c r="R26" i="6"/>
  <c r="N161" i="6" s="1"/>
  <c r="Q27" i="6"/>
  <c r="N159" i="6" s="1"/>
  <c r="Q18" i="6"/>
  <c r="CQ26" i="6"/>
  <c r="BW18" i="6"/>
  <c r="AZ18" i="6"/>
  <c r="AV20" i="6"/>
  <c r="AE27" i="6"/>
  <c r="CE26" i="6"/>
  <c r="CA11" i="6"/>
  <c r="AJ18" i="6"/>
  <c r="O18" i="6"/>
  <c r="CE19" i="6"/>
  <c r="C26" i="6"/>
  <c r="N116" i="6" s="1"/>
  <c r="CW19" i="6"/>
  <c r="CW22" i="6"/>
  <c r="CE18" i="6"/>
  <c r="BI26" i="6"/>
  <c r="CW26" i="6"/>
  <c r="CQ22" i="6"/>
  <c r="AE26" i="6"/>
  <c r="AF19" i="6"/>
  <c r="C27" i="6"/>
  <c r="N117" i="6" s="1"/>
  <c r="BM27" i="6"/>
  <c r="BU22" i="6"/>
  <c r="BU10" i="6" s="1"/>
  <c r="AR26" i="6"/>
  <c r="AB20" i="6"/>
  <c r="O27" i="6"/>
  <c r="N153" i="6" s="1"/>
  <c r="BS12" i="6"/>
  <c r="CL19" i="6"/>
  <c r="CH27" i="6"/>
  <c r="AT18" i="6"/>
  <c r="CD19" i="6"/>
  <c r="BM22" i="6"/>
  <c r="CF27" i="6"/>
  <c r="BZ21" i="6"/>
  <c r="CQ20" i="6"/>
  <c r="BS16" i="6"/>
  <c r="AP19" i="6"/>
  <c r="O22" i="6"/>
  <c r="AB19" i="6"/>
  <c r="CF26" i="6"/>
  <c r="CH22" i="6"/>
  <c r="H27" i="6"/>
  <c r="N132" i="6" s="1"/>
  <c r="AJ19" i="6"/>
  <c r="CN16" i="6"/>
  <c r="V21" i="6"/>
  <c r="V20" i="6"/>
  <c r="BV18" i="6"/>
  <c r="CQ21" i="6"/>
  <c r="AP21" i="6"/>
  <c r="CF18" i="6"/>
  <c r="CQ19" i="6"/>
  <c r="CR18" i="6"/>
  <c r="AP26" i="6"/>
  <c r="BR26" i="6"/>
  <c r="CN17" i="6"/>
  <c r="U21" i="6"/>
  <c r="F13" i="6"/>
  <c r="BM19" i="6"/>
  <c r="BW19" i="6"/>
  <c r="CS19" i="6"/>
  <c r="BY22" i="6"/>
  <c r="BY10" i="6" s="1"/>
  <c r="BZ18" i="6"/>
  <c r="CJ19" i="6"/>
  <c r="CL26" i="6"/>
  <c r="BV13" i="6"/>
  <c r="BV17" i="6"/>
  <c r="BV26" i="6" s="1"/>
  <c r="Q19" i="6"/>
  <c r="CB20" i="6"/>
  <c r="CB10" i="6" s="1"/>
  <c r="BK19" i="6"/>
  <c r="CD21" i="6"/>
  <c r="CB21" i="6"/>
  <c r="BW26" i="6"/>
  <c r="CI18" i="6"/>
  <c r="BR21" i="6"/>
  <c r="BZ26" i="6"/>
  <c r="F11" i="6"/>
  <c r="AJ21" i="6"/>
  <c r="BC27" i="6"/>
  <c r="BZ27" i="6"/>
  <c r="R27" i="6"/>
  <c r="N162" i="6" s="1"/>
  <c r="CN15" i="6"/>
  <c r="CD27" i="6"/>
  <c r="CD22" i="6"/>
  <c r="CI22" i="6"/>
  <c r="CI23" i="6" s="1"/>
  <c r="BW22" i="6"/>
  <c r="BW10" i="6" s="1"/>
  <c r="CV27" i="6"/>
  <c r="CI27" i="6"/>
  <c r="AF26" i="6"/>
  <c r="CD20" i="6"/>
  <c r="CD26" i="6"/>
  <c r="CV22" i="6"/>
  <c r="AM26" i="6"/>
  <c r="M22" i="6"/>
  <c r="M27" i="6"/>
  <c r="N147" i="6" s="1"/>
  <c r="M18" i="6"/>
  <c r="BJ18" i="6"/>
  <c r="G16" i="6"/>
  <c r="G17" i="6"/>
  <c r="Y22" i="6"/>
  <c r="Y27" i="6"/>
  <c r="CJ22" i="6"/>
  <c r="CJ23" i="6" s="1"/>
  <c r="X18" i="6"/>
  <c r="CB19" i="6"/>
  <c r="G15" i="6"/>
  <c r="AN21" i="6"/>
  <c r="AI22" i="6"/>
  <c r="AI10" i="6" s="1"/>
  <c r="AI18" i="6"/>
  <c r="G13" i="6"/>
  <c r="AJ26" i="6"/>
  <c r="AJ27" i="6"/>
  <c r="CN12" i="6"/>
  <c r="CN11" i="6"/>
  <c r="CA13" i="6"/>
  <c r="CA16" i="6"/>
  <c r="CA17" i="6"/>
  <c r="BV22" i="6"/>
  <c r="BV27" i="6"/>
  <c r="F15" i="6"/>
  <c r="F26" i="6" s="1"/>
  <c r="N125" i="6" s="1"/>
  <c r="F16" i="6"/>
  <c r="CA15" i="6"/>
  <c r="BU26" i="6"/>
  <c r="BU18" i="6"/>
  <c r="CL21" i="6"/>
  <c r="AK26" i="6"/>
  <c r="BU19" i="6"/>
  <c r="CJ27" i="6"/>
  <c r="AF21" i="6"/>
  <c r="CL20" i="6"/>
  <c r="AU18" i="6"/>
  <c r="G11" i="6"/>
  <c r="AJ23" i="6"/>
  <c r="AX19" i="6"/>
  <c r="AT19" i="6"/>
  <c r="BO27" i="6"/>
  <c r="BO19" i="6"/>
  <c r="CG19" i="6"/>
  <c r="G12" i="6"/>
  <c r="AK21" i="6"/>
  <c r="CJ18" i="6"/>
  <c r="AG17" i="6"/>
  <c r="AG13" i="6"/>
  <c r="T11" i="6"/>
  <c r="T15" i="6"/>
  <c r="T12" i="6"/>
  <c r="N20" i="6"/>
  <c r="N21" i="6"/>
  <c r="T17" i="6"/>
  <c r="BL15" i="6"/>
  <c r="BL16" i="6"/>
  <c r="BL11" i="6"/>
  <c r="BL17" i="6"/>
  <c r="BL12" i="6"/>
  <c r="BL13" i="6"/>
  <c r="BT17" i="6"/>
  <c r="BT13" i="6"/>
  <c r="BT11" i="6"/>
  <c r="BT15" i="6"/>
  <c r="R19" i="6"/>
  <c r="AF20" i="6"/>
  <c r="AF23" i="6" s="1"/>
  <c r="CF19" i="6"/>
  <c r="CP26" i="6"/>
  <c r="BX18" i="6"/>
  <c r="AC18" i="6"/>
  <c r="CR19" i="6"/>
  <c r="AD26" i="6"/>
  <c r="AK18" i="6"/>
  <c r="AV27" i="6"/>
  <c r="AV18" i="6"/>
  <c r="AV22" i="6"/>
  <c r="N22" i="6"/>
  <c r="N18" i="6"/>
  <c r="BT16" i="6"/>
  <c r="BS17" i="6"/>
  <c r="BS13" i="6"/>
  <c r="BN22" i="6"/>
  <c r="BN27" i="6"/>
  <c r="BN18" i="6"/>
  <c r="CV19" i="6"/>
  <c r="CT26" i="6"/>
  <c r="CR26" i="6"/>
  <c r="CK21" i="6"/>
  <c r="CK22" i="6"/>
  <c r="CK10" i="6" s="1"/>
  <c r="CJ21" i="6"/>
  <c r="CH26" i="6"/>
  <c r="CH20" i="6"/>
  <c r="CH19" i="6"/>
  <c r="CG20" i="6"/>
  <c r="BZ19" i="6"/>
  <c r="BY21" i="6"/>
  <c r="BY26" i="6"/>
  <c r="BR19" i="6"/>
  <c r="BP22" i="6"/>
  <c r="BP23" i="6" s="1"/>
  <c r="BO26" i="6"/>
  <c r="BO21" i="6"/>
  <c r="BO20" i="6"/>
  <c r="BO23" i="6" s="1"/>
  <c r="BK26" i="6"/>
  <c r="BK21" i="6"/>
  <c r="BK22" i="6"/>
  <c r="BK23" i="6" s="1"/>
  <c r="BK27" i="6"/>
  <c r="BK18" i="6"/>
  <c r="BF26" i="6"/>
  <c r="AZ19" i="6"/>
  <c r="AS21" i="6"/>
  <c r="AS20" i="6"/>
  <c r="AR21" i="6"/>
  <c r="AM18" i="6"/>
  <c r="AM22" i="6"/>
  <c r="AM20" i="6"/>
  <c r="AK19" i="6"/>
  <c r="AJ10" i="6"/>
  <c r="AH12" i="6"/>
  <c r="AH16" i="6"/>
  <c r="AH15" i="6"/>
  <c r="AH13" i="6"/>
  <c r="AH11" i="6"/>
  <c r="AE19" i="6"/>
  <c r="AD27" i="6"/>
  <c r="AD18" i="6"/>
  <c r="AD19" i="6"/>
  <c r="AC20" i="6"/>
  <c r="AC26" i="6"/>
  <c r="AC19" i="6"/>
  <c r="AC22" i="6"/>
  <c r="AA22" i="6"/>
  <c r="AA27" i="6"/>
  <c r="Y21" i="6"/>
  <c r="Y20" i="6"/>
  <c r="Y26" i="6"/>
  <c r="X27" i="6"/>
  <c r="X22" i="6"/>
  <c r="X26" i="6"/>
  <c r="P27" i="6"/>
  <c r="N156" i="6" s="1"/>
  <c r="P22" i="6"/>
  <c r="P10" i="6" s="1"/>
  <c r="C20" i="6"/>
  <c r="C10" i="6" s="1"/>
  <c r="C18" i="6"/>
  <c r="C19" i="6"/>
  <c r="CO22" i="6"/>
  <c r="CO26" i="6"/>
  <c r="CO19" i="6"/>
  <c r="CO18" i="6"/>
  <c r="CO27" i="6"/>
  <c r="CR22" i="6"/>
  <c r="CR10" i="6" s="1"/>
  <c r="CP22" i="6"/>
  <c r="CP23" i="6" s="1"/>
  <c r="CP18" i="6"/>
  <c r="CP27" i="6"/>
  <c r="CT22" i="6"/>
  <c r="CT10" i="6" s="1"/>
  <c r="CT27" i="6"/>
  <c r="CT18" i="6"/>
  <c r="CT19" i="6"/>
  <c r="CK26" i="6"/>
  <c r="CK18" i="6"/>
  <c r="CL18" i="6"/>
  <c r="CL22" i="6"/>
  <c r="CL27" i="6"/>
  <c r="CF20" i="6"/>
  <c r="CF23" i="6" s="1"/>
  <c r="CF21" i="6"/>
  <c r="CK19" i="6"/>
  <c r="CM18" i="6"/>
  <c r="BP26" i="6"/>
  <c r="BP21" i="6"/>
  <c r="BP18" i="6"/>
  <c r="BP19" i="6"/>
  <c r="BF19" i="6"/>
  <c r="AW18" i="6"/>
  <c r="AW27" i="6"/>
  <c r="AW22" i="6"/>
  <c r="AW19" i="6"/>
  <c r="AW21" i="6"/>
  <c r="AW20" i="6"/>
  <c r="AW26" i="6"/>
  <c r="AU22" i="6"/>
  <c r="AU27" i="6"/>
  <c r="AU26" i="6"/>
  <c r="AS26" i="6"/>
  <c r="AS27" i="6"/>
  <c r="AS19" i="6"/>
  <c r="AS18" i="6"/>
  <c r="AS22" i="6"/>
  <c r="AH20" i="6"/>
  <c r="AH21" i="6"/>
  <c r="AH26" i="6"/>
  <c r="AI21" i="6"/>
  <c r="AI19" i="6"/>
  <c r="AI26" i="6"/>
  <c r="AL26" i="6"/>
  <c r="AL21" i="6"/>
  <c r="AL20" i="6"/>
  <c r="AM27" i="6"/>
  <c r="AM19" i="6"/>
  <c r="AE18" i="6"/>
  <c r="W27" i="6"/>
  <c r="W22" i="6"/>
  <c r="AB18" i="6"/>
  <c r="AE21" i="6"/>
  <c r="AE20" i="6"/>
  <c r="W21" i="6"/>
  <c r="W20" i="6"/>
  <c r="W26" i="6"/>
  <c r="P19" i="6"/>
  <c r="P18" i="6"/>
  <c r="L20" i="6"/>
  <c r="L21" i="6"/>
  <c r="L26" i="6"/>
  <c r="N143" i="6" s="1"/>
  <c r="L27" i="6"/>
  <c r="N144" i="6" s="1"/>
  <c r="L19" i="6"/>
  <c r="L22" i="6"/>
  <c r="L18" i="6"/>
  <c r="BA19" i="6"/>
  <c r="BF22" i="6"/>
  <c r="BF18" i="6"/>
  <c r="CV26" i="6"/>
  <c r="CC22" i="6"/>
  <c r="CC26" i="6"/>
  <c r="CC27" i="6"/>
  <c r="CC19" i="6"/>
  <c r="CC18" i="6"/>
  <c r="BA27" i="6"/>
  <c r="BA18" i="6"/>
  <c r="BA22" i="6"/>
  <c r="BF20" i="6"/>
  <c r="BF21" i="6"/>
  <c r="BY18" i="6"/>
  <c r="BY19" i="6"/>
  <c r="BH18" i="6"/>
  <c r="BH22" i="6"/>
  <c r="BH19" i="6"/>
  <c r="BH27" i="6"/>
  <c r="BE27" i="6"/>
  <c r="BE22" i="6"/>
  <c r="BC20" i="6"/>
  <c r="BC21" i="6"/>
  <c r="BC26" i="6"/>
  <c r="BB22" i="6"/>
  <c r="BB27" i="6"/>
  <c r="BB19" i="6"/>
  <c r="BB18" i="6"/>
  <c r="AO22" i="6"/>
  <c r="AO19" i="6"/>
  <c r="AO27" i="6"/>
  <c r="AO26" i="6"/>
  <c r="AO18" i="6"/>
  <c r="BD18" i="6"/>
  <c r="BD19" i="6"/>
  <c r="BD22" i="6"/>
  <c r="BD27" i="6"/>
  <c r="S20" i="6"/>
  <c r="S23" i="6" s="1"/>
  <c r="S21" i="6"/>
  <c r="S26" i="6"/>
  <c r="N164" i="6" s="1"/>
  <c r="CV20" i="6"/>
  <c r="CV21" i="6"/>
  <c r="S19" i="6"/>
  <c r="AA19" i="6"/>
  <c r="AA18" i="6"/>
  <c r="Y18" i="6"/>
  <c r="Y19" i="6"/>
  <c r="AN27" i="6"/>
  <c r="AN26" i="6"/>
  <c r="AN22" i="6"/>
  <c r="AN18" i="6"/>
  <c r="AN19" i="6"/>
  <c r="BD20" i="6"/>
  <c r="BD21" i="6"/>
  <c r="BD26" i="6"/>
  <c r="V18" i="6"/>
  <c r="V19" i="6"/>
  <c r="BM20" i="6"/>
  <c r="BM21" i="6"/>
  <c r="BJ20" i="6"/>
  <c r="BJ26" i="6"/>
  <c r="BJ21" i="6"/>
  <c r="BJ19" i="6"/>
  <c r="BH20" i="6"/>
  <c r="BH21" i="6"/>
  <c r="BH26" i="6"/>
  <c r="BB20" i="6"/>
  <c r="BB21" i="6"/>
  <c r="BB26" i="6"/>
  <c r="AZ20" i="6"/>
  <c r="AZ21" i="6"/>
  <c r="O21" i="6"/>
  <c r="O20" i="6"/>
  <c r="O26" i="6"/>
  <c r="N152" i="6" s="1"/>
  <c r="O19" i="6"/>
  <c r="BA20" i="6"/>
  <c r="BA21" i="6"/>
  <c r="BA26" i="6"/>
  <c r="AG27" i="6"/>
  <c r="W18" i="6"/>
  <c r="W19" i="6"/>
  <c r="BC19" i="6"/>
  <c r="BC18" i="6"/>
  <c r="R20" i="6"/>
  <c r="R21" i="6"/>
  <c r="BI20" i="6"/>
  <c r="BI21" i="6"/>
  <c r="K22" i="6"/>
  <c r="K27" i="6"/>
  <c r="N141" i="6" s="1"/>
  <c r="K19" i="6"/>
  <c r="K18" i="6"/>
  <c r="K26" i="6"/>
  <c r="N140" i="6" s="1"/>
  <c r="J20" i="6"/>
  <c r="J26" i="6"/>
  <c r="N137" i="6" s="1"/>
  <c r="J21" i="6"/>
  <c r="J22" i="6"/>
  <c r="J19" i="6"/>
  <c r="J18" i="6"/>
  <c r="J27" i="6"/>
  <c r="N138" i="6" s="1"/>
  <c r="I20" i="6"/>
  <c r="I21" i="6"/>
  <c r="I26" i="6"/>
  <c r="N134" i="6" s="1"/>
  <c r="I19" i="6"/>
  <c r="I22" i="6"/>
  <c r="I10" i="6" s="1"/>
  <c r="I18" i="6"/>
  <c r="I27" i="6"/>
  <c r="N135" i="6" s="1"/>
  <c r="H18" i="6"/>
  <c r="H19" i="6"/>
  <c r="H20" i="6"/>
  <c r="H21" i="6"/>
  <c r="H26" i="6"/>
  <c r="N131" i="6" s="1"/>
  <c r="E20" i="6"/>
  <c r="E21" i="6"/>
  <c r="E26" i="6"/>
  <c r="N122" i="6" s="1"/>
  <c r="E27" i="6"/>
  <c r="N123" i="6" s="1"/>
  <c r="E22" i="6"/>
  <c r="E10" i="6" s="1"/>
  <c r="E18" i="6"/>
  <c r="E19" i="6"/>
  <c r="D21" i="6"/>
  <c r="D20" i="6"/>
  <c r="D26" i="6"/>
  <c r="N119" i="6" s="1"/>
  <c r="D27" i="6"/>
  <c r="N120" i="6" s="1"/>
  <c r="D19" i="6"/>
  <c r="D22" i="6"/>
  <c r="D18" i="6"/>
  <c r="CM10" i="6"/>
  <c r="CT23" i="6"/>
  <c r="CE23" i="6"/>
  <c r="BZ23" i="6"/>
  <c r="BZ10" i="6"/>
  <c r="BR23" i="6"/>
  <c r="BR10" i="6"/>
  <c r="CM23" i="6"/>
  <c r="AQ10" i="6"/>
  <c r="AQ23" i="6"/>
  <c r="AR10" i="6"/>
  <c r="AR23" i="6"/>
  <c r="U10" i="6"/>
  <c r="U23" i="6"/>
  <c r="AT10" i="6"/>
  <c r="AT23" i="6"/>
  <c r="AK10" i="6"/>
  <c r="AK23" i="6"/>
  <c r="F20" i="6" l="1"/>
  <c r="B23" i="6"/>
  <c r="CW23" i="6"/>
  <c r="AB23" i="6"/>
  <c r="Z19" i="6"/>
  <c r="BI23" i="6"/>
  <c r="AG18" i="6"/>
  <c r="AB10" i="6"/>
  <c r="BG23" i="6"/>
  <c r="Q23" i="6"/>
  <c r="BN10" i="6"/>
  <c r="Z18" i="6"/>
  <c r="AD10" i="6"/>
  <c r="AZ10" i="6"/>
  <c r="CW10" i="6"/>
  <c r="BX23" i="6"/>
  <c r="CH23" i="6"/>
  <c r="BU23" i="6"/>
  <c r="BX10" i="6"/>
  <c r="AI23" i="6"/>
  <c r="AG26" i="6"/>
  <c r="G26" i="6"/>
  <c r="N128" i="6" s="1"/>
  <c r="AG19" i="6"/>
  <c r="V23" i="6"/>
  <c r="AX10" i="6"/>
  <c r="P23" i="6"/>
  <c r="CU10" i="6"/>
  <c r="BE18" i="6"/>
  <c r="CU23" i="6"/>
  <c r="CK23" i="6"/>
  <c r="CI10" i="6"/>
  <c r="CG23" i="6"/>
  <c r="BW23" i="6"/>
  <c r="BS26" i="6"/>
  <c r="BS27" i="6"/>
  <c r="BS18" i="6"/>
  <c r="BQ21" i="6"/>
  <c r="BQ23" i="6"/>
  <c r="BQ26" i="6"/>
  <c r="BQ19" i="6"/>
  <c r="BP10" i="6"/>
  <c r="BN23" i="6"/>
  <c r="BE19" i="6"/>
  <c r="AP10" i="6"/>
  <c r="AF10" i="6"/>
  <c r="AA10" i="6"/>
  <c r="AA23" i="6"/>
  <c r="V10" i="6"/>
  <c r="BY23" i="6"/>
  <c r="CL23" i="6"/>
  <c r="CR23" i="6"/>
  <c r="CQ23" i="6"/>
  <c r="CQ10" i="6"/>
  <c r="CJ10" i="6"/>
  <c r="CD23" i="6"/>
  <c r="BI10" i="6"/>
  <c r="BE23" i="6"/>
  <c r="AX23" i="6"/>
  <c r="AV23" i="6"/>
  <c r="Z22" i="6"/>
  <c r="Z27" i="6"/>
  <c r="Z26" i="6"/>
  <c r="G19" i="6"/>
  <c r="G22" i="6"/>
  <c r="G27" i="6"/>
  <c r="N129" i="6" s="1"/>
  <c r="C23" i="6"/>
  <c r="CV10" i="6"/>
  <c r="AV10" i="6"/>
  <c r="F19" i="6"/>
  <c r="CN21" i="6"/>
  <c r="CN20" i="6"/>
  <c r="CB23" i="6"/>
  <c r="CD10" i="6"/>
  <c r="BA23" i="6"/>
  <c r="BM10" i="6"/>
  <c r="AC10" i="6"/>
  <c r="M23" i="6"/>
  <c r="M10" i="6"/>
  <c r="CN22" i="6"/>
  <c r="CN27" i="6"/>
  <c r="CN19" i="6"/>
  <c r="CN26" i="6"/>
  <c r="BV21" i="6"/>
  <c r="BV19" i="6"/>
  <c r="BV20" i="6"/>
  <c r="W23" i="6"/>
  <c r="G18" i="6"/>
  <c r="CN18" i="6"/>
  <c r="BL27" i="6"/>
  <c r="BL22" i="6"/>
  <c r="BL19" i="6"/>
  <c r="BL18" i="6"/>
  <c r="N23" i="6"/>
  <c r="N10" i="6"/>
  <c r="CA26" i="6"/>
  <c r="CA20" i="6"/>
  <c r="CA21" i="6"/>
  <c r="BS20" i="6"/>
  <c r="BS21" i="6"/>
  <c r="BL21" i="6"/>
  <c r="BL26" i="6"/>
  <c r="BL20" i="6"/>
  <c r="AG21" i="6"/>
  <c r="AG20" i="6"/>
  <c r="AG23" i="6" s="1"/>
  <c r="F18" i="6"/>
  <c r="F27" i="6"/>
  <c r="N126" i="6" s="1"/>
  <c r="F22" i="6"/>
  <c r="BF10" i="6"/>
  <c r="BT21" i="6"/>
  <c r="BT20" i="6"/>
  <c r="BT26" i="6"/>
  <c r="T20" i="6"/>
  <c r="T26" i="6"/>
  <c r="N167" i="6" s="1"/>
  <c r="T21" i="6"/>
  <c r="T27" i="6"/>
  <c r="N168" i="6" s="1"/>
  <c r="T22" i="6"/>
  <c r="T18" i="6"/>
  <c r="T19" i="6"/>
  <c r="G20" i="6"/>
  <c r="G21" i="6"/>
  <c r="BT27" i="6"/>
  <c r="BT22" i="6"/>
  <c r="BT18" i="6"/>
  <c r="BT19" i="6"/>
  <c r="BS19" i="6"/>
  <c r="CA22" i="6"/>
  <c r="CA19" i="6"/>
  <c r="CA18" i="6"/>
  <c r="CA27" i="6"/>
  <c r="CV23" i="6"/>
  <c r="CP10" i="6"/>
  <c r="CL10" i="6"/>
  <c r="CH10" i="6"/>
  <c r="CG10" i="6"/>
  <c r="BO10" i="6"/>
  <c r="BM23" i="6"/>
  <c r="BK10" i="6"/>
  <c r="BF23" i="6"/>
  <c r="AM10" i="6"/>
  <c r="AM23" i="6"/>
  <c r="AH18" i="6"/>
  <c r="AH22" i="6"/>
  <c r="AH23" i="6" s="1"/>
  <c r="AH27" i="6"/>
  <c r="AH19" i="6"/>
  <c r="AC23" i="6"/>
  <c r="Y23" i="6"/>
  <c r="Y10" i="6"/>
  <c r="X23" i="6"/>
  <c r="X10" i="6"/>
  <c r="CO10" i="6"/>
  <c r="CO23" i="6"/>
  <c r="CF10" i="6"/>
  <c r="BD10" i="6"/>
  <c r="AW23" i="6"/>
  <c r="AW10" i="6"/>
  <c r="AS10" i="6"/>
  <c r="AS23" i="6"/>
  <c r="AU10" i="6"/>
  <c r="AU23" i="6"/>
  <c r="AL23" i="6"/>
  <c r="AL10" i="6"/>
  <c r="W10" i="6"/>
  <c r="AE10" i="6"/>
  <c r="AE23" i="6"/>
  <c r="L23" i="6"/>
  <c r="L10" i="6"/>
  <c r="BH23" i="6"/>
  <c r="BH10" i="6"/>
  <c r="BB23" i="6"/>
  <c r="BB10" i="6"/>
  <c r="BD23" i="6"/>
  <c r="AO10" i="6"/>
  <c r="AO23" i="6"/>
  <c r="BA10" i="6"/>
  <c r="BJ10" i="6"/>
  <c r="BJ23" i="6"/>
  <c r="AZ23" i="6"/>
  <c r="BC23" i="6"/>
  <c r="BC10" i="6"/>
  <c r="R10" i="6"/>
  <c r="R23" i="6"/>
  <c r="O10" i="6"/>
  <c r="O23" i="6"/>
  <c r="AN23" i="6"/>
  <c r="AN10" i="6"/>
  <c r="S10" i="6"/>
  <c r="CC10" i="6"/>
  <c r="CC23" i="6"/>
  <c r="BE10" i="6"/>
  <c r="K23" i="6"/>
  <c r="K10" i="6"/>
  <c r="J23" i="6"/>
  <c r="J10" i="6"/>
  <c r="I23" i="6"/>
  <c r="H10" i="6"/>
  <c r="H23" i="6"/>
  <c r="E23" i="6"/>
  <c r="D23" i="6"/>
  <c r="D10" i="6"/>
  <c r="F10" i="6" l="1"/>
  <c r="AG10" i="6"/>
  <c r="G10" i="6"/>
  <c r="G23" i="6"/>
  <c r="F23" i="6"/>
  <c r="Z10" i="6"/>
  <c r="Z23" i="6"/>
  <c r="BV10" i="6"/>
  <c r="BV23" i="6"/>
  <c r="CN10" i="6"/>
  <c r="CN23" i="6"/>
  <c r="BT10" i="6"/>
  <c r="BT23" i="6"/>
  <c r="CA23" i="6"/>
  <c r="CA10" i="6"/>
  <c r="BL10" i="6"/>
  <c r="BL23" i="6"/>
  <c r="BS23" i="6"/>
  <c r="BS10" i="6"/>
  <c r="T23" i="6"/>
  <c r="T10" i="6"/>
  <c r="AH10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5" i="6" l="1"/>
  <c r="GL37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B90" i="8" l="1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BY31" i="6"/>
  <c r="CS31" i="6"/>
  <c r="DE31" i="6"/>
  <c r="DQ31" i="6"/>
  <c r="EC31" i="6"/>
  <c r="E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BU31" i="6"/>
  <c r="CC31" i="6"/>
  <c r="CG31" i="6"/>
  <c r="CO31" i="6"/>
  <c r="DA31" i="6"/>
  <c r="DM31" i="6"/>
  <c r="DY31" i="6"/>
  <c r="EK31" i="6"/>
  <c r="E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BQ31" i="6"/>
  <c r="CK31" i="6"/>
  <c r="CW31" i="6"/>
  <c r="DI31" i="6"/>
  <c r="DU31" i="6"/>
  <c r="EG31" i="6"/>
  <c r="EW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AG67" i="1"/>
  <c r="C80" i="6"/>
  <c r="W68" i="1"/>
  <c r="AE68" i="1"/>
  <c r="Y68" i="1"/>
  <c r="Y65" i="1"/>
  <c r="AG66" i="1"/>
  <c r="Z65" i="1"/>
  <c r="Z68" i="1"/>
  <c r="X65" i="1"/>
  <c r="X68" i="1"/>
  <c r="DU33" i="6" l="1"/>
  <c r="DU35" i="6" s="1"/>
  <c r="BQ33" i="6"/>
  <c r="BQ35" i="6" s="1"/>
  <c r="EN33" i="6"/>
  <c r="EN35" i="6" s="1"/>
  <c r="DX33" i="6"/>
  <c r="DX35" i="6" s="1"/>
  <c r="DH33" i="6"/>
  <c r="DH35" i="6" s="1"/>
  <c r="CR33" i="6"/>
  <c r="CR35" i="6" s="1"/>
  <c r="CB33" i="6"/>
  <c r="CB35" i="6" s="1"/>
  <c r="ES33" i="6"/>
  <c r="ES35" i="6" s="1"/>
  <c r="DA33" i="6"/>
  <c r="DA35" i="6" s="1"/>
  <c r="BU33" i="6"/>
  <c r="BU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DQ33" i="6"/>
  <c r="DQ35" i="6" s="1"/>
  <c r="EL33" i="6"/>
  <c r="EL35" i="6" s="1"/>
  <c r="DV33" i="6"/>
  <c r="DV35" i="6" s="1"/>
  <c r="DF33" i="6"/>
  <c r="DF35" i="6" s="1"/>
  <c r="CP33" i="6"/>
  <c r="CP35" i="6" s="1"/>
  <c r="BZ33" i="6"/>
  <c r="BZ35" i="6" s="1"/>
  <c r="DI33" i="6"/>
  <c r="DI35" i="6" s="1"/>
  <c r="EJ33" i="6"/>
  <c r="EJ35" i="6" s="1"/>
  <c r="DT33" i="6"/>
  <c r="DT35" i="6" s="1"/>
  <c r="DD33" i="6"/>
  <c r="DD35" i="6" s="1"/>
  <c r="CN33" i="6"/>
  <c r="CN35" i="6" s="1"/>
  <c r="BX33" i="6"/>
  <c r="BX35" i="6" s="1"/>
  <c r="EK33" i="6"/>
  <c r="EK35" i="6" s="1"/>
  <c r="CO33" i="6"/>
  <c r="CO35" i="6" s="1"/>
  <c r="EM33" i="6"/>
  <c r="EM35" i="6" s="1"/>
  <c r="DW33" i="6"/>
  <c r="DW35" i="6" s="1"/>
  <c r="DG33" i="6"/>
  <c r="DG35" i="6" s="1"/>
  <c r="CQ33" i="6"/>
  <c r="CQ35" i="6" s="1"/>
  <c r="CA33" i="6"/>
  <c r="CA35" i="6" s="1"/>
  <c r="DE33" i="6"/>
  <c r="DE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EW33" i="6"/>
  <c r="EW35" i="6" s="1"/>
  <c r="CW33" i="6"/>
  <c r="CW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DY33" i="6"/>
  <c r="DY35" i="6" s="1"/>
  <c r="CG33" i="6"/>
  <c r="CG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EO33" i="6"/>
  <c r="EO35" i="6" s="1"/>
  <c r="CS33" i="6"/>
  <c r="CS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EG33" i="6"/>
  <c r="EG35" i="6" s="1"/>
  <c r="CK33" i="6"/>
  <c r="CK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DM33" i="6"/>
  <c r="DM35" i="6" s="1"/>
  <c r="CC33" i="6"/>
  <c r="CC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EC33" i="6"/>
  <c r="EC35" i="6" s="1"/>
  <c r="BY33" i="6"/>
  <c r="BY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B5" i="6"/>
  <c r="B2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<sst xmlns="http://schemas.openxmlformats.org/spreadsheetml/2006/main" count="501" uniqueCount="236">
  <si>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</si>
  <si>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</si>
  <si>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</si>
  <si>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</si>
  <si>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</si>
  <si>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</si>
  <si>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</si>
  <si>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</si>
  <si>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</si>
  <si>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</si>
  <si>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</si>
  <si>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</si>
  <si>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</si>
  <si>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</si>
  <si>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</si>
  <si>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</si>
  <si>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</si>
  <si>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</si>
  <si>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</si>
  <si>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</si>
  <si>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</si>
  <si>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</si>
  <si>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</si>
  <si>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</si>
  <si>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</si>
  <si>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</si>
  <si>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</si>
  <si>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</si>
  <si>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</si>
  <si>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</si>
  <si>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</si>
  <si>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</si>
  <si>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</si>
  <si>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</si>
  <si>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</si>
  <si>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</si>
  <si>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</si>
  <si>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</si>
  <si>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</si>
  <si>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</si>
  <si>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</si>
  <si>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</si>
  <si>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</si>
  <si>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</si>
  <si>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</si>
  <si>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</si>
  <si>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</si>
  <si>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</si>
  <si>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</si>
  <si>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</si>
  <si>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</si>
  <si>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</si>
  <si>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</si>
  <si>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</si>
  <si>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</si>
  <si>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</si>
  <si>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</si>
  <si>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</si>
  <si>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</si>
  <si>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</si>
  <si>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</si>
  <si>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</si>
  <si>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</si>
  <si>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</si>
  <si>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</si>
  <si>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</si>
  <si>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</si>
  <si>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</si>
  <si>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</si>
  <si>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</si>
  <si>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</si>
  <si>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</si>
  <si>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</si>
  <si>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</si>
  <si>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</si>
  <si>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</si>
  <si>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</si>
  <si>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</si>
  <si>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</si>
  <si>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</si>
  <si>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</si>
  <si>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</si>
  <si>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</si>
  <si>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</si>
  <si>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</si>
  <si>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</si>
  <si>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</si>
  <si>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</si>
  <si>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</si>
  <si>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</si>
  <si>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</si>
  <si>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</si>
  <si>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</si>
  <si>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</si>
  <si>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</si>
  <si>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</si>
  <si>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</si>
  <si>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</si>
  <si>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</si>
  <si>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</si>
  <si>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</si>
  <si>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</si>
  <si>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</si>
  <si>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</si>
  <si>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</si>
  <si>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</si>
  <si>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</si>
  <si>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</si>
  <si>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</si>
  <si>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</si>
  <si>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</si>
  <si>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</si>
  <si>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</si>
  <si>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</si>
  <si>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</si>
  <si>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</si>
  <si>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</si>
  <si>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</si>
  <si>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</si>
  <si>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</si>
  <si>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</si>
  <si>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</si>
  <si>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</si>
  <si>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</si>
  <si>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</si>
  <si>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</si>
  <si>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</si>
  <si>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</si>
  <si>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</si>
  <si>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</si>
  <si>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</si>
  <si>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</si>
  <si>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</si>
  <si>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</si>
  <si>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</si>
  <si>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</si>
  <si>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</si>
  <si>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</si>
  <si>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</si>
  <si>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</si>
  <si>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</si>
  <si>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</si>
  <si>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</si>
  <si>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</si>
  <si>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</si>
  <si>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</si>
  <si>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</si>
  <si>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</si>
  <si>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</si>
  <si>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</si>
  <si>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</si>
  <si>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</si>
  <si>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</si>
  <si>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</si>
  <si>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</si>
  <si>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</si>
  <si>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</si>
  <si>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</si>
  <si>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</si>
  <si>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</si>
  <si>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</si>
  <si>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</si>
  <si>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</si>
  <si>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</si>
  <si>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</si>
  <si>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</si>
  <si>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</si>
  <si>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</si>
  <si>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</si>
  <si>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</si>
  <si>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</si>
  <si>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</si>
  <si>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</si>
  <si>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</si>
  <si>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</si>
  <si>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</si>
  <si>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</si>
  <si>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</si>
  <si>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</si>
  <si>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</si>
  <si>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</si>
  <si>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</si>
  <si>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</si>
  <si>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</si>
  <si>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</si>
  <si>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</si>
  <si>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</si>
  <si>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</si>
  <si>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</si>
  <si>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</si>
  <si>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</si>
  <si>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</si>
  <si>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</si>
  <si>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</si>
  <si>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</si>
  <si>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</si>
  <si>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</si>
  <si>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</si>
  <si>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</si>
  <si>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</si>
  <si>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</si>
  <si>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</si>
  <si>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</si>
  <si>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</si>
  <si>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</si>
  <si>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</si>
  <si>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</si>
  <si>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</si>
  <si>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</si>
  <si>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</si>
  <si>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</si>
  <si>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</si>
  <si>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</si>
  <si>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</si>
  <si>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</si>
  <si>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</si>
  <si>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</si>
  <si>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</si>
  <si>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</si>
  <si>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</si>
  <si>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</si>
  <si>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</si>
  <si>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</si>
  <si>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</si>
  <si>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</si>
  <si>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</si>
  <si>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</si>
  <si>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</si>
  <si>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</si>
  <si>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</si>
  <si>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</si>
  <si>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</si>
  <si>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</si>
  <si>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</si>
  <si>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andre</t>
  </si>
  <si>
    <t>K:\André\testes\NOVO\teste 3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</si>
</sst>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3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11" fontId="18" fillId="0" borderId="0" xfId="0" applyNumberFormat="1" applyFont="1"/>
    <xf numFmtId="0" fontId="20" fillId="0" borderId="0" xfId="0" applyFont="1"/>
    <xf numFmtId="0" fontId="20" fillId="0" borderId="0" xfId="0" applyFont="1" applyProtection="1">
      <protection locked="0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2" fontId="22" fillId="2" borderId="5" xfId="0" applyNumberFormat="1" applyFont="1" applyFill="1" applyBorder="1" applyAlignment="1">
      <alignment horizontal="center"/>
    </xf>
    <xf numFmtId="0" fontId="22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23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2" fontId="14" fillId="0" borderId="0" xfId="0" applyNumberFormat="1" applyFont="1"/>
    <xf numFmtId="0" fontId="14" fillId="0" borderId="0" xfId="0" applyFont="1" applyAlignment="1">
      <alignment horizontal="center" vertic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2" fontId="18" fillId="0" borderId="0" xfId="0" applyNumberFormat="1" applyFont="1"/>
    <xf numFmtId="10" fontId="17" fillId="0" borderId="4" xfId="0" applyNumberFormat="1" applyFont="1" applyBorder="1" applyAlignment="1">
      <alignment horizontal="center"/>
    </xf>
    <xf numFmtId="10" fontId="18" fillId="0" borderId="0" xfId="0" applyNumberFormat="1" applyFont="1"/>
    <xf numFmtId="0" fontId="18" fillId="0" borderId="4" xfId="0" applyFont="1" applyBorder="1"/>
    <xf numFmtId="2" fontId="18" fillId="0" borderId="4" xfId="0" applyNumberFormat="1" applyFont="1" applyBorder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P13" sqref="P13"/>
    </sheetView>
  </sheetViews>
  <sheetFormatPr defaultRowHeight="12.75" x14ac:dyDescent="0.2"/>
  <cols>
    <col min="1" max="1" width="8.875" style="202" customWidth="1"/>
    <col min="2" max="6" width="9" style="202"/>
    <col min="7" max="7" width="11.875" style="202" customWidth="1"/>
    <col min="8" max="8" width="13" style="202" customWidth="1"/>
    <col min="9" max="9" width="13.125" style="202" customWidth="1"/>
    <col min="10" max="10" width="11.875" style="202" customWidth="1"/>
    <col min="11" max="11" width="9" style="202"/>
    <col min="12" max="12" width="11.125" style="202" bestFit="1" customWidth="1"/>
    <col min="13" max="14" width="12.5" style="202" customWidth="1"/>
    <col min="15" max="15" width="10.75" style="202" customWidth="1"/>
    <col min="16" max="16" width="15.375" style="202" customWidth="1"/>
    <col min="17" max="17" width="7" style="202" customWidth="1"/>
    <col min="18" max="18" width="15.25" style="202" bestFit="1" customWidth="1"/>
    <col min="19" max="19" width="12.25" style="203" customWidth="1"/>
    <col min="20" max="22" width="13.25" style="203" customWidth="1"/>
    <col min="23" max="23" width="13" style="202" customWidth="1"/>
    <col min="24" max="24" width="13.75" style="202" customWidth="1"/>
    <col min="25" max="25" width="12.75" style="202" customWidth="1"/>
    <col min="26" max="26" width="12.625" style="202" customWidth="1"/>
    <col min="27" max="27" width="13.5" style="202" customWidth="1"/>
    <col min="28" max="28" width="12.5" style="202" customWidth="1"/>
    <col min="29" max="29" width="9.75" style="202" customWidth="1"/>
    <col min="30" max="30" width="10.25" style="202" customWidth="1"/>
    <col min="31" max="31" width="11.375" style="202" customWidth="1"/>
    <col min="32" max="32" width="11.25" style="202" customWidth="1"/>
    <col min="33" max="33" width="9.625" style="202" customWidth="1"/>
    <col min="34" max="34" width="6.125" style="202" customWidth="1"/>
    <col min="35" max="38" width="2.75" style="202" customWidth="1"/>
    <col min="39" max="39" width="5" style="202" customWidth="1"/>
    <col min="40" max="40" width="16.125" style="202" customWidth="1"/>
    <col min="41" max="41" width="12.875" style="202" customWidth="1"/>
    <col min="42" max="42" width="13.375" style="202" customWidth="1"/>
    <col min="43" max="45" width="2.75" style="202" customWidth="1"/>
    <col min="46" max="16384" width="9" style="202"/>
  </cols>
  <sheetData>
    <row r="1" spans="8:46" ht="30" customHeight="1" x14ac:dyDescent="0.2">
      <c r="P1" s="202" t="s">
        <v>66</v>
      </c>
      <c r="Q1" s="202" t="s">
        <v>0</v>
      </c>
      <c r="R1" s="202" t="s">
        <v>18</v>
      </c>
      <c r="T1" s="203" t="s">
        <v>122</v>
      </c>
      <c r="U1" s="203" t="s">
        <v>122</v>
      </c>
      <c r="V1" s="203" t="s">
        <v>122</v>
      </c>
      <c r="W1" s="202">
        <v>0</v>
      </c>
      <c r="X1" s="204"/>
      <c r="Y1" s="204"/>
      <c r="AA1" s="202">
        <f>N5+O5+P5</f>
        <v>1</v>
      </c>
      <c r="AM1" s="202">
        <v>1</v>
      </c>
      <c r="AT1" s="202" t="s">
        <v>5</v>
      </c>
    </row>
    <row r="2" spans="8:46" x14ac:dyDescent="0.2">
      <c r="T2" s="203" t="s">
        <v>120</v>
      </c>
      <c r="U2" s="203" t="s">
        <v>120</v>
      </c>
      <c r="V2" s="203" t="s">
        <v>120</v>
      </c>
      <c r="AM2" s="202">
        <v>2</v>
      </c>
      <c r="AT2" s="202" t="s">
        <v>7</v>
      </c>
    </row>
    <row r="3" spans="8:46" x14ac:dyDescent="0.2">
      <c r="R3" s="202" t="s">
        <v>81</v>
      </c>
      <c r="T3" s="203" t="s">
        <v>121</v>
      </c>
      <c r="U3" s="203" t="s">
        <v>121</v>
      </c>
      <c r="V3" s="203" t="s">
        <v>121</v>
      </c>
      <c r="AM3" s="202">
        <v>3</v>
      </c>
      <c r="AT3" s="202" t="s">
        <v>6</v>
      </c>
    </row>
    <row r="4" spans="8:46" x14ac:dyDescent="0.2">
      <c r="T4" s="203" t="s">
        <v>123</v>
      </c>
      <c r="U4" s="203" t="s">
        <v>123</v>
      </c>
      <c r="V4" s="203" t="s">
        <v>123</v>
      </c>
      <c r="X4" s="202" t="s">
        <v>93</v>
      </c>
      <c r="AM4" s="202">
        <v>4</v>
      </c>
      <c r="AT4" s="202" t="s">
        <v>87</v>
      </c>
    </row>
    <row r="5" spans="8:46" x14ac:dyDescent="0.2">
      <c r="N5" s="202" t="b">
        <v>0</v>
      </c>
      <c r="O5" s="202" t="b">
        <v>0</v>
      </c>
      <c r="P5" s="202" t="b">
        <v>1</v>
      </c>
      <c r="T5" s="203" t="s">
        <v>124</v>
      </c>
      <c r="U5" s="203" t="s">
        <v>124</v>
      </c>
      <c r="V5" s="203" t="s">
        <v>124</v>
      </c>
      <c r="X5" s="202" t="s">
        <v>101</v>
      </c>
      <c r="Y5" s="202" t="s">
        <v>104</v>
      </c>
      <c r="Z5" s="202" t="s">
        <v>103</v>
      </c>
      <c r="AM5" s="202">
        <v>5</v>
      </c>
    </row>
    <row r="6" spans="8:46" x14ac:dyDescent="0.2">
      <c r="T6" s="203" t="s">
        <v>125</v>
      </c>
      <c r="U6" s="203" t="s">
        <v>125</v>
      </c>
      <c r="V6" s="203" t="s">
        <v>125</v>
      </c>
      <c r="X6" s="202" t="b">
        <v>0</v>
      </c>
      <c r="Y6" s="202" t="b">
        <v>0</v>
      </c>
      <c r="Z6" s="202" t="b">
        <v>0</v>
      </c>
      <c r="AM6" s="202">
        <v>6</v>
      </c>
    </row>
    <row r="7" spans="8:46" x14ac:dyDescent="0.2">
      <c r="T7" s="203" t="s">
        <v>126</v>
      </c>
      <c r="U7" s="203" t="s">
        <v>126</v>
      </c>
      <c r="V7" s="203" t="s">
        <v>126</v>
      </c>
      <c r="AM7" s="202">
        <v>7</v>
      </c>
    </row>
    <row r="8" spans="8:46" x14ac:dyDescent="0.2">
      <c r="T8" s="203" t="s">
        <v>127</v>
      </c>
      <c r="U8" s="203" t="s">
        <v>127</v>
      </c>
      <c r="V8" s="203" t="s">
        <v>127</v>
      </c>
      <c r="AM8" s="202">
        <v>8</v>
      </c>
    </row>
    <row r="9" spans="8:46" x14ac:dyDescent="0.2">
      <c r="T9" s="203" t="s">
        <v>128</v>
      </c>
      <c r="U9" s="203" t="s">
        <v>128</v>
      </c>
      <c r="V9" s="203" t="s">
        <v>128</v>
      </c>
      <c r="AM9" s="202">
        <v>9</v>
      </c>
    </row>
    <row r="10" spans="8:46" x14ac:dyDescent="0.2">
      <c r="T10" s="203" t="s">
        <v>129</v>
      </c>
      <c r="U10" s="203" t="s">
        <v>129</v>
      </c>
      <c r="V10" s="203" t="s">
        <v>129</v>
      </c>
      <c r="AM10" s="202">
        <v>10</v>
      </c>
    </row>
    <row r="11" spans="8:46" x14ac:dyDescent="0.2">
      <c r="P11" s="205"/>
      <c r="R11" s="202" t="s">
        <v>65</v>
      </c>
      <c r="S11" s="203">
        <v>1</v>
      </c>
      <c r="T11" s="203" t="b">
        <v>1</v>
      </c>
      <c r="U11" s="203" t="b">
        <v>1</v>
      </c>
      <c r="V11" s="203" t="b">
        <v>1</v>
      </c>
      <c r="W11" s="206"/>
      <c r="X11" s="206"/>
      <c r="Y11" s="206"/>
      <c r="Z11" s="206"/>
      <c r="AA11" s="206"/>
      <c r="AB11" s="206"/>
    </row>
    <row r="12" spans="8:46" x14ac:dyDescent="0.2">
      <c r="N12" s="205"/>
      <c r="S12" s="203">
        <v>2</v>
      </c>
      <c r="T12" s="203" t="b">
        <v>1</v>
      </c>
      <c r="U12" s="203" t="b">
        <v>1</v>
      </c>
      <c r="V12" s="203" t="b">
        <v>1</v>
      </c>
    </row>
    <row r="13" spans="8:46" x14ac:dyDescent="0.2">
      <c r="H13" s="207"/>
      <c r="I13" s="207"/>
      <c r="S13" s="203">
        <v>3</v>
      </c>
      <c r="T13" s="203" t="b">
        <v>1</v>
      </c>
      <c r="U13" s="203" t="b">
        <v>1</v>
      </c>
      <c r="V13" s="203" t="b">
        <v>1</v>
      </c>
    </row>
    <row r="14" spans="8:46" x14ac:dyDescent="0.2">
      <c r="S14" s="203">
        <v>4</v>
      </c>
      <c r="T14" s="203" t="b">
        <v>1</v>
      </c>
      <c r="U14" s="203" t="b">
        <v>1</v>
      </c>
      <c r="V14" s="203" t="b">
        <v>1</v>
      </c>
    </row>
    <row r="15" spans="8:46" x14ac:dyDescent="0.2">
      <c r="S15" s="203">
        <v>5</v>
      </c>
      <c r="T15" s="203" t="b">
        <v>1</v>
      </c>
      <c r="U15" s="203" t="b">
        <v>1</v>
      </c>
      <c r="V15" s="203" t="b">
        <v>1</v>
      </c>
    </row>
    <row r="16" spans="8:46" x14ac:dyDescent="0.2">
      <c r="S16" s="203">
        <v>6</v>
      </c>
      <c r="T16" s="203" t="b">
        <v>1</v>
      </c>
      <c r="U16" s="203" t="b">
        <v>1</v>
      </c>
      <c r="V16" s="203" t="b">
        <v>1</v>
      </c>
    </row>
    <row r="17" spans="1:32" x14ac:dyDescent="0.2">
      <c r="S17" s="203">
        <v>7</v>
      </c>
      <c r="T17" s="203" t="b">
        <v>1</v>
      </c>
      <c r="U17" s="203" t="b">
        <v>1</v>
      </c>
      <c r="V17" s="203" t="b">
        <v>1</v>
      </c>
    </row>
    <row r="18" spans="1:32" x14ac:dyDescent="0.2">
      <c r="S18" s="203">
        <v>8</v>
      </c>
      <c r="T18" s="203" t="b">
        <v>1</v>
      </c>
      <c r="U18" s="203" t="b">
        <v>1</v>
      </c>
      <c r="V18" s="203" t="b">
        <v>1</v>
      </c>
    </row>
    <row r="19" spans="1:32" x14ac:dyDescent="0.2">
      <c r="S19" s="203">
        <v>9</v>
      </c>
      <c r="T19" s="203" t="b">
        <v>1</v>
      </c>
      <c r="U19" s="203" t="b">
        <v>1</v>
      </c>
      <c r="V19" s="203" t="b">
        <v>1</v>
      </c>
    </row>
    <row r="20" spans="1:32" x14ac:dyDescent="0.2">
      <c r="S20" s="203">
        <v>10</v>
      </c>
      <c r="T20" s="203" t="b">
        <v>1</v>
      </c>
      <c r="U20" s="203" t="b">
        <v>1</v>
      </c>
      <c r="V20" s="203" t="b">
        <v>1</v>
      </c>
    </row>
    <row r="21" spans="1:32" x14ac:dyDescent="0.2">
      <c r="R21" s="202" t="s">
        <v>1</v>
      </c>
      <c r="S21" s="203">
        <v>1</v>
      </c>
      <c r="T21" s="203" t="b">
        <v>0</v>
      </c>
      <c r="U21" s="203" t="b">
        <v>0</v>
      </c>
      <c r="V21" s="203" t="b">
        <v>0</v>
      </c>
      <c r="W21" s="202">
        <f>IF(T21,1,0)</f>
        <v>0</v>
      </c>
      <c r="X21" s="202">
        <f>IF(T22,1,0)</f>
        <v>0</v>
      </c>
      <c r="Y21" s="202">
        <f>IF(T23,1,0)</f>
        <v>0</v>
      </c>
      <c r="Z21" s="202">
        <f>IF(T24,1,0)</f>
        <v>0</v>
      </c>
      <c r="AA21" s="202">
        <f>IF(T25,1,0)</f>
        <v>0</v>
      </c>
      <c r="AB21" s="202">
        <f>IF(T26,1,0)</f>
        <v>0</v>
      </c>
      <c r="AC21" s="202">
        <f>IF(T27,1,0)</f>
        <v>0</v>
      </c>
      <c r="AD21" s="202">
        <f>IF(T28,1,0)</f>
        <v>0</v>
      </c>
      <c r="AE21" s="202">
        <f>IF(T29,1,0)</f>
        <v>0</v>
      </c>
      <c r="AF21" s="202">
        <f>IF(T30,1,0)</f>
        <v>0</v>
      </c>
    </row>
    <row r="22" spans="1:32" x14ac:dyDescent="0.2">
      <c r="B22" s="208"/>
      <c r="S22" s="203">
        <v>2</v>
      </c>
      <c r="T22" s="203" t="b">
        <v>0</v>
      </c>
      <c r="U22" s="203" t="b">
        <v>0</v>
      </c>
      <c r="V22" s="203" t="b">
        <v>0</v>
      </c>
    </row>
    <row r="23" spans="1:32" x14ac:dyDescent="0.2">
      <c r="B23" s="208"/>
      <c r="M23" s="205"/>
      <c r="S23" s="203">
        <v>3</v>
      </c>
      <c r="T23" s="203" t="b">
        <v>0</v>
      </c>
      <c r="U23" s="203" t="b">
        <v>0</v>
      </c>
      <c r="V23" s="203" t="b">
        <v>0</v>
      </c>
    </row>
    <row r="24" spans="1:32" x14ac:dyDescent="0.2">
      <c r="B24" s="208"/>
      <c r="S24" s="203">
        <v>4</v>
      </c>
      <c r="T24" s="203" t="b">
        <v>0</v>
      </c>
      <c r="U24" s="203" t="b">
        <v>0</v>
      </c>
      <c r="V24" s="203" t="b">
        <v>0</v>
      </c>
    </row>
    <row r="25" spans="1:32" x14ac:dyDescent="0.2">
      <c r="A25" s="208"/>
      <c r="B25" s="208"/>
      <c r="S25" s="203">
        <v>5</v>
      </c>
      <c r="T25" s="203" t="b">
        <v>0</v>
      </c>
      <c r="U25" s="203" t="b">
        <v>0</v>
      </c>
      <c r="V25" s="203" t="b">
        <v>0</v>
      </c>
    </row>
    <row r="26" spans="1:32" x14ac:dyDescent="0.2">
      <c r="A26" s="209"/>
      <c r="B26" s="209"/>
      <c r="C26" s="209"/>
      <c r="D26" s="209"/>
      <c r="E26" s="209"/>
      <c r="S26" s="203">
        <v>6</v>
      </c>
      <c r="T26" s="203" t="b">
        <v>0</v>
      </c>
      <c r="U26" s="203" t="b">
        <v>0</v>
      </c>
      <c r="V26" s="203" t="b">
        <v>0</v>
      </c>
    </row>
    <row r="27" spans="1:32" x14ac:dyDescent="0.2">
      <c r="A27" s="209"/>
      <c r="B27" s="209"/>
      <c r="C27" s="209"/>
      <c r="D27" s="209"/>
      <c r="E27" s="209"/>
      <c r="S27" s="203">
        <v>7</v>
      </c>
      <c r="T27" s="203" t="b">
        <v>0</v>
      </c>
      <c r="U27" s="203" t="b">
        <v>0</v>
      </c>
      <c r="V27" s="203" t="b">
        <v>0</v>
      </c>
    </row>
    <row r="28" spans="1:32" x14ac:dyDescent="0.2">
      <c r="A28" s="209"/>
      <c r="B28" s="209"/>
      <c r="C28" s="209"/>
      <c r="D28" s="209"/>
      <c r="E28" s="209"/>
      <c r="S28" s="203">
        <v>8</v>
      </c>
      <c r="T28" s="203" t="b">
        <v>0</v>
      </c>
      <c r="U28" s="203" t="b">
        <v>0</v>
      </c>
      <c r="V28" s="203" t="b">
        <v>0</v>
      </c>
    </row>
    <row r="29" spans="1:32" x14ac:dyDescent="0.2">
      <c r="A29" s="209"/>
      <c r="B29" s="209"/>
      <c r="C29" s="209"/>
      <c r="D29" s="209"/>
      <c r="E29" s="209"/>
      <c r="S29" s="203">
        <v>9</v>
      </c>
      <c r="T29" s="203" t="b">
        <v>0</v>
      </c>
      <c r="U29" s="203" t="b">
        <v>0</v>
      </c>
      <c r="V29" s="203" t="b">
        <v>0</v>
      </c>
    </row>
    <row r="30" spans="1:32" x14ac:dyDescent="0.2">
      <c r="A30" s="191"/>
      <c r="B30" s="191"/>
      <c r="C30" s="191"/>
      <c r="S30" s="203">
        <v>10</v>
      </c>
      <c r="T30" s="203" t="b">
        <v>0</v>
      </c>
      <c r="U30" s="203" t="b">
        <v>0</v>
      </c>
      <c r="V30" s="203" t="b">
        <v>0</v>
      </c>
    </row>
    <row r="31" spans="1:32" x14ac:dyDescent="0.2">
      <c r="R31" s="202" t="s">
        <v>2</v>
      </c>
      <c r="S31" s="203">
        <v>1</v>
      </c>
      <c r="T31" s="203">
        <v>1</v>
      </c>
      <c r="U31" s="203">
        <v>1</v>
      </c>
      <c r="V31" s="203">
        <v>1</v>
      </c>
      <c r="W31" s="202">
        <f>IF($T$41,T31,1)</f>
        <v>1</v>
      </c>
      <c r="X31" s="202">
        <f>IF($T$41,T32,1)</f>
        <v>1</v>
      </c>
      <c r="Y31" s="202">
        <f>IF($T$41,T33,1)</f>
        <v>1</v>
      </c>
      <c r="Z31" s="202">
        <f>IF($T$41,T34,1)</f>
        <v>1</v>
      </c>
      <c r="AA31" s="202">
        <f>IF($T$41,T35,1)</f>
        <v>1</v>
      </c>
      <c r="AB31" s="202">
        <f>IF($T$41,T36,1)</f>
        <v>1</v>
      </c>
      <c r="AC31" s="202">
        <f>IF($T$41,T37,1)</f>
        <v>1</v>
      </c>
      <c r="AD31" s="202">
        <f>IF($T$41,T38,1)</f>
        <v>1</v>
      </c>
      <c r="AE31" s="202">
        <f>IF($T$41,T39,1)</f>
        <v>1</v>
      </c>
      <c r="AF31" s="202">
        <f>IF($T$41,T40,1)</f>
        <v>1</v>
      </c>
    </row>
    <row r="32" spans="1:32" x14ac:dyDescent="0.2">
      <c r="S32" s="203">
        <v>2</v>
      </c>
      <c r="T32" s="203">
        <v>1</v>
      </c>
      <c r="U32" s="203">
        <v>1</v>
      </c>
      <c r="V32" s="203">
        <v>1</v>
      </c>
    </row>
    <row r="33" spans="1:24" x14ac:dyDescent="0.2">
      <c r="S33" s="203">
        <v>3</v>
      </c>
      <c r="T33" s="203">
        <v>1</v>
      </c>
      <c r="U33" s="203">
        <v>1</v>
      </c>
      <c r="V33" s="203">
        <v>1</v>
      </c>
    </row>
    <row r="34" spans="1:24" x14ac:dyDescent="0.2">
      <c r="S34" s="203">
        <v>4</v>
      </c>
      <c r="T34" s="203">
        <v>1</v>
      </c>
      <c r="U34" s="203">
        <v>1</v>
      </c>
      <c r="V34" s="203">
        <v>1</v>
      </c>
    </row>
    <row r="35" spans="1:24" x14ac:dyDescent="0.2">
      <c r="S35" s="203">
        <v>5</v>
      </c>
      <c r="T35" s="203">
        <v>1</v>
      </c>
      <c r="U35" s="203">
        <v>1</v>
      </c>
      <c r="V35" s="203">
        <v>1</v>
      </c>
    </row>
    <row r="36" spans="1:24" x14ac:dyDescent="0.2">
      <c r="S36" s="203">
        <v>6</v>
      </c>
      <c r="T36" s="203">
        <v>1</v>
      </c>
      <c r="U36" s="203">
        <v>1</v>
      </c>
      <c r="V36" s="203">
        <v>1</v>
      </c>
    </row>
    <row r="37" spans="1:24" x14ac:dyDescent="0.2">
      <c r="E37" s="203" t="s">
        <v>65</v>
      </c>
      <c r="F37" s="203">
        <v>1</v>
      </c>
      <c r="G37" s="203" t="b">
        <v>1</v>
      </c>
      <c r="H37" s="203" t="b">
        <v>0</v>
      </c>
      <c r="I37" s="203" t="b">
        <v>1</v>
      </c>
      <c r="K37" s="210">
        <v>1</v>
      </c>
      <c r="L37" s="210"/>
      <c r="M37" s="210"/>
      <c r="N37" s="210"/>
      <c r="O37" s="203" t="s">
        <v>18</v>
      </c>
      <c r="S37" s="203">
        <v>7</v>
      </c>
      <c r="T37" s="203">
        <v>1</v>
      </c>
      <c r="U37" s="203">
        <v>1</v>
      </c>
      <c r="V37" s="203">
        <v>1</v>
      </c>
    </row>
    <row r="38" spans="1:24" x14ac:dyDescent="0.2">
      <c r="F38" s="203">
        <v>2</v>
      </c>
      <c r="G38" s="203" t="b">
        <v>1</v>
      </c>
      <c r="H38" s="203" t="b">
        <v>0</v>
      </c>
      <c r="I38" s="203" t="b">
        <v>1</v>
      </c>
      <c r="K38" s="210">
        <v>2</v>
      </c>
      <c r="L38" s="210"/>
      <c r="M38" s="210"/>
      <c r="N38" s="210"/>
      <c r="S38" s="203">
        <v>8</v>
      </c>
      <c r="T38" s="203">
        <v>1</v>
      </c>
      <c r="U38" s="203">
        <v>1</v>
      </c>
      <c r="V38" s="203">
        <v>1</v>
      </c>
    </row>
    <row r="39" spans="1:24" x14ac:dyDescent="0.2">
      <c r="F39" s="203">
        <v>3</v>
      </c>
      <c r="G39" s="203" t="b">
        <v>1</v>
      </c>
      <c r="H39" s="203" t="b">
        <v>0</v>
      </c>
      <c r="I39" s="203" t="b">
        <v>1</v>
      </c>
      <c r="K39" s="210">
        <v>3</v>
      </c>
      <c r="L39" s="210"/>
      <c r="M39" s="210"/>
      <c r="N39" s="210"/>
      <c r="S39" s="203">
        <v>9</v>
      </c>
      <c r="T39" s="203">
        <v>1</v>
      </c>
      <c r="U39" s="203">
        <v>1</v>
      </c>
      <c r="V39" s="203">
        <v>1</v>
      </c>
    </row>
    <row r="40" spans="1:24" x14ac:dyDescent="0.2">
      <c r="F40" s="203">
        <v>4</v>
      </c>
      <c r="G40" s="203" t="b">
        <v>0</v>
      </c>
      <c r="H40" s="203" t="b">
        <v>0</v>
      </c>
      <c r="I40" s="203" t="b">
        <v>0</v>
      </c>
      <c r="K40" s="210">
        <v>4</v>
      </c>
      <c r="L40" s="210"/>
      <c r="M40" s="210"/>
      <c r="N40" s="210"/>
      <c r="S40" s="203">
        <v>10</v>
      </c>
      <c r="T40" s="203">
        <v>1</v>
      </c>
      <c r="U40" s="203">
        <v>1</v>
      </c>
      <c r="V40" s="203">
        <v>1</v>
      </c>
    </row>
    <row r="41" spans="1:24" x14ac:dyDescent="0.2">
      <c r="F41" s="203">
        <v>5</v>
      </c>
      <c r="G41" s="203" t="b">
        <v>0</v>
      </c>
      <c r="H41" s="203" t="b">
        <v>0</v>
      </c>
      <c r="I41" s="203" t="b">
        <v>0</v>
      </c>
      <c r="K41" s="210">
        <v>5</v>
      </c>
      <c r="L41" s="210"/>
      <c r="M41" s="210"/>
      <c r="N41" s="210"/>
      <c r="R41" s="202" t="s">
        <v>70</v>
      </c>
      <c r="S41" s="203">
        <v>0</v>
      </c>
      <c r="T41" s="203" t="b">
        <v>0</v>
      </c>
      <c r="U41" s="203" t="b">
        <v>0</v>
      </c>
      <c r="V41" s="203" t="b">
        <v>0</v>
      </c>
      <c r="X41" s="203" t="s">
        <v>90</v>
      </c>
    </row>
    <row r="42" spans="1:24" x14ac:dyDescent="0.2">
      <c r="F42" s="203">
        <v>6</v>
      </c>
      <c r="G42" s="203" t="b">
        <v>0</v>
      </c>
      <c r="H42" s="203" t="b">
        <v>0</v>
      </c>
      <c r="I42" s="203" t="b">
        <v>0</v>
      </c>
      <c r="K42" s="210">
        <v>6</v>
      </c>
      <c r="L42" s="210"/>
      <c r="M42" s="210"/>
      <c r="N42" s="210"/>
      <c r="Q42" s="202" t="s">
        <v>3</v>
      </c>
      <c r="R42" s="202" t="s">
        <v>68</v>
      </c>
      <c r="S42" s="203" t="s">
        <v>5</v>
      </c>
      <c r="T42" s="203" t="b">
        <v>0</v>
      </c>
      <c r="U42" s="203" t="b">
        <v>0</v>
      </c>
      <c r="V42" s="203" t="b">
        <v>0</v>
      </c>
      <c r="X42" s="204" t="b">
        <v>0</v>
      </c>
    </row>
    <row r="43" spans="1:24" x14ac:dyDescent="0.2">
      <c r="F43" s="203">
        <v>7</v>
      </c>
      <c r="G43" s="203" t="b">
        <v>0</v>
      </c>
      <c r="H43" s="203" t="b">
        <v>0</v>
      </c>
      <c r="I43" s="203" t="b">
        <v>0</v>
      </c>
      <c r="K43" s="210">
        <v>7</v>
      </c>
      <c r="L43" s="210"/>
      <c r="M43" s="210"/>
      <c r="N43" s="210"/>
      <c r="S43" s="203" t="s">
        <v>6</v>
      </c>
      <c r="T43" s="203" t="b">
        <v>0</v>
      </c>
      <c r="U43" s="203" t="b">
        <v>0</v>
      </c>
      <c r="V43" s="203" t="b">
        <v>0</v>
      </c>
      <c r="X43" s="203" t="s">
        <v>105</v>
      </c>
    </row>
    <row r="44" spans="1:24" x14ac:dyDescent="0.2">
      <c r="F44" s="203">
        <v>8</v>
      </c>
      <c r="G44" s="203" t="b">
        <v>0</v>
      </c>
      <c r="H44" s="203" t="b">
        <v>0</v>
      </c>
      <c r="I44" s="203" t="b">
        <v>0</v>
      </c>
      <c r="K44" s="210">
        <v>8</v>
      </c>
      <c r="L44" s="210"/>
      <c r="M44" s="210"/>
      <c r="N44" s="210"/>
      <c r="S44" s="203" t="s">
        <v>7</v>
      </c>
      <c r="T44" s="203" t="b">
        <v>0</v>
      </c>
      <c r="U44" s="203" t="b">
        <v>0</v>
      </c>
      <c r="V44" s="203" t="b">
        <v>0</v>
      </c>
      <c r="X44" s="204" t="b">
        <v>0</v>
      </c>
    </row>
    <row r="45" spans="1:24" x14ac:dyDescent="0.2">
      <c r="F45" s="203">
        <v>9</v>
      </c>
      <c r="G45" s="203" t="b">
        <v>0</v>
      </c>
      <c r="H45" s="203" t="b">
        <v>0</v>
      </c>
      <c r="I45" s="203" t="b">
        <v>0</v>
      </c>
      <c r="K45" s="210">
        <v>9</v>
      </c>
      <c r="L45" s="210"/>
      <c r="M45" s="210"/>
      <c r="N45" s="210"/>
      <c r="R45" s="202" t="s">
        <v>67</v>
      </c>
      <c r="S45" s="203" t="s">
        <v>5</v>
      </c>
      <c r="T45" s="203">
        <v>10</v>
      </c>
      <c r="U45" s="203">
        <v>10</v>
      </c>
      <c r="V45" s="203">
        <v>10</v>
      </c>
    </row>
    <row r="46" spans="1:24" x14ac:dyDescent="0.2">
      <c r="F46" s="203">
        <v>10</v>
      </c>
      <c r="G46" s="203" t="b">
        <v>0</v>
      </c>
      <c r="H46" s="203" t="b">
        <v>0</v>
      </c>
      <c r="I46" s="203" t="b">
        <v>0</v>
      </c>
      <c r="K46" s="210">
        <v>10</v>
      </c>
      <c r="L46" s="210"/>
      <c r="M46" s="210"/>
      <c r="N46" s="210"/>
      <c r="S46" s="203" t="s">
        <v>6</v>
      </c>
      <c r="T46" s="203">
        <v>10</v>
      </c>
      <c r="U46" s="203">
        <v>10</v>
      </c>
      <c r="V46" s="203">
        <v>10</v>
      </c>
    </row>
    <row r="47" spans="1:24" x14ac:dyDescent="0.2">
      <c r="A47" s="202" t="s">
        <v>235</v>
      </c>
      <c r="F47" s="203">
        <v>11</v>
      </c>
      <c r="G47" s="202" t="b">
        <v>0</v>
      </c>
      <c r="H47" s="202" t="b">
        <v>0</v>
      </c>
      <c r="I47" s="202" t="b">
        <v>0</v>
      </c>
      <c r="K47" s="210">
        <v>11</v>
      </c>
      <c r="L47" s="210"/>
      <c r="M47" s="210"/>
      <c r="N47" s="210"/>
      <c r="S47" s="203" t="s">
        <v>7</v>
      </c>
      <c r="T47" s="203">
        <v>10</v>
      </c>
      <c r="U47" s="203">
        <v>10</v>
      </c>
      <c r="V47" s="203">
        <v>10</v>
      </c>
    </row>
    <row r="48" spans="1:24" x14ac:dyDescent="0.2">
      <c r="F48" s="203">
        <v>12</v>
      </c>
      <c r="G48" s="202" t="b">
        <v>0</v>
      </c>
      <c r="H48" s="202" t="b">
        <v>0</v>
      </c>
      <c r="I48" s="202" t="b">
        <v>0</v>
      </c>
      <c r="K48" s="210">
        <v>12</v>
      </c>
      <c r="L48" s="210"/>
      <c r="M48" s="210"/>
      <c r="N48" s="210"/>
      <c r="Q48" s="202" t="s">
        <v>19</v>
      </c>
      <c r="R48" s="202" t="s">
        <v>65</v>
      </c>
      <c r="S48" s="203">
        <v>1</v>
      </c>
      <c r="T48" s="203" t="b">
        <v>0</v>
      </c>
      <c r="U48" s="203" t="b">
        <v>0</v>
      </c>
      <c r="V48" s="203" t="b">
        <v>0</v>
      </c>
    </row>
    <row r="49" spans="6:33" x14ac:dyDescent="0.2">
      <c r="F49" s="203">
        <v>13</v>
      </c>
      <c r="G49" s="202" t="b">
        <v>0</v>
      </c>
      <c r="H49" s="202" t="b">
        <v>0</v>
      </c>
      <c r="I49" s="202" t="b">
        <v>0</v>
      </c>
      <c r="K49" s="210">
        <v>13</v>
      </c>
      <c r="L49" s="210"/>
      <c r="M49" s="210"/>
      <c r="N49" s="210"/>
      <c r="S49" s="203">
        <v>5</v>
      </c>
      <c r="T49" s="203" t="b">
        <v>0</v>
      </c>
      <c r="U49" s="203" t="b">
        <v>0</v>
      </c>
      <c r="V49" s="203" t="b">
        <v>0</v>
      </c>
    </row>
    <row r="50" spans="6:33" x14ac:dyDescent="0.2">
      <c r="F50" s="203">
        <v>14</v>
      </c>
      <c r="G50" s="202" t="b">
        <v>0</v>
      </c>
      <c r="H50" s="202" t="b">
        <v>0</v>
      </c>
      <c r="I50" s="202" t="b">
        <v>0</v>
      </c>
      <c r="K50" s="210">
        <v>14</v>
      </c>
      <c r="L50" s="210"/>
      <c r="M50" s="210"/>
      <c r="N50" s="210"/>
      <c r="S50" s="203" t="s">
        <v>16</v>
      </c>
      <c r="T50" s="203" t="b">
        <v>0</v>
      </c>
      <c r="U50" s="203" t="b">
        <v>0</v>
      </c>
      <c r="V50" s="203" t="b">
        <v>0</v>
      </c>
    </row>
    <row r="51" spans="6:33" x14ac:dyDescent="0.2">
      <c r="F51" s="203">
        <v>15</v>
      </c>
      <c r="G51" s="202" t="b">
        <v>0</v>
      </c>
      <c r="H51" s="202" t="b">
        <v>0</v>
      </c>
      <c r="I51" s="202" t="b">
        <v>0</v>
      </c>
      <c r="K51" s="210">
        <v>15</v>
      </c>
      <c r="L51" s="210"/>
      <c r="M51" s="210"/>
      <c r="N51" s="210"/>
      <c r="R51" s="202" t="s">
        <v>11</v>
      </c>
      <c r="S51" s="203">
        <v>1</v>
      </c>
      <c r="T51" s="203">
        <v>1</v>
      </c>
      <c r="U51" s="203">
        <v>1</v>
      </c>
      <c r="V51" s="203">
        <v>1</v>
      </c>
    </row>
    <row r="52" spans="6:33" x14ac:dyDescent="0.2">
      <c r="F52" s="203">
        <v>16</v>
      </c>
      <c r="G52" s="202" t="b">
        <v>0</v>
      </c>
      <c r="H52" s="202" t="b">
        <v>0</v>
      </c>
      <c r="I52" s="202" t="b">
        <v>0</v>
      </c>
      <c r="K52" s="210">
        <v>16</v>
      </c>
      <c r="L52" s="210"/>
      <c r="M52" s="210"/>
      <c r="N52" s="210"/>
      <c r="S52" s="203">
        <v>5</v>
      </c>
      <c r="T52" s="203">
        <v>5</v>
      </c>
      <c r="U52" s="203">
        <v>5</v>
      </c>
      <c r="V52" s="203">
        <v>5</v>
      </c>
    </row>
    <row r="53" spans="6:33" x14ac:dyDescent="0.2">
      <c r="F53" s="203">
        <v>17</v>
      </c>
      <c r="G53" s="202" t="b">
        <v>0</v>
      </c>
      <c r="H53" s="202" t="b">
        <v>0</v>
      </c>
      <c r="I53" s="202" t="b">
        <v>0</v>
      </c>
      <c r="K53" s="210">
        <v>17</v>
      </c>
      <c r="L53" s="210"/>
      <c r="M53" s="210"/>
      <c r="N53" s="210"/>
      <c r="S53" s="203" t="s">
        <v>16</v>
      </c>
      <c r="T53" s="203">
        <v>2</v>
      </c>
      <c r="U53" s="203">
        <v>2</v>
      </c>
      <c r="V53" s="203">
        <v>2</v>
      </c>
    </row>
    <row r="54" spans="6:33" x14ac:dyDescent="0.2">
      <c r="F54" s="203">
        <v>18</v>
      </c>
      <c r="G54" s="202" t="b">
        <v>0</v>
      </c>
      <c r="H54" s="202" t="b">
        <v>0</v>
      </c>
      <c r="I54" s="202" t="b">
        <v>0</v>
      </c>
      <c r="K54" s="210">
        <v>18</v>
      </c>
      <c r="L54" s="210"/>
      <c r="M54" s="210"/>
      <c r="N54" s="210"/>
      <c r="Q54" s="202" t="s">
        <v>69</v>
      </c>
      <c r="R54" s="202" t="s">
        <v>65</v>
      </c>
      <c r="S54" s="203" t="s">
        <v>5</v>
      </c>
      <c r="T54" s="203" t="b">
        <v>0</v>
      </c>
      <c r="U54" s="203" t="b">
        <v>0</v>
      </c>
      <c r="V54" s="203" t="b">
        <v>0</v>
      </c>
    </row>
    <row r="55" spans="6:33" x14ac:dyDescent="0.2">
      <c r="F55" s="203">
        <v>19</v>
      </c>
      <c r="G55" s="202" t="b">
        <v>0</v>
      </c>
      <c r="H55" s="202" t="b">
        <v>0</v>
      </c>
      <c r="I55" s="202" t="b">
        <v>0</v>
      </c>
      <c r="K55" s="210">
        <v>19</v>
      </c>
      <c r="L55" s="210"/>
      <c r="M55" s="210"/>
      <c r="N55" s="210"/>
      <c r="S55" s="203" t="s">
        <v>6</v>
      </c>
      <c r="T55" s="203" t="b">
        <v>0</v>
      </c>
      <c r="U55" s="203" t="b">
        <v>0</v>
      </c>
      <c r="V55" s="203" t="b">
        <v>0</v>
      </c>
      <c r="W55" s="202" t="s">
        <v>234</v>
      </c>
      <c r="X55" s="202" t="s">
        <v>234</v>
      </c>
      <c r="Y55" s="202" t="s">
        <v>234</v>
      </c>
      <c r="AA55" s="202" t="s">
        <v>6</v>
      </c>
    </row>
    <row r="56" spans="6:33" x14ac:dyDescent="0.2">
      <c r="F56" s="203">
        <v>20</v>
      </c>
      <c r="G56" s="202" t="b">
        <v>0</v>
      </c>
      <c r="H56" s="202" t="b">
        <v>0</v>
      </c>
      <c r="I56" s="202" t="b">
        <v>0</v>
      </c>
      <c r="K56" s="210">
        <v>20</v>
      </c>
      <c r="L56" s="210"/>
      <c r="M56" s="210"/>
      <c r="N56" s="210"/>
      <c r="S56" s="203" t="s">
        <v>7</v>
      </c>
      <c r="T56" s="203" t="b">
        <v>0</v>
      </c>
      <c r="U56" s="203" t="b">
        <v>0</v>
      </c>
      <c r="V56" s="203" t="b">
        <v>0</v>
      </c>
      <c r="W56" s="202">
        <v>1</v>
      </c>
      <c r="X56" s="202">
        <v>1</v>
      </c>
      <c r="Y56" s="202">
        <v>1</v>
      </c>
    </row>
    <row r="57" spans="6:33" x14ac:dyDescent="0.2">
      <c r="F57" s="203">
        <v>21</v>
      </c>
      <c r="G57" s="202" t="b">
        <v>0</v>
      </c>
      <c r="H57" s="202" t="b">
        <v>0</v>
      </c>
      <c r="I57" s="202" t="b">
        <v>0</v>
      </c>
      <c r="K57" s="210">
        <v>21</v>
      </c>
      <c r="L57" s="210"/>
      <c r="M57" s="210"/>
      <c r="N57" s="210"/>
      <c r="R57" s="202" t="s">
        <v>88</v>
      </c>
      <c r="S57" s="203">
        <v>0</v>
      </c>
      <c r="W57" s="202" t="s">
        <v>234</v>
      </c>
      <c r="X57" s="202" t="s">
        <v>234</v>
      </c>
      <c r="Y57" s="202" t="s">
        <v>234</v>
      </c>
      <c r="Z57" s="202" t="s">
        <v>5</v>
      </c>
      <c r="AA57" s="202" t="s">
        <v>7</v>
      </c>
    </row>
    <row r="58" spans="6:33" x14ac:dyDescent="0.2">
      <c r="F58" s="203">
        <v>22</v>
      </c>
      <c r="G58" s="202" t="b">
        <v>0</v>
      </c>
      <c r="H58" s="202" t="b">
        <v>0</v>
      </c>
      <c r="I58" s="202" t="b">
        <v>0</v>
      </c>
      <c r="K58" s="210">
        <v>22</v>
      </c>
      <c r="L58" s="210"/>
      <c r="M58" s="210"/>
      <c r="N58" s="210"/>
      <c r="R58" s="202" t="s">
        <v>89</v>
      </c>
      <c r="S58" s="203">
        <v>0</v>
      </c>
      <c r="T58" s="203">
        <v>1</v>
      </c>
      <c r="U58" s="203">
        <v>1</v>
      </c>
      <c r="V58" s="203">
        <v>1</v>
      </c>
      <c r="W58" s="202">
        <v>1</v>
      </c>
      <c r="X58" s="202">
        <v>1</v>
      </c>
      <c r="Y58" s="202">
        <v>1</v>
      </c>
    </row>
    <row r="59" spans="6:33" x14ac:dyDescent="0.2">
      <c r="F59" s="203">
        <v>23</v>
      </c>
      <c r="G59" s="202" t="b">
        <v>0</v>
      </c>
      <c r="H59" s="202" t="b">
        <v>0</v>
      </c>
      <c r="I59" s="202" t="b">
        <v>0</v>
      </c>
      <c r="K59" s="210">
        <v>23</v>
      </c>
      <c r="L59" s="210"/>
      <c r="M59" s="210"/>
      <c r="N59" s="210"/>
      <c r="R59" s="202" t="s">
        <v>71</v>
      </c>
      <c r="S59" s="203">
        <v>0</v>
      </c>
      <c r="AG59" s="202" t="s">
        <v>1</v>
      </c>
    </row>
    <row r="60" spans="6:33" x14ac:dyDescent="0.2">
      <c r="F60" s="203">
        <v>24</v>
      </c>
      <c r="G60" s="202" t="b">
        <v>0</v>
      </c>
      <c r="H60" s="202" t="b">
        <v>0</v>
      </c>
      <c r="I60" s="202" t="b">
        <v>0</v>
      </c>
      <c r="K60" s="210">
        <v>24</v>
      </c>
      <c r="L60" s="210"/>
      <c r="M60" s="210"/>
      <c r="N60" s="210"/>
      <c r="S60" s="203">
        <v>0</v>
      </c>
      <c r="T60" s="203">
        <v>1</v>
      </c>
      <c r="U60" s="203">
        <v>1</v>
      </c>
      <c r="V60" s="203">
        <v>1</v>
      </c>
    </row>
    <row r="61" spans="6:33" x14ac:dyDescent="0.2">
      <c r="F61" s="203">
        <v>25</v>
      </c>
      <c r="G61" s="202" t="b">
        <v>0</v>
      </c>
      <c r="H61" s="202" t="b">
        <v>0</v>
      </c>
      <c r="I61" s="202" t="b">
        <v>0</v>
      </c>
      <c r="K61" s="210">
        <v>25</v>
      </c>
      <c r="L61" s="210"/>
      <c r="M61" s="210"/>
      <c r="N61" s="210"/>
      <c r="S61" s="203" t="s">
        <v>5</v>
      </c>
      <c r="T61" s="211">
        <v>156</v>
      </c>
      <c r="U61" s="211">
        <v>156</v>
      </c>
      <c r="V61" s="211">
        <v>156</v>
      </c>
      <c r="W61" s="212">
        <f>Diagrama!B6</f>
        <v>0</v>
      </c>
      <c r="X61" s="212">
        <f>Diagrama!C6</f>
        <v>0</v>
      </c>
      <c r="Y61" s="212">
        <f>Diagrama!D6</f>
        <v>0</v>
      </c>
      <c r="Z61" s="212">
        <f>Diagrama!E6</f>
        <v>0</v>
      </c>
      <c r="AA61" s="212">
        <f>Diagrama!F6</f>
        <v>0</v>
      </c>
      <c r="AB61" s="212">
        <f>Diagrama!G6</f>
        <v>0</v>
      </c>
      <c r="AC61" s="212">
        <f>Diagrama!H6</f>
        <v>0</v>
      </c>
      <c r="AD61" s="212">
        <f>Diagrama!I6</f>
        <v>0</v>
      </c>
      <c r="AE61" s="212">
        <f>Diagrama!J6</f>
        <v>0</v>
      </c>
      <c r="AF61" s="212">
        <f>Diagrama!K6</f>
        <v>0</v>
      </c>
      <c r="AG61" s="212">
        <f>Diagrama!L6</f>
        <v>0</v>
      </c>
    </row>
    <row r="62" spans="6:33" x14ac:dyDescent="0.2">
      <c r="F62" s="203">
        <v>26</v>
      </c>
      <c r="G62" s="202" t="b">
        <v>0</v>
      </c>
      <c r="H62" s="202" t="b">
        <v>0</v>
      </c>
      <c r="I62" s="202" t="b">
        <v>0</v>
      </c>
      <c r="K62" s="210">
        <v>26</v>
      </c>
      <c r="L62" s="210"/>
      <c r="M62" s="210"/>
      <c r="N62" s="210"/>
      <c r="S62" s="203" t="s">
        <v>6</v>
      </c>
      <c r="T62" s="211">
        <v>156</v>
      </c>
      <c r="U62" s="211">
        <v>156</v>
      </c>
      <c r="V62" s="211">
        <v>156</v>
      </c>
      <c r="W62" s="212">
        <f>Diagrama!B7</f>
        <v>0</v>
      </c>
      <c r="X62" s="212">
        <f>Diagrama!C7</f>
        <v>0</v>
      </c>
      <c r="Y62" s="212">
        <f>Diagrama!D7</f>
        <v>0</v>
      </c>
      <c r="Z62" s="212">
        <f>Diagrama!E7</f>
        <v>0</v>
      </c>
      <c r="AA62" s="212">
        <f>Diagrama!F7</f>
        <v>0</v>
      </c>
      <c r="AB62" s="212">
        <f>Diagrama!G7</f>
        <v>0</v>
      </c>
      <c r="AC62" s="212">
        <f>Diagrama!H7</f>
        <v>0</v>
      </c>
      <c r="AD62" s="212">
        <f>Diagrama!I7</f>
        <v>0</v>
      </c>
      <c r="AE62" s="212">
        <f>Diagrama!J7</f>
        <v>0</v>
      </c>
      <c r="AF62" s="212">
        <f>Diagrama!K7</f>
        <v>0</v>
      </c>
      <c r="AG62" s="212">
        <f>Diagrama!L7</f>
        <v>0</v>
      </c>
    </row>
    <row r="63" spans="6:33" x14ac:dyDescent="0.2">
      <c r="F63" s="203">
        <v>27</v>
      </c>
      <c r="G63" s="202" t="b">
        <v>0</v>
      </c>
      <c r="H63" s="202" t="b">
        <v>0</v>
      </c>
      <c r="I63" s="202" t="b">
        <v>0</v>
      </c>
      <c r="K63" s="210">
        <v>27</v>
      </c>
      <c r="L63" s="210"/>
      <c r="M63" s="210"/>
      <c r="N63" s="210"/>
      <c r="S63" s="203" t="s">
        <v>7</v>
      </c>
      <c r="T63" s="211">
        <v>156</v>
      </c>
      <c r="U63" s="211">
        <v>156</v>
      </c>
      <c r="V63" s="211">
        <v>156</v>
      </c>
      <c r="W63" s="212">
        <f>Diagrama!B8</f>
        <v>0</v>
      </c>
      <c r="X63" s="212">
        <f>Diagrama!C8</f>
        <v>0</v>
      </c>
      <c r="Y63" s="212">
        <f>Diagrama!D8</f>
        <v>0</v>
      </c>
      <c r="Z63" s="212">
        <f>Diagrama!E8</f>
        <v>0</v>
      </c>
      <c r="AA63" s="212">
        <f>Diagrama!F8</f>
        <v>0</v>
      </c>
      <c r="AB63" s="212">
        <f>Diagrama!G8</f>
        <v>0</v>
      </c>
      <c r="AC63" s="212">
        <f>Diagrama!H8</f>
        <v>0</v>
      </c>
      <c r="AD63" s="212">
        <f>Diagrama!I8</f>
        <v>0</v>
      </c>
      <c r="AE63" s="212">
        <f>Diagrama!J8</f>
        <v>0</v>
      </c>
      <c r="AF63" s="212">
        <f>Diagrama!K8</f>
        <v>0</v>
      </c>
      <c r="AG63" s="212">
        <f>Diagrama!L8</f>
        <v>0</v>
      </c>
    </row>
    <row r="64" spans="6:33" x14ac:dyDescent="0.2">
      <c r="F64" s="203">
        <v>28</v>
      </c>
      <c r="G64" s="202" t="b">
        <v>0</v>
      </c>
      <c r="H64" s="202" t="b">
        <v>0</v>
      </c>
      <c r="I64" s="202" t="b">
        <v>0</v>
      </c>
      <c r="K64" s="210">
        <v>28</v>
      </c>
      <c r="L64" s="210"/>
      <c r="M64" s="210"/>
      <c r="N64" s="210"/>
      <c r="S64" s="203" t="s">
        <v>15</v>
      </c>
      <c r="T64" s="211">
        <v>468</v>
      </c>
      <c r="U64" s="211">
        <v>468</v>
      </c>
      <c r="V64" s="211">
        <v>468</v>
      </c>
      <c r="W64" s="212">
        <f>Diagrama!B9</f>
        <v>0</v>
      </c>
      <c r="X64" s="212">
        <f>Diagrama!C9</f>
        <v>0</v>
      </c>
      <c r="Y64" s="212">
        <f>Diagrama!D9</f>
        <v>0</v>
      </c>
      <c r="Z64" s="212">
        <f>Diagrama!E9</f>
        <v>0</v>
      </c>
      <c r="AA64" s="212">
        <f>Diagrama!F9</f>
        <v>0</v>
      </c>
      <c r="AB64" s="212">
        <f>Diagrama!G9</f>
        <v>0</v>
      </c>
      <c r="AC64" s="212">
        <f>Diagrama!H9</f>
        <v>0</v>
      </c>
      <c r="AD64" s="212">
        <f>Diagrama!I9</f>
        <v>0</v>
      </c>
      <c r="AE64" s="212">
        <f>Diagrama!J9</f>
        <v>0</v>
      </c>
      <c r="AF64" s="212">
        <f>Diagrama!K9</f>
        <v>0</v>
      </c>
      <c r="AG64" s="212">
        <f>Diagrama!L9</f>
        <v>0</v>
      </c>
    </row>
    <row r="65" spans="6:33" x14ac:dyDescent="0.2">
      <c r="F65" s="203">
        <v>29</v>
      </c>
      <c r="G65" s="202" t="b">
        <v>0</v>
      </c>
      <c r="H65" s="202" t="b">
        <v>0</v>
      </c>
      <c r="I65" s="202" t="b">
        <v>0</v>
      </c>
      <c r="K65" s="210">
        <v>29</v>
      </c>
      <c r="L65" s="210"/>
      <c r="M65" s="210"/>
      <c r="N65" s="210"/>
      <c r="S65" s="203" t="s">
        <v>29</v>
      </c>
      <c r="T65" s="213">
        <v>3</v>
      </c>
      <c r="U65" s="214">
        <v>3</v>
      </c>
      <c r="V65" s="213">
        <v>3</v>
      </c>
      <c r="W65" s="215" t="e">
        <f>Diagrama!B20</f>
        <v>#DIV/0!</v>
      </c>
      <c r="X65" s="215" t="e">
        <f>Diagrama!C20</f>
        <v>#DIV/0!</v>
      </c>
      <c r="Y65" s="215" t="e">
        <f>Diagrama!D20</f>
        <v>#DIV/0!</v>
      </c>
      <c r="Z65" s="215" t="e">
        <f>Diagrama!E20</f>
        <v>#DIV/0!</v>
      </c>
      <c r="AA65" s="215" t="e">
        <f>Diagrama!F20</f>
        <v>#DIV/0!</v>
      </c>
      <c r="AB65" s="215" t="e">
        <f>Diagrama!G20</f>
        <v>#DIV/0!</v>
      </c>
      <c r="AC65" s="215" t="e">
        <f>Diagrama!H20</f>
        <v>#DIV/0!</v>
      </c>
      <c r="AD65" s="215" t="e">
        <f>Diagrama!I20</f>
        <v>#DIV/0!</v>
      </c>
      <c r="AE65" s="215" t="e">
        <f>Diagrama!J20</f>
        <v>#DIV/0!</v>
      </c>
      <c r="AF65" s="215" t="e">
        <f>Diagrama!K20</f>
        <v>#DIV/0!</v>
      </c>
      <c r="AG65" s="215" t="e">
        <f>Diagrama!L20</f>
        <v>#DIV/0!</v>
      </c>
    </row>
    <row r="66" spans="6:33" x14ac:dyDescent="0.2">
      <c r="F66" s="203">
        <v>30</v>
      </c>
      <c r="G66" s="202" t="b">
        <v>0</v>
      </c>
      <c r="H66" s="202" t="b">
        <v>0</v>
      </c>
      <c r="I66" s="202" t="b">
        <v>0</v>
      </c>
      <c r="K66" s="210">
        <v>30</v>
      </c>
      <c r="L66" s="210"/>
      <c r="M66" s="210"/>
      <c r="N66" s="210"/>
      <c r="S66" s="203" t="s">
        <v>30</v>
      </c>
      <c r="T66" s="213">
        <v>0.49999999999999989</v>
      </c>
      <c r="U66" s="214">
        <v>0.49999999999999989</v>
      </c>
      <c r="V66" s="213">
        <v>0.49999999999999989</v>
      </c>
      <c r="W66" s="215" t="e">
        <f>Diagrama!B21</f>
        <v>#DIV/0!</v>
      </c>
      <c r="X66" s="215" t="e">
        <f>Diagrama!C21</f>
        <v>#DIV/0!</v>
      </c>
      <c r="Y66" s="215" t="e">
        <f>Diagrama!D21</f>
        <v>#DIV/0!</v>
      </c>
      <c r="Z66" s="215" t="e">
        <f>Diagrama!E21</f>
        <v>#DIV/0!</v>
      </c>
      <c r="AA66" s="215" t="e">
        <f>Diagrama!F21</f>
        <v>#DIV/0!</v>
      </c>
      <c r="AB66" s="215" t="e">
        <f>Diagrama!G21</f>
        <v>#DIV/0!</v>
      </c>
      <c r="AC66" s="215" t="e">
        <f>Diagrama!H21</f>
        <v>#DIV/0!</v>
      </c>
      <c r="AD66" s="215" t="e">
        <f>Diagrama!I21</f>
        <v>#DIV/0!</v>
      </c>
      <c r="AE66" s="215" t="e">
        <f>Diagrama!J21</f>
        <v>#DIV/0!</v>
      </c>
      <c r="AF66" s="215" t="e">
        <f>Diagrama!K21</f>
        <v>#DIV/0!</v>
      </c>
      <c r="AG66" s="215" t="e">
        <f>Diagrama!L21</f>
        <v>#DIV/0!</v>
      </c>
    </row>
    <row r="67" spans="6:33" x14ac:dyDescent="0.2">
      <c r="F67" s="203">
        <v>31</v>
      </c>
      <c r="G67" s="202" t="b">
        <v>0</v>
      </c>
      <c r="H67" s="202" t="b">
        <v>0</v>
      </c>
      <c r="I67" s="202" t="b">
        <v>0</v>
      </c>
      <c r="K67" s="210">
        <v>31</v>
      </c>
      <c r="L67" s="210"/>
      <c r="M67" s="210"/>
      <c r="N67" s="210"/>
      <c r="S67" s="203" t="s">
        <v>31</v>
      </c>
      <c r="T67" s="213">
        <v>2.0000000000000004</v>
      </c>
      <c r="U67" s="214">
        <v>2.0000000000000004</v>
      </c>
      <c r="V67" s="213">
        <v>2.0000000000000004</v>
      </c>
      <c r="W67" s="215" t="e">
        <f>Diagrama!B22</f>
        <v>#DIV/0!</v>
      </c>
      <c r="X67" s="215" t="e">
        <f>Diagrama!C22</f>
        <v>#DIV/0!</v>
      </c>
      <c r="Y67" s="215" t="e">
        <f>Diagrama!D22</f>
        <v>#DIV/0!</v>
      </c>
      <c r="Z67" s="215" t="e">
        <f>Diagrama!E22</f>
        <v>#DIV/0!</v>
      </c>
      <c r="AA67" s="215" t="e">
        <f>Diagrama!F22</f>
        <v>#DIV/0!</v>
      </c>
      <c r="AB67" s="215" t="e">
        <f>Diagrama!G22</f>
        <v>#DIV/0!</v>
      </c>
      <c r="AC67" s="215" t="e">
        <f>Diagrama!H22</f>
        <v>#DIV/0!</v>
      </c>
      <c r="AD67" s="215" t="e">
        <f>Diagrama!I22</f>
        <v>#DIV/0!</v>
      </c>
      <c r="AE67" s="215" t="e">
        <f>Diagrama!J22</f>
        <v>#DIV/0!</v>
      </c>
      <c r="AF67" s="215" t="e">
        <f>Diagrama!K22</f>
        <v>#DIV/0!</v>
      </c>
      <c r="AG67" s="215" t="e">
        <f>Diagrama!L22</f>
        <v>#DIV/0!</v>
      </c>
    </row>
    <row r="68" spans="6:33" x14ac:dyDescent="0.2">
      <c r="F68" s="203">
        <v>32</v>
      </c>
      <c r="G68" s="202" t="b">
        <v>0</v>
      </c>
      <c r="H68" s="202" t="b">
        <v>0</v>
      </c>
      <c r="I68" s="202" t="b">
        <v>0</v>
      </c>
      <c r="K68" s="210">
        <v>32</v>
      </c>
      <c r="L68" s="210"/>
      <c r="M68" s="210"/>
      <c r="N68" s="210"/>
      <c r="S68" s="203" t="s">
        <v>19</v>
      </c>
      <c r="T68" s="213">
        <v>1.4999999999999996</v>
      </c>
      <c r="U68" s="214">
        <v>1.4999999999999996</v>
      </c>
      <c r="V68" s="213">
        <v>1.4999999999999996</v>
      </c>
      <c r="W68" s="215" t="e">
        <f>Diagrama!B23</f>
        <v>#DIV/0!</v>
      </c>
      <c r="X68" s="215" t="e">
        <f>Diagrama!C23</f>
        <v>#DIV/0!</v>
      </c>
      <c r="Y68" s="215" t="e">
        <f>Diagrama!D23</f>
        <v>#DIV/0!</v>
      </c>
      <c r="Z68" s="215" t="e">
        <f>Diagrama!E23</f>
        <v>#DIV/0!</v>
      </c>
      <c r="AA68" s="215" t="e">
        <f>Diagrama!F23</f>
        <v>#DIV/0!</v>
      </c>
      <c r="AB68" s="215" t="e">
        <f>Diagrama!G23</f>
        <v>#DIV/0!</v>
      </c>
      <c r="AC68" s="215" t="e">
        <f>Diagrama!H23</f>
        <v>#DIV/0!</v>
      </c>
      <c r="AD68" s="215" t="e">
        <f>Diagrama!I23</f>
        <v>#DIV/0!</v>
      </c>
      <c r="AE68" s="215" t="e">
        <f>Diagrama!J23</f>
        <v>#DIV/0!</v>
      </c>
      <c r="AF68" s="215" t="e">
        <f>Diagrama!K23</f>
        <v>#DIV/0!</v>
      </c>
      <c r="AG68" s="215" t="e">
        <f>Diagrama!L23</f>
        <v>#DIV/0!</v>
      </c>
    </row>
    <row r="69" spans="6:33" x14ac:dyDescent="0.2">
      <c r="F69" s="203">
        <v>33</v>
      </c>
      <c r="G69" s="202" t="b">
        <v>0</v>
      </c>
      <c r="H69" s="202" t="b">
        <v>0</v>
      </c>
      <c r="I69" s="202" t="b">
        <v>0</v>
      </c>
      <c r="K69" s="210">
        <v>33</v>
      </c>
      <c r="L69" s="210"/>
      <c r="M69" s="210"/>
      <c r="N69" s="210"/>
      <c r="S69" s="203" t="s">
        <v>12</v>
      </c>
      <c r="T69" s="216">
        <v>33.333333333333336</v>
      </c>
      <c r="U69" s="214">
        <v>33.333333333333336</v>
      </c>
      <c r="V69" s="216">
        <v>33.333333333333336</v>
      </c>
      <c r="W69" s="217" t="e">
        <f t="shared" ref="W69:AB69" si="0">100*W61/W64</f>
        <v>#DIV/0!</v>
      </c>
      <c r="X69" s="217" t="e">
        <f t="shared" si="0"/>
        <v>#DIV/0!</v>
      </c>
      <c r="Y69" s="217" t="e">
        <f t="shared" si="0"/>
        <v>#DIV/0!</v>
      </c>
      <c r="Z69" s="217" t="e">
        <f t="shared" si="0"/>
        <v>#DIV/0!</v>
      </c>
      <c r="AA69" s="217" t="e">
        <f t="shared" si="0"/>
        <v>#DIV/0!</v>
      </c>
      <c r="AB69" s="217" t="e">
        <f t="shared" si="0"/>
        <v>#DIV/0!</v>
      </c>
      <c r="AC69" s="217" t="e">
        <f>100*AC61/AC64</f>
        <v>#DIV/0!</v>
      </c>
      <c r="AD69" s="217" t="e">
        <f>100*AD61/AD64</f>
        <v>#DIV/0!</v>
      </c>
      <c r="AE69" s="217" t="e">
        <f>100*AE61/AE64</f>
        <v>#DIV/0!</v>
      </c>
      <c r="AF69" s="217" t="e">
        <f>100*AF61/AF64</f>
        <v>#DIV/0!</v>
      </c>
      <c r="AG69" s="217" t="e">
        <f>100*AG61/AG64</f>
        <v>#DIV/0!</v>
      </c>
    </row>
    <row r="70" spans="6:33" x14ac:dyDescent="0.2">
      <c r="F70" s="203">
        <v>34</v>
      </c>
      <c r="G70" s="202" t="b">
        <v>0</v>
      </c>
      <c r="H70" s="202" t="b">
        <v>0</v>
      </c>
      <c r="I70" s="202" t="b">
        <v>0</v>
      </c>
      <c r="K70" s="210">
        <v>34</v>
      </c>
      <c r="L70" s="210"/>
      <c r="M70" s="210"/>
      <c r="N70" s="210"/>
      <c r="S70" s="203" t="s">
        <v>72</v>
      </c>
      <c r="T70" s="211">
        <v>0</v>
      </c>
      <c r="U70" s="211">
        <v>0</v>
      </c>
      <c r="V70" s="211">
        <v>0</v>
      </c>
    </row>
    <row r="71" spans="6:33" x14ac:dyDescent="0.2">
      <c r="F71" s="203">
        <v>35</v>
      </c>
      <c r="G71" s="202" t="b">
        <v>0</v>
      </c>
      <c r="H71" s="202" t="b">
        <v>0</v>
      </c>
      <c r="I71" s="202" t="b">
        <v>0</v>
      </c>
      <c r="K71" s="210">
        <v>35</v>
      </c>
      <c r="L71" s="210"/>
      <c r="M71" s="210"/>
      <c r="N71" s="210"/>
      <c r="S71" s="203" t="s">
        <v>73</v>
      </c>
    </row>
    <row r="72" spans="6:33" x14ac:dyDescent="0.2">
      <c r="F72" s="203">
        <v>36</v>
      </c>
      <c r="G72" s="202" t="b">
        <v>0</v>
      </c>
      <c r="H72" s="202" t="b">
        <v>0</v>
      </c>
      <c r="I72" s="202" t="b">
        <v>0</v>
      </c>
      <c r="K72" s="210">
        <v>36</v>
      </c>
      <c r="L72" s="210"/>
      <c r="M72" s="210"/>
      <c r="N72" s="210"/>
      <c r="R72" s="202" t="s">
        <v>86</v>
      </c>
      <c r="S72" s="203">
        <v>0</v>
      </c>
      <c r="T72" s="203" t="b">
        <v>0</v>
      </c>
      <c r="U72" s="203" t="b">
        <v>0</v>
      </c>
      <c r="V72" s="203" t="b">
        <v>0</v>
      </c>
      <c r="W72" s="204">
        <v>0.25</v>
      </c>
      <c r="X72" s="204"/>
      <c r="Y72" s="204"/>
    </row>
    <row r="73" spans="6:33" x14ac:dyDescent="0.2">
      <c r="F73" s="203">
        <v>37</v>
      </c>
      <c r="G73" s="202" t="b">
        <v>0</v>
      </c>
      <c r="H73" s="202" t="b">
        <v>0</v>
      </c>
      <c r="I73" s="202" t="b">
        <v>0</v>
      </c>
      <c r="K73" s="210">
        <v>37</v>
      </c>
      <c r="L73" s="210"/>
      <c r="M73" s="210"/>
      <c r="N73" s="210"/>
      <c r="T73" s="192"/>
      <c r="W73" s="204">
        <v>0</v>
      </c>
    </row>
    <row r="74" spans="6:33" x14ac:dyDescent="0.2">
      <c r="F74" s="203">
        <v>38</v>
      </c>
      <c r="G74" s="202" t="b">
        <v>0</v>
      </c>
      <c r="H74" s="202" t="b">
        <v>0</v>
      </c>
      <c r="I74" s="202" t="b">
        <v>0</v>
      </c>
      <c r="K74" s="210">
        <v>38</v>
      </c>
      <c r="L74" s="210"/>
      <c r="M74" s="210"/>
      <c r="N74" s="210"/>
      <c r="T74" s="192"/>
      <c r="W74" s="204">
        <v>0.75</v>
      </c>
    </row>
    <row r="75" spans="6:33" x14ac:dyDescent="0.2">
      <c r="F75" s="203">
        <v>39</v>
      </c>
      <c r="G75" s="202" t="b">
        <v>0</v>
      </c>
      <c r="H75" s="202" t="b">
        <v>0</v>
      </c>
      <c r="I75" s="202" t="b">
        <v>0</v>
      </c>
      <c r="K75" s="210">
        <v>39</v>
      </c>
      <c r="L75" s="210"/>
      <c r="M75" s="210"/>
      <c r="N75" s="210"/>
      <c r="T75" s="192"/>
    </row>
    <row r="76" spans="6:33" x14ac:dyDescent="0.2">
      <c r="F76" s="203">
        <v>40</v>
      </c>
      <c r="G76" s="202" t="b">
        <v>0</v>
      </c>
      <c r="H76" s="202" t="b">
        <v>0</v>
      </c>
      <c r="I76" s="202" t="b">
        <v>0</v>
      </c>
      <c r="K76" s="210">
        <v>40</v>
      </c>
      <c r="L76" s="210"/>
      <c r="M76" s="210"/>
      <c r="N76" s="210"/>
    </row>
    <row r="77" spans="6:33" x14ac:dyDescent="0.2">
      <c r="F77" s="203">
        <v>41</v>
      </c>
      <c r="G77" s="202" t="b">
        <v>0</v>
      </c>
      <c r="H77" s="202" t="b">
        <v>0</v>
      </c>
      <c r="I77" s="202" t="b">
        <v>0</v>
      </c>
      <c r="K77" s="210">
        <v>41</v>
      </c>
      <c r="L77" s="210"/>
      <c r="M77" s="210"/>
      <c r="N77" s="210"/>
    </row>
    <row r="78" spans="6:33" x14ac:dyDescent="0.2">
      <c r="F78" s="203">
        <v>42</v>
      </c>
      <c r="G78" s="202" t="b">
        <v>0</v>
      </c>
      <c r="H78" s="202" t="b">
        <v>0</v>
      </c>
      <c r="I78" s="202" t="b">
        <v>0</v>
      </c>
      <c r="K78" s="210">
        <v>42</v>
      </c>
      <c r="L78" s="210"/>
      <c r="M78" s="210"/>
      <c r="N78" s="210"/>
    </row>
    <row r="79" spans="6:33" x14ac:dyDescent="0.2">
      <c r="F79" s="203">
        <v>43</v>
      </c>
      <c r="G79" s="202" t="b">
        <v>0</v>
      </c>
      <c r="H79" s="202" t="b">
        <v>0</v>
      </c>
      <c r="I79" s="202" t="b">
        <v>0</v>
      </c>
      <c r="K79" s="210">
        <v>43</v>
      </c>
      <c r="L79" s="210"/>
      <c r="M79" s="210"/>
      <c r="N79" s="210"/>
    </row>
    <row r="80" spans="6:33" x14ac:dyDescent="0.2">
      <c r="F80" s="203">
        <v>44</v>
      </c>
      <c r="G80" s="202" t="b">
        <v>0</v>
      </c>
      <c r="H80" s="202" t="b">
        <v>0</v>
      </c>
      <c r="I80" s="202" t="b">
        <v>0</v>
      </c>
      <c r="K80" s="210">
        <v>44</v>
      </c>
      <c r="L80" s="210"/>
      <c r="M80" s="210"/>
      <c r="N80" s="210"/>
    </row>
    <row r="81" spans="6:14" x14ac:dyDescent="0.2">
      <c r="F81" s="203">
        <v>45</v>
      </c>
      <c r="G81" s="202" t="b">
        <v>0</v>
      </c>
      <c r="H81" s="202" t="b">
        <v>0</v>
      </c>
      <c r="I81" s="202" t="b">
        <v>0</v>
      </c>
      <c r="K81" s="210">
        <v>45</v>
      </c>
      <c r="L81" s="210"/>
      <c r="M81" s="210"/>
      <c r="N81" s="210"/>
    </row>
    <row r="82" spans="6:14" x14ac:dyDescent="0.2">
      <c r="F82" s="203">
        <v>46</v>
      </c>
      <c r="G82" s="202" t="b">
        <v>0</v>
      </c>
      <c r="H82" s="202" t="b">
        <v>0</v>
      </c>
      <c r="I82" s="202" t="b">
        <v>0</v>
      </c>
      <c r="K82" s="210">
        <v>46</v>
      </c>
      <c r="L82" s="210"/>
      <c r="M82" s="210"/>
      <c r="N82" s="210"/>
    </row>
    <row r="83" spans="6:14" x14ac:dyDescent="0.2">
      <c r="F83" s="203">
        <v>47</v>
      </c>
      <c r="G83" s="202" t="b">
        <v>0</v>
      </c>
      <c r="H83" s="202" t="b">
        <v>0</v>
      </c>
      <c r="I83" s="202" t="b">
        <v>0</v>
      </c>
      <c r="K83" s="210">
        <v>47</v>
      </c>
      <c r="L83" s="210"/>
      <c r="M83" s="210"/>
      <c r="N83" s="210"/>
    </row>
    <row r="84" spans="6:14" x14ac:dyDescent="0.2">
      <c r="F84" s="203">
        <v>48</v>
      </c>
      <c r="G84" s="202" t="b">
        <v>0</v>
      </c>
      <c r="H84" s="202" t="b">
        <v>0</v>
      </c>
      <c r="I84" s="202" t="b">
        <v>0</v>
      </c>
      <c r="K84" s="210">
        <v>48</v>
      </c>
      <c r="L84" s="210"/>
      <c r="M84" s="210"/>
      <c r="N84" s="210"/>
    </row>
    <row r="85" spans="6:14" x14ac:dyDescent="0.2">
      <c r="F85" s="203">
        <v>49</v>
      </c>
      <c r="G85" s="202" t="b">
        <v>0</v>
      </c>
      <c r="H85" s="202" t="b">
        <v>0</v>
      </c>
      <c r="I85" s="202" t="b">
        <v>0</v>
      </c>
      <c r="K85" s="210">
        <v>49</v>
      </c>
      <c r="L85" s="210"/>
      <c r="M85" s="210"/>
      <c r="N85" s="210"/>
    </row>
    <row r="86" spans="6:14" x14ac:dyDescent="0.2">
      <c r="F86" s="203">
        <v>50</v>
      </c>
      <c r="G86" s="202" t="b">
        <v>0</v>
      </c>
      <c r="H86" s="202" t="b">
        <v>0</v>
      </c>
      <c r="I86" s="202" t="b">
        <v>0</v>
      </c>
      <c r="K86" s="210">
        <v>50</v>
      </c>
      <c r="L86" s="210"/>
      <c r="M86" s="210"/>
      <c r="N86" s="210"/>
    </row>
    <row r="87" spans="6:14" x14ac:dyDescent="0.2">
      <c r="F87" s="203">
        <v>51</v>
      </c>
      <c r="G87" s="202" t="b">
        <v>0</v>
      </c>
      <c r="H87" s="202" t="b">
        <v>0</v>
      </c>
      <c r="I87" s="202" t="b">
        <v>0</v>
      </c>
      <c r="K87" s="210">
        <v>51</v>
      </c>
      <c r="L87" s="210"/>
      <c r="M87" s="210"/>
      <c r="N87" s="210"/>
    </row>
    <row r="88" spans="6:14" x14ac:dyDescent="0.2">
      <c r="F88" s="203">
        <v>52</v>
      </c>
      <c r="G88" s="202" t="b">
        <v>0</v>
      </c>
      <c r="H88" s="202" t="b">
        <v>0</v>
      </c>
      <c r="I88" s="202" t="b">
        <v>0</v>
      </c>
      <c r="K88" s="210">
        <v>52</v>
      </c>
      <c r="L88" s="210"/>
      <c r="M88" s="210"/>
      <c r="N88" s="210"/>
    </row>
    <row r="89" spans="6:14" x14ac:dyDescent="0.2">
      <c r="F89" s="203">
        <v>53</v>
      </c>
      <c r="G89" s="202" t="b">
        <v>0</v>
      </c>
      <c r="H89" s="202" t="b">
        <v>0</v>
      </c>
      <c r="I89" s="202" t="b">
        <v>0</v>
      </c>
      <c r="K89" s="210">
        <v>53</v>
      </c>
      <c r="L89" s="210"/>
      <c r="M89" s="210"/>
      <c r="N89" s="210"/>
    </row>
    <row r="90" spans="6:14" x14ac:dyDescent="0.2">
      <c r="F90" s="203">
        <v>54</v>
      </c>
      <c r="G90" s="202" t="b">
        <v>0</v>
      </c>
      <c r="H90" s="202" t="b">
        <v>0</v>
      </c>
      <c r="I90" s="202" t="b">
        <v>0</v>
      </c>
      <c r="K90" s="210">
        <v>54</v>
      </c>
      <c r="L90" s="210"/>
      <c r="M90" s="210"/>
      <c r="N90" s="210"/>
    </row>
    <row r="91" spans="6:14" x14ac:dyDescent="0.2">
      <c r="F91" s="203">
        <v>55</v>
      </c>
      <c r="G91" s="202" t="b">
        <v>0</v>
      </c>
      <c r="H91" s="202" t="b">
        <v>0</v>
      </c>
      <c r="I91" s="202" t="b">
        <v>0</v>
      </c>
      <c r="K91" s="210">
        <v>55</v>
      </c>
      <c r="L91" s="210"/>
      <c r="M91" s="210"/>
      <c r="N91" s="210"/>
    </row>
    <row r="92" spans="6:14" x14ac:dyDescent="0.2">
      <c r="F92" s="203">
        <v>56</v>
      </c>
      <c r="G92" s="202" t="b">
        <v>0</v>
      </c>
      <c r="H92" s="202" t="b">
        <v>0</v>
      </c>
      <c r="I92" s="202" t="b">
        <v>0</v>
      </c>
      <c r="K92" s="210">
        <v>56</v>
      </c>
      <c r="L92" s="210"/>
      <c r="M92" s="210"/>
      <c r="N92" s="210"/>
    </row>
    <row r="93" spans="6:14" x14ac:dyDescent="0.2">
      <c r="F93" s="203">
        <v>57</v>
      </c>
      <c r="G93" s="202" t="b">
        <v>0</v>
      </c>
      <c r="H93" s="202" t="b">
        <v>0</v>
      </c>
      <c r="I93" s="202" t="b">
        <v>0</v>
      </c>
      <c r="K93" s="210">
        <v>57</v>
      </c>
      <c r="L93" s="210"/>
      <c r="M93" s="210"/>
      <c r="N93" s="210"/>
    </row>
    <row r="94" spans="6:14" x14ac:dyDescent="0.2">
      <c r="F94" s="203">
        <v>58</v>
      </c>
      <c r="G94" s="202" t="b">
        <v>0</v>
      </c>
      <c r="H94" s="202" t="b">
        <v>0</v>
      </c>
      <c r="I94" s="202" t="b">
        <v>0</v>
      </c>
      <c r="K94" s="210">
        <v>58</v>
      </c>
      <c r="L94" s="210"/>
      <c r="M94" s="210"/>
      <c r="N94" s="210"/>
    </row>
    <row r="95" spans="6:14" x14ac:dyDescent="0.2">
      <c r="F95" s="203">
        <v>59</v>
      </c>
      <c r="G95" s="202" t="b">
        <v>0</v>
      </c>
      <c r="H95" s="202" t="b">
        <v>0</v>
      </c>
      <c r="I95" s="202" t="b">
        <v>0</v>
      </c>
      <c r="K95" s="210">
        <v>59</v>
      </c>
      <c r="L95" s="210"/>
      <c r="M95" s="210"/>
      <c r="N95" s="210"/>
    </row>
    <row r="96" spans="6:14" x14ac:dyDescent="0.2">
      <c r="F96" s="203">
        <v>60</v>
      </c>
      <c r="G96" s="202" t="b">
        <v>0</v>
      </c>
      <c r="H96" s="202" t="b">
        <v>0</v>
      </c>
      <c r="I96" s="202" t="b">
        <v>0</v>
      </c>
      <c r="K96" s="210">
        <v>60</v>
      </c>
      <c r="L96" s="210"/>
      <c r="M96" s="210"/>
      <c r="N96" s="210"/>
    </row>
    <row r="97" spans="6:14" x14ac:dyDescent="0.2">
      <c r="F97" s="203">
        <v>61</v>
      </c>
      <c r="G97" s="202" t="b">
        <v>0</v>
      </c>
      <c r="H97" s="202" t="b">
        <v>0</v>
      </c>
      <c r="I97" s="202" t="b">
        <v>0</v>
      </c>
      <c r="K97" s="210">
        <v>61</v>
      </c>
      <c r="L97" s="210"/>
      <c r="M97" s="210"/>
      <c r="N97" s="210"/>
    </row>
    <row r="98" spans="6:14" x14ac:dyDescent="0.2">
      <c r="F98" s="203">
        <v>62</v>
      </c>
      <c r="G98" s="202" t="b">
        <v>0</v>
      </c>
      <c r="H98" s="202" t="b">
        <v>0</v>
      </c>
      <c r="I98" s="202" t="b">
        <v>0</v>
      </c>
      <c r="K98" s="210">
        <v>62</v>
      </c>
      <c r="L98" s="210"/>
      <c r="M98" s="210"/>
      <c r="N98" s="210"/>
    </row>
    <row r="99" spans="6:14" x14ac:dyDescent="0.2">
      <c r="F99" s="203">
        <v>63</v>
      </c>
      <c r="G99" s="202" t="b">
        <v>0</v>
      </c>
      <c r="H99" s="202" t="b">
        <v>0</v>
      </c>
      <c r="I99" s="202" t="b">
        <v>0</v>
      </c>
      <c r="K99" s="210">
        <v>63</v>
      </c>
      <c r="L99" s="210"/>
      <c r="M99" s="210"/>
      <c r="N99" s="210"/>
    </row>
    <row r="100" spans="6:14" x14ac:dyDescent="0.2">
      <c r="F100" s="203">
        <v>64</v>
      </c>
      <c r="G100" s="202" t="b">
        <v>0</v>
      </c>
      <c r="H100" s="202" t="b">
        <v>0</v>
      </c>
      <c r="I100" s="202" t="b">
        <v>0</v>
      </c>
      <c r="K100" s="210">
        <v>64</v>
      </c>
      <c r="L100" s="210"/>
      <c r="M100" s="210"/>
      <c r="N100" s="210"/>
    </row>
    <row r="101" spans="6:14" x14ac:dyDescent="0.2">
      <c r="F101" s="203">
        <v>65</v>
      </c>
      <c r="G101" s="202" t="b">
        <v>0</v>
      </c>
      <c r="H101" s="202" t="b">
        <v>0</v>
      </c>
      <c r="I101" s="202" t="b">
        <v>0</v>
      </c>
      <c r="K101" s="210">
        <v>65</v>
      </c>
      <c r="L101" s="210"/>
      <c r="M101" s="210"/>
      <c r="N101" s="210"/>
    </row>
    <row r="102" spans="6:14" x14ac:dyDescent="0.2">
      <c r="F102" s="203">
        <v>66</v>
      </c>
      <c r="G102" s="202" t="b">
        <v>0</v>
      </c>
      <c r="H102" s="202" t="b">
        <v>0</v>
      </c>
      <c r="I102" s="202" t="b">
        <v>0</v>
      </c>
      <c r="K102" s="210">
        <v>66</v>
      </c>
      <c r="L102" s="210"/>
      <c r="M102" s="210"/>
      <c r="N102" s="210"/>
    </row>
    <row r="103" spans="6:14" x14ac:dyDescent="0.2">
      <c r="F103" s="203">
        <v>67</v>
      </c>
      <c r="G103" s="202" t="b">
        <v>0</v>
      </c>
      <c r="H103" s="202" t="b">
        <v>0</v>
      </c>
      <c r="I103" s="202" t="b">
        <v>0</v>
      </c>
      <c r="K103" s="210">
        <v>67</v>
      </c>
      <c r="L103" s="210"/>
      <c r="M103" s="210"/>
      <c r="N103" s="210"/>
    </row>
    <row r="104" spans="6:14" x14ac:dyDescent="0.2">
      <c r="F104" s="203">
        <v>68</v>
      </c>
      <c r="G104" s="202" t="b">
        <v>0</v>
      </c>
      <c r="H104" s="202" t="b">
        <v>0</v>
      </c>
      <c r="I104" s="202" t="b">
        <v>0</v>
      </c>
      <c r="K104" s="210">
        <v>68</v>
      </c>
      <c r="L104" s="210"/>
      <c r="M104" s="210"/>
      <c r="N104" s="210"/>
    </row>
    <row r="105" spans="6:14" x14ac:dyDescent="0.2">
      <c r="F105" s="203">
        <v>69</v>
      </c>
      <c r="G105" s="202" t="b">
        <v>0</v>
      </c>
      <c r="H105" s="202" t="b">
        <v>0</v>
      </c>
      <c r="I105" s="202" t="b">
        <v>0</v>
      </c>
      <c r="K105" s="210">
        <v>69</v>
      </c>
      <c r="L105" s="210"/>
      <c r="M105" s="210"/>
      <c r="N105" s="210"/>
    </row>
    <row r="106" spans="6:14" x14ac:dyDescent="0.2">
      <c r="F106" s="203">
        <v>70</v>
      </c>
      <c r="G106" s="202" t="b">
        <v>0</v>
      </c>
      <c r="H106" s="202" t="b">
        <v>0</v>
      </c>
      <c r="I106" s="202" t="b">
        <v>0</v>
      </c>
      <c r="K106" s="210">
        <v>70</v>
      </c>
      <c r="L106" s="210"/>
      <c r="M106" s="210"/>
      <c r="N106" s="210"/>
    </row>
    <row r="107" spans="6:14" x14ac:dyDescent="0.2">
      <c r="F107" s="203">
        <v>71</v>
      </c>
      <c r="G107" s="202" t="b">
        <v>0</v>
      </c>
      <c r="H107" s="202" t="b">
        <v>0</v>
      </c>
      <c r="I107" s="202" t="b">
        <v>0</v>
      </c>
      <c r="K107" s="210">
        <v>71</v>
      </c>
      <c r="L107" s="210"/>
      <c r="M107" s="210"/>
      <c r="N107" s="210"/>
    </row>
    <row r="108" spans="6:14" x14ac:dyDescent="0.2">
      <c r="F108" s="203">
        <v>72</v>
      </c>
      <c r="G108" s="202" t="b">
        <v>0</v>
      </c>
      <c r="H108" s="202" t="b">
        <v>0</v>
      </c>
      <c r="I108" s="202" t="b">
        <v>0</v>
      </c>
      <c r="K108" s="210">
        <v>72</v>
      </c>
      <c r="L108" s="210"/>
      <c r="M108" s="210"/>
      <c r="N108" s="210"/>
    </row>
    <row r="109" spans="6:14" x14ac:dyDescent="0.2">
      <c r="F109" s="203">
        <v>73</v>
      </c>
      <c r="G109" s="202" t="b">
        <v>0</v>
      </c>
      <c r="H109" s="202" t="b">
        <v>0</v>
      </c>
      <c r="I109" s="202" t="b">
        <v>0</v>
      </c>
      <c r="K109" s="210">
        <v>73</v>
      </c>
      <c r="L109" s="210"/>
      <c r="M109" s="210"/>
      <c r="N109" s="210"/>
    </row>
    <row r="110" spans="6:14" x14ac:dyDescent="0.2">
      <c r="F110" s="203">
        <v>74</v>
      </c>
      <c r="G110" s="202" t="b">
        <v>0</v>
      </c>
      <c r="H110" s="202" t="b">
        <v>0</v>
      </c>
      <c r="I110" s="202" t="b">
        <v>0</v>
      </c>
      <c r="K110" s="210">
        <v>74</v>
      </c>
      <c r="L110" s="210"/>
      <c r="M110" s="210"/>
      <c r="N110" s="210"/>
    </row>
    <row r="111" spans="6:14" x14ac:dyDescent="0.2">
      <c r="F111" s="203">
        <v>75</v>
      </c>
      <c r="G111" s="202" t="b">
        <v>0</v>
      </c>
      <c r="H111" s="202" t="b">
        <v>0</v>
      </c>
      <c r="I111" s="202" t="b">
        <v>0</v>
      </c>
      <c r="K111" s="210">
        <v>75</v>
      </c>
      <c r="L111" s="210"/>
      <c r="M111" s="210"/>
      <c r="N111" s="210"/>
    </row>
    <row r="112" spans="6:14" x14ac:dyDescent="0.2">
      <c r="F112" s="203">
        <v>76</v>
      </c>
      <c r="G112" s="202" t="b">
        <v>0</v>
      </c>
      <c r="H112" s="202" t="b">
        <v>0</v>
      </c>
      <c r="I112" s="202" t="b">
        <v>0</v>
      </c>
      <c r="K112" s="210">
        <v>76</v>
      </c>
      <c r="L112" s="210"/>
      <c r="M112" s="210"/>
      <c r="N112" s="210"/>
    </row>
    <row r="113" spans="6:14" x14ac:dyDescent="0.2">
      <c r="F113" s="203">
        <v>77</v>
      </c>
      <c r="G113" s="202" t="b">
        <v>0</v>
      </c>
      <c r="H113" s="202" t="b">
        <v>0</v>
      </c>
      <c r="I113" s="202" t="b">
        <v>0</v>
      </c>
      <c r="K113" s="210">
        <v>77</v>
      </c>
      <c r="L113" s="210"/>
      <c r="M113" s="210"/>
      <c r="N113" s="210"/>
    </row>
    <row r="114" spans="6:14" x14ac:dyDescent="0.2">
      <c r="F114" s="203">
        <v>78</v>
      </c>
      <c r="G114" s="202" t="b">
        <v>0</v>
      </c>
      <c r="H114" s="202" t="b">
        <v>0</v>
      </c>
      <c r="I114" s="202" t="b">
        <v>0</v>
      </c>
      <c r="K114" s="210">
        <v>78</v>
      </c>
      <c r="L114" s="210"/>
      <c r="M114" s="210"/>
      <c r="N114" s="210"/>
    </row>
    <row r="115" spans="6:14" x14ac:dyDescent="0.2">
      <c r="F115" s="203">
        <v>79</v>
      </c>
      <c r="G115" s="202" t="b">
        <v>0</v>
      </c>
      <c r="H115" s="202" t="b">
        <v>0</v>
      </c>
      <c r="I115" s="202" t="b">
        <v>0</v>
      </c>
      <c r="K115" s="210">
        <v>79</v>
      </c>
      <c r="L115" s="210"/>
      <c r="M115" s="210"/>
      <c r="N115" s="210"/>
    </row>
    <row r="116" spans="6:14" x14ac:dyDescent="0.2">
      <c r="F116" s="203">
        <v>80</v>
      </c>
      <c r="G116" s="202" t="b">
        <v>0</v>
      </c>
      <c r="H116" s="202" t="b">
        <v>0</v>
      </c>
      <c r="I116" s="202" t="b">
        <v>0</v>
      </c>
      <c r="K116" s="210">
        <v>80</v>
      </c>
      <c r="L116" s="210"/>
      <c r="M116" s="210"/>
      <c r="N116" s="210"/>
    </row>
    <row r="117" spans="6:14" x14ac:dyDescent="0.2">
      <c r="F117" s="203">
        <v>81</v>
      </c>
      <c r="G117" s="202" t="b">
        <v>0</v>
      </c>
      <c r="H117" s="202" t="b">
        <v>0</v>
      </c>
      <c r="I117" s="202" t="b">
        <v>0</v>
      </c>
      <c r="K117" s="210">
        <v>81</v>
      </c>
      <c r="L117" s="210"/>
      <c r="M117" s="210"/>
      <c r="N117" s="210"/>
    </row>
    <row r="118" spans="6:14" x14ac:dyDescent="0.2">
      <c r="F118" s="203">
        <v>82</v>
      </c>
      <c r="G118" s="202" t="b">
        <v>0</v>
      </c>
      <c r="H118" s="202" t="b">
        <v>0</v>
      </c>
      <c r="I118" s="202" t="b">
        <v>0</v>
      </c>
      <c r="K118" s="210">
        <v>82</v>
      </c>
      <c r="L118" s="210"/>
      <c r="M118" s="210"/>
      <c r="N118" s="210"/>
    </row>
    <row r="119" spans="6:14" x14ac:dyDescent="0.2">
      <c r="F119" s="203">
        <v>83</v>
      </c>
      <c r="G119" s="202" t="b">
        <v>0</v>
      </c>
      <c r="H119" s="202" t="b">
        <v>0</v>
      </c>
      <c r="I119" s="202" t="b">
        <v>0</v>
      </c>
      <c r="K119" s="210">
        <v>83</v>
      </c>
      <c r="L119" s="210"/>
      <c r="M119" s="210"/>
      <c r="N119" s="210"/>
    </row>
    <row r="120" spans="6:14" x14ac:dyDescent="0.2">
      <c r="F120" s="203">
        <v>84</v>
      </c>
      <c r="G120" s="202" t="b">
        <v>0</v>
      </c>
      <c r="H120" s="202" t="b">
        <v>0</v>
      </c>
      <c r="I120" s="202" t="b">
        <v>0</v>
      </c>
      <c r="K120" s="210">
        <v>84</v>
      </c>
      <c r="L120" s="210"/>
      <c r="M120" s="210"/>
      <c r="N120" s="210"/>
    </row>
    <row r="121" spans="6:14" x14ac:dyDescent="0.2">
      <c r="F121" s="203">
        <v>85</v>
      </c>
      <c r="G121" s="202" t="b">
        <v>0</v>
      </c>
      <c r="H121" s="202" t="b">
        <v>0</v>
      </c>
      <c r="I121" s="202" t="b">
        <v>0</v>
      </c>
      <c r="K121" s="210">
        <v>85</v>
      </c>
      <c r="L121" s="210"/>
      <c r="M121" s="210"/>
      <c r="N121" s="210"/>
    </row>
    <row r="122" spans="6:14" x14ac:dyDescent="0.2">
      <c r="F122" s="203">
        <v>86</v>
      </c>
      <c r="G122" s="202" t="b">
        <v>0</v>
      </c>
      <c r="H122" s="202" t="b">
        <v>0</v>
      </c>
      <c r="I122" s="202" t="b">
        <v>0</v>
      </c>
      <c r="K122" s="210">
        <v>86</v>
      </c>
      <c r="L122" s="210"/>
      <c r="M122" s="210"/>
      <c r="N122" s="210"/>
    </row>
    <row r="123" spans="6:14" x14ac:dyDescent="0.2">
      <c r="F123" s="203">
        <v>87</v>
      </c>
      <c r="G123" s="202" t="b">
        <v>0</v>
      </c>
      <c r="H123" s="202" t="b">
        <v>0</v>
      </c>
      <c r="I123" s="202" t="b">
        <v>0</v>
      </c>
      <c r="K123" s="210">
        <v>87</v>
      </c>
      <c r="L123" s="210"/>
      <c r="M123" s="210"/>
      <c r="N123" s="210"/>
    </row>
    <row r="124" spans="6:14" x14ac:dyDescent="0.2">
      <c r="F124" s="203">
        <v>88</v>
      </c>
      <c r="G124" s="202" t="b">
        <v>0</v>
      </c>
      <c r="H124" s="202" t="b">
        <v>0</v>
      </c>
      <c r="I124" s="202" t="b">
        <v>0</v>
      </c>
      <c r="K124" s="210">
        <v>88</v>
      </c>
      <c r="L124" s="210"/>
      <c r="M124" s="210"/>
      <c r="N124" s="210"/>
    </row>
    <row r="125" spans="6:14" x14ac:dyDescent="0.2">
      <c r="F125" s="203">
        <v>89</v>
      </c>
      <c r="G125" s="202" t="b">
        <v>0</v>
      </c>
      <c r="H125" s="202" t="b">
        <v>0</v>
      </c>
      <c r="I125" s="202" t="b">
        <v>0</v>
      </c>
      <c r="K125" s="210">
        <v>89</v>
      </c>
      <c r="L125" s="210"/>
      <c r="M125" s="210"/>
      <c r="N125" s="210"/>
    </row>
    <row r="126" spans="6:14" x14ac:dyDescent="0.2">
      <c r="F126" s="203">
        <v>90</v>
      </c>
      <c r="G126" s="202" t="b">
        <v>0</v>
      </c>
      <c r="H126" s="202" t="b">
        <v>0</v>
      </c>
      <c r="I126" s="202" t="b">
        <v>0</v>
      </c>
      <c r="K126" s="210">
        <v>90</v>
      </c>
      <c r="L126" s="210"/>
      <c r="M126" s="210"/>
      <c r="N126" s="210"/>
    </row>
    <row r="127" spans="6:14" x14ac:dyDescent="0.2">
      <c r="F127" s="203">
        <v>91</v>
      </c>
      <c r="G127" s="202" t="b">
        <v>0</v>
      </c>
      <c r="H127" s="202" t="b">
        <v>0</v>
      </c>
      <c r="I127" s="202" t="b">
        <v>0</v>
      </c>
      <c r="K127" s="210">
        <v>91</v>
      </c>
      <c r="L127" s="210"/>
      <c r="M127" s="210"/>
      <c r="N127" s="210"/>
    </row>
    <row r="128" spans="6:14" x14ac:dyDescent="0.2">
      <c r="F128" s="203">
        <v>92</v>
      </c>
      <c r="G128" s="202" t="b">
        <v>0</v>
      </c>
      <c r="H128" s="202" t="b">
        <v>0</v>
      </c>
      <c r="I128" s="202" t="b">
        <v>0</v>
      </c>
      <c r="K128" s="210">
        <v>92</v>
      </c>
      <c r="L128" s="210"/>
      <c r="M128" s="210"/>
      <c r="N128" s="210"/>
    </row>
    <row r="129" spans="6:14" x14ac:dyDescent="0.2">
      <c r="F129" s="203">
        <v>93</v>
      </c>
      <c r="G129" s="202" t="b">
        <v>0</v>
      </c>
      <c r="H129" s="202" t="b">
        <v>0</v>
      </c>
      <c r="I129" s="202" t="b">
        <v>0</v>
      </c>
      <c r="K129" s="210">
        <v>93</v>
      </c>
      <c r="L129" s="210"/>
      <c r="M129" s="210"/>
      <c r="N129" s="210"/>
    </row>
    <row r="130" spans="6:14" x14ac:dyDescent="0.2">
      <c r="F130" s="203">
        <v>94</v>
      </c>
      <c r="G130" s="202" t="b">
        <v>0</v>
      </c>
      <c r="H130" s="202" t="b">
        <v>0</v>
      </c>
      <c r="I130" s="202" t="b">
        <v>0</v>
      </c>
      <c r="K130" s="210">
        <v>94</v>
      </c>
      <c r="L130" s="210"/>
      <c r="M130" s="210"/>
      <c r="N130" s="210"/>
    </row>
    <row r="131" spans="6:14" x14ac:dyDescent="0.2">
      <c r="F131" s="203">
        <v>95</v>
      </c>
      <c r="G131" s="202" t="b">
        <v>0</v>
      </c>
      <c r="H131" s="202" t="b">
        <v>0</v>
      </c>
      <c r="I131" s="202" t="b">
        <v>0</v>
      </c>
      <c r="K131" s="210">
        <v>95</v>
      </c>
      <c r="L131" s="210"/>
      <c r="M131" s="210"/>
      <c r="N131" s="210"/>
    </row>
    <row r="132" spans="6:14" x14ac:dyDescent="0.2">
      <c r="F132" s="203">
        <v>96</v>
      </c>
      <c r="G132" s="202" t="b">
        <v>0</v>
      </c>
      <c r="H132" s="202" t="b">
        <v>0</v>
      </c>
      <c r="I132" s="202" t="b">
        <v>0</v>
      </c>
      <c r="K132" s="210">
        <v>96</v>
      </c>
      <c r="L132" s="210"/>
      <c r="M132" s="210"/>
      <c r="N132" s="210"/>
    </row>
    <row r="133" spans="6:14" x14ac:dyDescent="0.2">
      <c r="F133" s="203">
        <v>97</v>
      </c>
      <c r="G133" s="202" t="b">
        <v>0</v>
      </c>
      <c r="H133" s="202" t="b">
        <v>0</v>
      </c>
      <c r="I133" s="202" t="b">
        <v>0</v>
      </c>
      <c r="K133" s="210">
        <v>97</v>
      </c>
      <c r="L133" s="210"/>
      <c r="M133" s="210"/>
      <c r="N133" s="210"/>
    </row>
    <row r="134" spans="6:14" x14ac:dyDescent="0.2">
      <c r="F134" s="203">
        <v>98</v>
      </c>
      <c r="G134" s="202" t="b">
        <v>0</v>
      </c>
      <c r="H134" s="202" t="b">
        <v>0</v>
      </c>
      <c r="I134" s="202" t="b">
        <v>0</v>
      </c>
      <c r="K134" s="210">
        <v>98</v>
      </c>
      <c r="L134" s="210"/>
      <c r="M134" s="210"/>
      <c r="N134" s="210"/>
    </row>
    <row r="135" spans="6:14" x14ac:dyDescent="0.2">
      <c r="F135" s="203">
        <v>99</v>
      </c>
      <c r="G135" s="202" t="b">
        <v>0</v>
      </c>
      <c r="H135" s="202" t="b">
        <v>0</v>
      </c>
      <c r="I135" s="202" t="b">
        <v>0</v>
      </c>
      <c r="K135" s="210">
        <v>99</v>
      </c>
      <c r="L135" s="210"/>
      <c r="M135" s="210"/>
      <c r="N135" s="210"/>
    </row>
    <row r="136" spans="6:14" x14ac:dyDescent="0.2">
      <c r="F136" s="203">
        <v>100</v>
      </c>
      <c r="G136" s="202" t="b">
        <v>0</v>
      </c>
      <c r="H136" s="202" t="b">
        <v>0</v>
      </c>
      <c r="I136" s="202" t="b">
        <v>0</v>
      </c>
      <c r="K136" s="210">
        <v>100</v>
      </c>
      <c r="L136" s="210"/>
      <c r="M136" s="210"/>
      <c r="N136" s="210"/>
    </row>
    <row r="137" spans="6:14" x14ac:dyDescent="0.2">
      <c r="F137" s="203">
        <v>101</v>
      </c>
      <c r="G137" s="202" t="b">
        <v>0</v>
      </c>
      <c r="H137" s="202" t="b">
        <v>0</v>
      </c>
      <c r="I137" s="202" t="b">
        <v>0</v>
      </c>
      <c r="K137" s="210">
        <v>101</v>
      </c>
    </row>
    <row r="138" spans="6:14" x14ac:dyDescent="0.2">
      <c r="F138" s="203">
        <v>102</v>
      </c>
      <c r="G138" s="202" t="b">
        <v>0</v>
      </c>
      <c r="H138" s="202" t="b">
        <v>0</v>
      </c>
      <c r="I138" s="202" t="b">
        <v>0</v>
      </c>
      <c r="K138" s="210">
        <v>102</v>
      </c>
    </row>
    <row r="139" spans="6:14" x14ac:dyDescent="0.2">
      <c r="F139" s="203">
        <v>103</v>
      </c>
      <c r="G139" s="202" t="b">
        <v>0</v>
      </c>
      <c r="H139" s="202" t="b">
        <v>0</v>
      </c>
      <c r="I139" s="202" t="b">
        <v>0</v>
      </c>
      <c r="K139" s="210">
        <v>103</v>
      </c>
    </row>
    <row r="140" spans="6:14" x14ac:dyDescent="0.2">
      <c r="F140" s="203">
        <v>104</v>
      </c>
      <c r="G140" s="202" t="b">
        <v>0</v>
      </c>
      <c r="H140" s="202" t="b">
        <v>0</v>
      </c>
      <c r="I140" s="202" t="b">
        <v>0</v>
      </c>
      <c r="K140" s="210">
        <v>104</v>
      </c>
    </row>
    <row r="141" spans="6:14" x14ac:dyDescent="0.2">
      <c r="F141" s="203">
        <v>105</v>
      </c>
      <c r="G141" s="202" t="b">
        <v>0</v>
      </c>
      <c r="H141" s="202" t="b">
        <v>0</v>
      </c>
      <c r="I141" s="202" t="b">
        <v>0</v>
      </c>
      <c r="K141" s="210">
        <v>105</v>
      </c>
    </row>
    <row r="142" spans="6:14" x14ac:dyDescent="0.2">
      <c r="F142" s="203">
        <v>106</v>
      </c>
      <c r="G142" s="202" t="b">
        <v>0</v>
      </c>
      <c r="H142" s="202" t="b">
        <v>0</v>
      </c>
      <c r="I142" s="202" t="b">
        <v>0</v>
      </c>
      <c r="K142" s="210">
        <v>106</v>
      </c>
    </row>
    <row r="143" spans="6:14" x14ac:dyDescent="0.2">
      <c r="F143" s="203">
        <v>107</v>
      </c>
      <c r="G143" s="202" t="b">
        <v>0</v>
      </c>
      <c r="H143" s="202" t="b">
        <v>0</v>
      </c>
      <c r="I143" s="202" t="b">
        <v>0</v>
      </c>
      <c r="K143" s="210">
        <v>107</v>
      </c>
    </row>
    <row r="144" spans="6:14" x14ac:dyDescent="0.2">
      <c r="F144" s="203">
        <v>108</v>
      </c>
      <c r="G144" s="202" t="b">
        <v>0</v>
      </c>
      <c r="H144" s="202" t="b">
        <v>0</v>
      </c>
      <c r="I144" s="202" t="b">
        <v>0</v>
      </c>
      <c r="K144" s="210">
        <v>108</v>
      </c>
    </row>
    <row r="145" spans="6:11" x14ac:dyDescent="0.2">
      <c r="F145" s="203">
        <v>109</v>
      </c>
      <c r="G145" s="202" t="b">
        <v>0</v>
      </c>
      <c r="H145" s="202" t="b">
        <v>0</v>
      </c>
      <c r="I145" s="202" t="b">
        <v>0</v>
      </c>
      <c r="K145" s="210">
        <v>109</v>
      </c>
    </row>
    <row r="146" spans="6:11" x14ac:dyDescent="0.2">
      <c r="F146" s="203">
        <v>110</v>
      </c>
      <c r="G146" s="202" t="b">
        <v>0</v>
      </c>
      <c r="H146" s="202" t="b">
        <v>0</v>
      </c>
      <c r="I146" s="202" t="b">
        <v>0</v>
      </c>
      <c r="K146" s="210">
        <v>110</v>
      </c>
    </row>
    <row r="147" spans="6:11" x14ac:dyDescent="0.2">
      <c r="F147" s="203">
        <v>111</v>
      </c>
      <c r="G147" s="202" t="b">
        <v>0</v>
      </c>
      <c r="H147" s="202" t="b">
        <v>0</v>
      </c>
      <c r="I147" s="202" t="b">
        <v>0</v>
      </c>
      <c r="K147" s="210">
        <v>111</v>
      </c>
    </row>
    <row r="148" spans="6:11" x14ac:dyDescent="0.2">
      <c r="F148" s="203">
        <v>112</v>
      </c>
      <c r="G148" s="202" t="b">
        <v>0</v>
      </c>
      <c r="H148" s="202" t="b">
        <v>0</v>
      </c>
      <c r="I148" s="202" t="b">
        <v>0</v>
      </c>
      <c r="K148" s="210">
        <v>112</v>
      </c>
    </row>
    <row r="149" spans="6:11" x14ac:dyDescent="0.2">
      <c r="F149" s="203">
        <v>113</v>
      </c>
      <c r="G149" s="202" t="b">
        <v>0</v>
      </c>
      <c r="H149" s="202" t="b">
        <v>0</v>
      </c>
      <c r="I149" s="202" t="b">
        <v>0</v>
      </c>
      <c r="K149" s="210">
        <v>113</v>
      </c>
    </row>
    <row r="150" spans="6:11" x14ac:dyDescent="0.2">
      <c r="F150" s="203">
        <v>114</v>
      </c>
      <c r="G150" s="202" t="b">
        <v>0</v>
      </c>
      <c r="H150" s="202" t="b">
        <v>0</v>
      </c>
      <c r="I150" s="202" t="b">
        <v>0</v>
      </c>
      <c r="K150" s="210">
        <v>114</v>
      </c>
    </row>
    <row r="151" spans="6:11" x14ac:dyDescent="0.2">
      <c r="F151" s="203">
        <v>115</v>
      </c>
      <c r="G151" s="202" t="b">
        <v>0</v>
      </c>
      <c r="H151" s="202" t="b">
        <v>0</v>
      </c>
      <c r="I151" s="202" t="b">
        <v>0</v>
      </c>
      <c r="K151" s="210">
        <v>115</v>
      </c>
    </row>
    <row r="152" spans="6:11" x14ac:dyDescent="0.2">
      <c r="F152" s="203">
        <v>116</v>
      </c>
      <c r="G152" s="202" t="b">
        <v>0</v>
      </c>
      <c r="H152" s="202" t="b">
        <v>0</v>
      </c>
      <c r="I152" s="202" t="b">
        <v>0</v>
      </c>
      <c r="K152" s="210">
        <v>116</v>
      </c>
    </row>
    <row r="153" spans="6:11" x14ac:dyDescent="0.2">
      <c r="F153" s="203">
        <v>117</v>
      </c>
      <c r="G153" s="202" t="b">
        <v>0</v>
      </c>
      <c r="H153" s="202" t="b">
        <v>0</v>
      </c>
      <c r="I153" s="202" t="b">
        <v>0</v>
      </c>
      <c r="K153" s="210">
        <v>117</v>
      </c>
    </row>
    <row r="154" spans="6:11" x14ac:dyDescent="0.2">
      <c r="F154" s="203">
        <v>118</v>
      </c>
      <c r="G154" s="202" t="b">
        <v>0</v>
      </c>
      <c r="H154" s="202" t="b">
        <v>0</v>
      </c>
      <c r="I154" s="202" t="b">
        <v>0</v>
      </c>
      <c r="K154" s="210">
        <v>118</v>
      </c>
    </row>
    <row r="155" spans="6:11" x14ac:dyDescent="0.2">
      <c r="F155" s="203">
        <v>119</v>
      </c>
      <c r="G155" s="202" t="b">
        <v>0</v>
      </c>
      <c r="H155" s="202" t="b">
        <v>0</v>
      </c>
      <c r="I155" s="202" t="b">
        <v>0</v>
      </c>
      <c r="K155" s="210">
        <v>119</v>
      </c>
    </row>
    <row r="156" spans="6:11" x14ac:dyDescent="0.2">
      <c r="F156" s="203">
        <v>120</v>
      </c>
      <c r="G156" s="202" t="b">
        <v>0</v>
      </c>
      <c r="H156" s="202" t="b">
        <v>0</v>
      </c>
      <c r="I156" s="202" t="b">
        <v>0</v>
      </c>
      <c r="K156" s="210">
        <v>120</v>
      </c>
    </row>
    <row r="157" spans="6:11" x14ac:dyDescent="0.2">
      <c r="F157" s="203">
        <v>121</v>
      </c>
      <c r="G157" s="202" t="b">
        <v>0</v>
      </c>
      <c r="H157" s="202" t="b">
        <v>0</v>
      </c>
      <c r="I157" s="202" t="b">
        <v>0</v>
      </c>
      <c r="K157" s="210">
        <v>121</v>
      </c>
    </row>
    <row r="158" spans="6:11" x14ac:dyDescent="0.2">
      <c r="F158" s="203">
        <v>122</v>
      </c>
      <c r="G158" s="202" t="b">
        <v>0</v>
      </c>
      <c r="H158" s="202" t="b">
        <v>0</v>
      </c>
      <c r="I158" s="202" t="b">
        <v>0</v>
      </c>
      <c r="K158" s="210">
        <v>122</v>
      </c>
    </row>
    <row r="159" spans="6:11" x14ac:dyDescent="0.2">
      <c r="F159" s="203">
        <v>123</v>
      </c>
      <c r="G159" s="202" t="b">
        <v>0</v>
      </c>
      <c r="H159" s="202" t="b">
        <v>0</v>
      </c>
      <c r="I159" s="202" t="b">
        <v>0</v>
      </c>
      <c r="K159" s="210">
        <v>123</v>
      </c>
    </row>
    <row r="160" spans="6:11" x14ac:dyDescent="0.2">
      <c r="F160" s="203">
        <v>124</v>
      </c>
      <c r="G160" s="202" t="b">
        <v>0</v>
      </c>
      <c r="H160" s="202" t="b">
        <v>0</v>
      </c>
      <c r="I160" s="202" t="b">
        <v>0</v>
      </c>
      <c r="K160" s="210">
        <v>124</v>
      </c>
    </row>
    <row r="161" spans="6:11" x14ac:dyDescent="0.2">
      <c r="F161" s="203">
        <v>125</v>
      </c>
      <c r="G161" s="202" t="b">
        <v>0</v>
      </c>
      <c r="H161" s="202" t="b">
        <v>0</v>
      </c>
      <c r="I161" s="202" t="b">
        <v>0</v>
      </c>
      <c r="K161" s="210">
        <v>125</v>
      </c>
    </row>
    <row r="162" spans="6:11" x14ac:dyDescent="0.2">
      <c r="F162" s="203">
        <v>126</v>
      </c>
      <c r="G162" s="202" t="b">
        <v>0</v>
      </c>
      <c r="H162" s="202" t="b">
        <v>0</v>
      </c>
      <c r="I162" s="202" t="b">
        <v>0</v>
      </c>
      <c r="K162" s="210">
        <v>126</v>
      </c>
    </row>
    <row r="163" spans="6:11" x14ac:dyDescent="0.2">
      <c r="F163" s="203">
        <v>127</v>
      </c>
      <c r="G163" s="202" t="b">
        <v>0</v>
      </c>
      <c r="H163" s="202" t="b">
        <v>0</v>
      </c>
      <c r="I163" s="202" t="b">
        <v>0</v>
      </c>
      <c r="K163" s="210">
        <v>127</v>
      </c>
    </row>
    <row r="164" spans="6:11" x14ac:dyDescent="0.2">
      <c r="F164" s="203">
        <v>128</v>
      </c>
      <c r="G164" s="202" t="b">
        <v>0</v>
      </c>
      <c r="H164" s="202" t="b">
        <v>0</v>
      </c>
      <c r="I164" s="202" t="b">
        <v>0</v>
      </c>
      <c r="K164" s="210">
        <v>128</v>
      </c>
    </row>
    <row r="165" spans="6:11" x14ac:dyDescent="0.2">
      <c r="F165" s="203">
        <v>129</v>
      </c>
      <c r="G165" s="202" t="b">
        <v>0</v>
      </c>
      <c r="H165" s="202" t="b">
        <v>0</v>
      </c>
      <c r="I165" s="202" t="b">
        <v>0</v>
      </c>
      <c r="K165" s="210">
        <v>129</v>
      </c>
    </row>
    <row r="166" spans="6:11" x14ac:dyDescent="0.2">
      <c r="F166" s="203">
        <v>130</v>
      </c>
      <c r="G166" s="202" t="b">
        <v>0</v>
      </c>
      <c r="H166" s="202" t="b">
        <v>0</v>
      </c>
      <c r="I166" s="202" t="b">
        <v>0</v>
      </c>
      <c r="K166" s="210">
        <v>130</v>
      </c>
    </row>
    <row r="167" spans="6:11" x14ac:dyDescent="0.2">
      <c r="F167" s="203">
        <v>131</v>
      </c>
      <c r="G167" s="202" t="b">
        <v>0</v>
      </c>
      <c r="H167" s="202" t="b">
        <v>0</v>
      </c>
      <c r="I167" s="202" t="b">
        <v>0</v>
      </c>
      <c r="K167" s="210">
        <v>131</v>
      </c>
    </row>
    <row r="168" spans="6:11" x14ac:dyDescent="0.2">
      <c r="F168" s="203">
        <v>132</v>
      </c>
      <c r="G168" s="202" t="b">
        <v>0</v>
      </c>
      <c r="H168" s="202" t="b">
        <v>0</v>
      </c>
      <c r="I168" s="202" t="b">
        <v>0</v>
      </c>
      <c r="K168" s="210">
        <v>132</v>
      </c>
    </row>
    <row r="169" spans="6:11" x14ac:dyDescent="0.2">
      <c r="F169" s="203">
        <v>133</v>
      </c>
      <c r="G169" s="202" t="b">
        <v>0</v>
      </c>
      <c r="H169" s="202" t="b">
        <v>0</v>
      </c>
      <c r="I169" s="202" t="b">
        <v>0</v>
      </c>
      <c r="K169" s="210">
        <v>133</v>
      </c>
    </row>
    <row r="170" spans="6:11" x14ac:dyDescent="0.2">
      <c r="F170" s="203">
        <v>134</v>
      </c>
      <c r="G170" s="202" t="b">
        <v>0</v>
      </c>
      <c r="H170" s="202" t="b">
        <v>0</v>
      </c>
      <c r="I170" s="202" t="b">
        <v>0</v>
      </c>
      <c r="K170" s="210">
        <v>134</v>
      </c>
    </row>
    <row r="171" spans="6:11" x14ac:dyDescent="0.2">
      <c r="F171" s="203">
        <v>135</v>
      </c>
      <c r="G171" s="202" t="b">
        <v>0</v>
      </c>
      <c r="H171" s="202" t="b">
        <v>0</v>
      </c>
      <c r="I171" s="202" t="b">
        <v>0</v>
      </c>
      <c r="K171" s="210">
        <v>135</v>
      </c>
    </row>
    <row r="172" spans="6:11" x14ac:dyDescent="0.2">
      <c r="F172" s="203">
        <v>136</v>
      </c>
      <c r="G172" s="202" t="b">
        <v>0</v>
      </c>
      <c r="H172" s="202" t="b">
        <v>0</v>
      </c>
      <c r="I172" s="202" t="b">
        <v>0</v>
      </c>
      <c r="K172" s="210">
        <v>136</v>
      </c>
    </row>
    <row r="173" spans="6:11" x14ac:dyDescent="0.2">
      <c r="F173" s="203">
        <v>137</v>
      </c>
      <c r="G173" s="202" t="b">
        <v>0</v>
      </c>
      <c r="H173" s="202" t="b">
        <v>0</v>
      </c>
      <c r="I173" s="202" t="b">
        <v>0</v>
      </c>
      <c r="K173" s="210">
        <v>137</v>
      </c>
    </row>
    <row r="174" spans="6:11" x14ac:dyDescent="0.2">
      <c r="F174" s="203">
        <v>138</v>
      </c>
      <c r="G174" s="202" t="b">
        <v>0</v>
      </c>
      <c r="H174" s="202" t="b">
        <v>0</v>
      </c>
      <c r="I174" s="202" t="b">
        <v>0</v>
      </c>
      <c r="K174" s="210">
        <v>138</v>
      </c>
    </row>
    <row r="175" spans="6:11" x14ac:dyDescent="0.2">
      <c r="F175" s="203">
        <v>139</v>
      </c>
      <c r="G175" s="202" t="b">
        <v>0</v>
      </c>
      <c r="H175" s="202" t="b">
        <v>0</v>
      </c>
      <c r="I175" s="202" t="b">
        <v>0</v>
      </c>
      <c r="K175" s="210">
        <v>139</v>
      </c>
    </row>
    <row r="176" spans="6:11" x14ac:dyDescent="0.2">
      <c r="F176" s="203">
        <v>140</v>
      </c>
      <c r="G176" s="202" t="b">
        <v>0</v>
      </c>
      <c r="H176" s="202" t="b">
        <v>0</v>
      </c>
      <c r="I176" s="202" t="b">
        <v>0</v>
      </c>
      <c r="K176" s="210">
        <v>140</v>
      </c>
    </row>
    <row r="177" spans="6:11" x14ac:dyDescent="0.2">
      <c r="F177" s="203">
        <v>141</v>
      </c>
      <c r="G177" s="202" t="b">
        <v>0</v>
      </c>
      <c r="H177" s="202" t="b">
        <v>0</v>
      </c>
      <c r="I177" s="202" t="b">
        <v>0</v>
      </c>
      <c r="K177" s="210">
        <v>141</v>
      </c>
    </row>
    <row r="178" spans="6:11" x14ac:dyDescent="0.2">
      <c r="F178" s="203">
        <v>142</v>
      </c>
      <c r="G178" s="202" t="b">
        <v>0</v>
      </c>
      <c r="H178" s="202" t="b">
        <v>0</v>
      </c>
      <c r="I178" s="202" t="b">
        <v>0</v>
      </c>
      <c r="K178" s="210">
        <v>142</v>
      </c>
    </row>
    <row r="179" spans="6:11" x14ac:dyDescent="0.2">
      <c r="F179" s="203">
        <v>143</v>
      </c>
      <c r="G179" s="202" t="b">
        <v>0</v>
      </c>
      <c r="H179" s="202" t="b">
        <v>0</v>
      </c>
      <c r="I179" s="202" t="b">
        <v>0</v>
      </c>
      <c r="K179" s="210">
        <v>143</v>
      </c>
    </row>
    <row r="180" spans="6:11" x14ac:dyDescent="0.2">
      <c r="F180" s="203">
        <v>144</v>
      </c>
      <c r="G180" s="202" t="b">
        <v>0</v>
      </c>
      <c r="H180" s="202" t="b">
        <v>0</v>
      </c>
      <c r="I180" s="202" t="b">
        <v>0</v>
      </c>
      <c r="K180" s="210">
        <v>144</v>
      </c>
    </row>
    <row r="181" spans="6:11" x14ac:dyDescent="0.2">
      <c r="F181" s="203">
        <v>145</v>
      </c>
      <c r="G181" s="202" t="b">
        <v>0</v>
      </c>
      <c r="H181" s="202" t="b">
        <v>0</v>
      </c>
      <c r="I181" s="202" t="b">
        <v>0</v>
      </c>
      <c r="K181" s="210">
        <v>145</v>
      </c>
    </row>
    <row r="182" spans="6:11" x14ac:dyDescent="0.2">
      <c r="F182" s="203">
        <v>146</v>
      </c>
      <c r="G182" s="202" t="b">
        <v>0</v>
      </c>
      <c r="H182" s="202" t="b">
        <v>0</v>
      </c>
      <c r="I182" s="202" t="b">
        <v>0</v>
      </c>
      <c r="K182" s="210">
        <v>146</v>
      </c>
    </row>
    <row r="183" spans="6:11" x14ac:dyDescent="0.2">
      <c r="F183" s="203">
        <v>147</v>
      </c>
      <c r="G183" s="202" t="b">
        <v>0</v>
      </c>
      <c r="H183" s="202" t="b">
        <v>0</v>
      </c>
      <c r="I183" s="202" t="b">
        <v>0</v>
      </c>
      <c r="K183" s="210">
        <v>147</v>
      </c>
    </row>
    <row r="184" spans="6:11" x14ac:dyDescent="0.2">
      <c r="F184" s="203">
        <v>148</v>
      </c>
      <c r="G184" s="202" t="b">
        <v>0</v>
      </c>
      <c r="H184" s="202" t="b">
        <v>0</v>
      </c>
      <c r="I184" s="202" t="b">
        <v>0</v>
      </c>
      <c r="K184" s="210">
        <v>148</v>
      </c>
    </row>
    <row r="185" spans="6:11" x14ac:dyDescent="0.2">
      <c r="F185" s="203">
        <v>149</v>
      </c>
      <c r="G185" s="202" t="b">
        <v>0</v>
      </c>
      <c r="H185" s="202" t="b">
        <v>0</v>
      </c>
      <c r="I185" s="202" t="b">
        <v>0</v>
      </c>
      <c r="K185" s="210">
        <v>149</v>
      </c>
    </row>
    <row r="186" spans="6:11" x14ac:dyDescent="0.2">
      <c r="F186" s="203">
        <v>150</v>
      </c>
      <c r="G186" s="202" t="b">
        <v>0</v>
      </c>
      <c r="H186" s="202" t="b">
        <v>0</v>
      </c>
      <c r="I186" s="202" t="b">
        <v>0</v>
      </c>
      <c r="K186" s="210">
        <v>150</v>
      </c>
    </row>
    <row r="187" spans="6:11" x14ac:dyDescent="0.2">
      <c r="F187" s="203">
        <v>151</v>
      </c>
      <c r="G187" s="202" t="b">
        <v>0</v>
      </c>
      <c r="H187" s="202" t="b">
        <v>0</v>
      </c>
      <c r="I187" s="202" t="b">
        <v>0</v>
      </c>
      <c r="K187" s="210">
        <v>151</v>
      </c>
    </row>
    <row r="188" spans="6:11" x14ac:dyDescent="0.2">
      <c r="F188" s="203">
        <v>152</v>
      </c>
      <c r="G188" s="202" t="b">
        <v>0</v>
      </c>
      <c r="H188" s="202" t="b">
        <v>0</v>
      </c>
      <c r="I188" s="202" t="b">
        <v>0</v>
      </c>
      <c r="K188" s="210">
        <v>152</v>
      </c>
    </row>
    <row r="189" spans="6:11" x14ac:dyDescent="0.2">
      <c r="F189" s="203">
        <v>153</v>
      </c>
      <c r="G189" s="202" t="b">
        <v>0</v>
      </c>
      <c r="H189" s="202" t="b">
        <v>0</v>
      </c>
      <c r="I189" s="202" t="b">
        <v>0</v>
      </c>
      <c r="K189" s="210">
        <v>153</v>
      </c>
    </row>
    <row r="190" spans="6:11" x14ac:dyDescent="0.2">
      <c r="F190" s="203">
        <v>154</v>
      </c>
      <c r="G190" s="202" t="b">
        <v>0</v>
      </c>
      <c r="H190" s="202" t="b">
        <v>0</v>
      </c>
      <c r="I190" s="202" t="b">
        <v>0</v>
      </c>
      <c r="K190" s="210">
        <v>154</v>
      </c>
    </row>
    <row r="191" spans="6:11" x14ac:dyDescent="0.2">
      <c r="F191" s="203">
        <v>155</v>
      </c>
      <c r="G191" s="202" t="b">
        <v>0</v>
      </c>
      <c r="H191" s="202" t="b">
        <v>0</v>
      </c>
      <c r="I191" s="202" t="b">
        <v>0</v>
      </c>
      <c r="K191" s="210">
        <v>155</v>
      </c>
    </row>
    <row r="192" spans="6:11" x14ac:dyDescent="0.2">
      <c r="F192" s="203">
        <v>156</v>
      </c>
      <c r="G192" s="202" t="b">
        <v>0</v>
      </c>
      <c r="H192" s="202" t="b">
        <v>0</v>
      </c>
      <c r="I192" s="202" t="b">
        <v>0</v>
      </c>
      <c r="K192" s="210">
        <v>156</v>
      </c>
    </row>
    <row r="193" spans="6:11" x14ac:dyDescent="0.2">
      <c r="F193" s="203">
        <v>157</v>
      </c>
      <c r="G193" s="202" t="b">
        <v>0</v>
      </c>
      <c r="H193" s="202" t="b">
        <v>0</v>
      </c>
      <c r="I193" s="202" t="b">
        <v>0</v>
      </c>
      <c r="K193" s="210">
        <v>157</v>
      </c>
    </row>
    <row r="194" spans="6:11" x14ac:dyDescent="0.2">
      <c r="F194" s="203">
        <v>158</v>
      </c>
      <c r="G194" s="202" t="b">
        <v>0</v>
      </c>
      <c r="H194" s="202" t="b">
        <v>0</v>
      </c>
      <c r="I194" s="202" t="b">
        <v>0</v>
      </c>
      <c r="K194" s="210">
        <v>158</v>
      </c>
    </row>
    <row r="195" spans="6:11" x14ac:dyDescent="0.2">
      <c r="F195" s="203">
        <v>159</v>
      </c>
      <c r="G195" s="202" t="b">
        <v>0</v>
      </c>
      <c r="H195" s="202" t="b">
        <v>0</v>
      </c>
      <c r="I195" s="202" t="b">
        <v>0</v>
      </c>
      <c r="K195" s="210">
        <v>159</v>
      </c>
    </row>
    <row r="196" spans="6:11" x14ac:dyDescent="0.2">
      <c r="F196" s="203">
        <v>160</v>
      </c>
      <c r="G196" s="202" t="b">
        <v>0</v>
      </c>
      <c r="H196" s="202" t="b">
        <v>0</v>
      </c>
      <c r="I196" s="202" t="b">
        <v>0</v>
      </c>
      <c r="K196" s="210">
        <v>160</v>
      </c>
    </row>
    <row r="197" spans="6:11" x14ac:dyDescent="0.2">
      <c r="F197" s="203">
        <v>161</v>
      </c>
      <c r="G197" s="202" t="b">
        <v>0</v>
      </c>
      <c r="H197" s="202" t="b">
        <v>0</v>
      </c>
      <c r="I197" s="202" t="b">
        <v>0</v>
      </c>
      <c r="K197" s="210">
        <v>161</v>
      </c>
    </row>
    <row r="198" spans="6:11" x14ac:dyDescent="0.2">
      <c r="F198" s="203">
        <v>162</v>
      </c>
      <c r="G198" s="202" t="b">
        <v>0</v>
      </c>
      <c r="H198" s="202" t="b">
        <v>0</v>
      </c>
      <c r="I198" s="202" t="b">
        <v>0</v>
      </c>
      <c r="K198" s="210">
        <v>162</v>
      </c>
    </row>
    <row r="199" spans="6:11" x14ac:dyDescent="0.2">
      <c r="F199" s="203">
        <v>163</v>
      </c>
      <c r="G199" s="202" t="b">
        <v>0</v>
      </c>
      <c r="H199" s="202" t="b">
        <v>0</v>
      </c>
      <c r="I199" s="202" t="b">
        <v>0</v>
      </c>
      <c r="K199" s="210">
        <v>163</v>
      </c>
    </row>
    <row r="200" spans="6:11" x14ac:dyDescent="0.2">
      <c r="F200" s="203">
        <v>164</v>
      </c>
      <c r="G200" s="202" t="b">
        <v>0</v>
      </c>
      <c r="H200" s="202" t="b">
        <v>0</v>
      </c>
      <c r="I200" s="202" t="b">
        <v>0</v>
      </c>
      <c r="K200" s="210">
        <v>164</v>
      </c>
    </row>
    <row r="201" spans="6:11" x14ac:dyDescent="0.2">
      <c r="F201" s="203">
        <v>165</v>
      </c>
      <c r="G201" s="202" t="b">
        <v>0</v>
      </c>
      <c r="H201" s="202" t="b">
        <v>0</v>
      </c>
      <c r="I201" s="202" t="b">
        <v>0</v>
      </c>
      <c r="K201" s="210">
        <v>165</v>
      </c>
    </row>
    <row r="202" spans="6:11" x14ac:dyDescent="0.2">
      <c r="F202" s="203">
        <v>166</v>
      </c>
      <c r="G202" s="202" t="b">
        <v>0</v>
      </c>
      <c r="H202" s="202" t="b">
        <v>0</v>
      </c>
      <c r="I202" s="202" t="b">
        <v>0</v>
      </c>
      <c r="K202" s="210">
        <v>166</v>
      </c>
    </row>
    <row r="203" spans="6:11" x14ac:dyDescent="0.2">
      <c r="F203" s="203">
        <v>167</v>
      </c>
      <c r="G203" s="202" t="b">
        <v>0</v>
      </c>
      <c r="H203" s="202" t="b">
        <v>0</v>
      </c>
      <c r="I203" s="202" t="b">
        <v>0</v>
      </c>
      <c r="K203" s="210">
        <v>167</v>
      </c>
    </row>
    <row r="204" spans="6:11" x14ac:dyDescent="0.2">
      <c r="F204" s="203">
        <v>168</v>
      </c>
      <c r="G204" s="202" t="b">
        <v>0</v>
      </c>
      <c r="H204" s="202" t="b">
        <v>0</v>
      </c>
      <c r="I204" s="202" t="b">
        <v>0</v>
      </c>
      <c r="K204" s="210">
        <v>168</v>
      </c>
    </row>
    <row r="205" spans="6:11" x14ac:dyDescent="0.2">
      <c r="F205" s="203">
        <v>169</v>
      </c>
      <c r="G205" s="202" t="b">
        <v>0</v>
      </c>
      <c r="H205" s="202" t="b">
        <v>0</v>
      </c>
      <c r="I205" s="202" t="b">
        <v>0</v>
      </c>
      <c r="K205" s="210">
        <v>169</v>
      </c>
    </row>
    <row r="206" spans="6:11" x14ac:dyDescent="0.2">
      <c r="F206" s="203">
        <v>170</v>
      </c>
      <c r="G206" s="202" t="b">
        <v>0</v>
      </c>
      <c r="H206" s="202" t="b">
        <v>0</v>
      </c>
      <c r="I206" s="202" t="b">
        <v>0</v>
      </c>
      <c r="K206" s="210">
        <v>170</v>
      </c>
    </row>
    <row r="207" spans="6:11" x14ac:dyDescent="0.2">
      <c r="F207" s="203">
        <v>171</v>
      </c>
      <c r="G207" s="202" t="b">
        <v>0</v>
      </c>
      <c r="H207" s="202" t="b">
        <v>0</v>
      </c>
      <c r="I207" s="202" t="b">
        <v>0</v>
      </c>
      <c r="K207" s="210">
        <v>171</v>
      </c>
    </row>
    <row r="208" spans="6:11" x14ac:dyDescent="0.2">
      <c r="F208" s="203">
        <v>172</v>
      </c>
      <c r="G208" s="202" t="b">
        <v>0</v>
      </c>
      <c r="H208" s="202" t="b">
        <v>0</v>
      </c>
      <c r="I208" s="202" t="b">
        <v>0</v>
      </c>
      <c r="K208" s="210">
        <v>172</v>
      </c>
    </row>
    <row r="209" spans="6:11" x14ac:dyDescent="0.2">
      <c r="F209" s="203">
        <v>173</v>
      </c>
      <c r="G209" s="202" t="b">
        <v>0</v>
      </c>
      <c r="H209" s="202" t="b">
        <v>0</v>
      </c>
      <c r="I209" s="202" t="b">
        <v>0</v>
      </c>
      <c r="K209" s="210">
        <v>173</v>
      </c>
    </row>
    <row r="210" spans="6:11" x14ac:dyDescent="0.2">
      <c r="F210" s="203">
        <v>174</v>
      </c>
      <c r="G210" s="202" t="b">
        <v>0</v>
      </c>
      <c r="H210" s="202" t="b">
        <v>0</v>
      </c>
      <c r="I210" s="202" t="b">
        <v>0</v>
      </c>
      <c r="K210" s="210">
        <v>174</v>
      </c>
    </row>
    <row r="211" spans="6:11" x14ac:dyDescent="0.2">
      <c r="F211" s="203">
        <v>175</v>
      </c>
      <c r="G211" s="202" t="b">
        <v>0</v>
      </c>
      <c r="H211" s="202" t="b">
        <v>0</v>
      </c>
      <c r="I211" s="202" t="b">
        <v>0</v>
      </c>
      <c r="K211" s="210">
        <v>175</v>
      </c>
    </row>
    <row r="212" spans="6:11" x14ac:dyDescent="0.2">
      <c r="F212" s="203">
        <v>176</v>
      </c>
      <c r="G212" s="202" t="b">
        <v>0</v>
      </c>
      <c r="H212" s="202" t="b">
        <v>0</v>
      </c>
      <c r="I212" s="202" t="b">
        <v>0</v>
      </c>
      <c r="K212" s="210">
        <v>176</v>
      </c>
    </row>
    <row r="213" spans="6:11" x14ac:dyDescent="0.2">
      <c r="F213" s="203">
        <v>177</v>
      </c>
      <c r="G213" s="202" t="b">
        <v>0</v>
      </c>
      <c r="H213" s="202" t="b">
        <v>0</v>
      </c>
      <c r="I213" s="202" t="b">
        <v>0</v>
      </c>
      <c r="K213" s="210">
        <v>177</v>
      </c>
    </row>
    <row r="214" spans="6:11" x14ac:dyDescent="0.2">
      <c r="F214" s="203">
        <v>178</v>
      </c>
      <c r="G214" s="202" t="b">
        <v>0</v>
      </c>
      <c r="H214" s="202" t="b">
        <v>0</v>
      </c>
      <c r="I214" s="202" t="b">
        <v>0</v>
      </c>
      <c r="K214" s="210">
        <v>178</v>
      </c>
    </row>
    <row r="215" spans="6:11" x14ac:dyDescent="0.2">
      <c r="F215" s="203">
        <v>179</v>
      </c>
      <c r="G215" s="202" t="b">
        <v>0</v>
      </c>
      <c r="H215" s="202" t="b">
        <v>0</v>
      </c>
      <c r="I215" s="202" t="b">
        <v>0</v>
      </c>
      <c r="K215" s="210">
        <v>179</v>
      </c>
    </row>
    <row r="216" spans="6:11" x14ac:dyDescent="0.2">
      <c r="F216" s="203">
        <v>180</v>
      </c>
      <c r="G216" s="202" t="b">
        <v>0</v>
      </c>
      <c r="H216" s="202" t="b">
        <v>0</v>
      </c>
      <c r="I216" s="202" t="b">
        <v>0</v>
      </c>
      <c r="K216" s="210">
        <v>180</v>
      </c>
    </row>
    <row r="217" spans="6:11" x14ac:dyDescent="0.2">
      <c r="F217" s="203">
        <v>181</v>
      </c>
      <c r="G217" s="202" t="b">
        <v>0</v>
      </c>
      <c r="H217" s="202" t="b">
        <v>0</v>
      </c>
      <c r="I217" s="202" t="b">
        <v>0</v>
      </c>
      <c r="K217" s="210">
        <v>181</v>
      </c>
    </row>
    <row r="218" spans="6:11" x14ac:dyDescent="0.2">
      <c r="F218" s="203">
        <v>182</v>
      </c>
      <c r="G218" s="202" t="b">
        <v>0</v>
      </c>
      <c r="H218" s="202" t="b">
        <v>0</v>
      </c>
      <c r="I218" s="202" t="b">
        <v>0</v>
      </c>
      <c r="K218" s="210">
        <v>182</v>
      </c>
    </row>
    <row r="219" spans="6:11" x14ac:dyDescent="0.2">
      <c r="F219" s="203">
        <v>183</v>
      </c>
      <c r="G219" s="202" t="b">
        <v>0</v>
      </c>
      <c r="H219" s="202" t="b">
        <v>0</v>
      </c>
      <c r="I219" s="202" t="b">
        <v>0</v>
      </c>
      <c r="K219" s="210">
        <v>183</v>
      </c>
    </row>
    <row r="220" spans="6:11" x14ac:dyDescent="0.2">
      <c r="F220" s="203">
        <v>184</v>
      </c>
      <c r="G220" s="202" t="b">
        <v>0</v>
      </c>
      <c r="H220" s="202" t="b">
        <v>0</v>
      </c>
      <c r="I220" s="202" t="b">
        <v>0</v>
      </c>
      <c r="K220" s="210">
        <v>184</v>
      </c>
    </row>
    <row r="221" spans="6:11" x14ac:dyDescent="0.2">
      <c r="F221" s="203">
        <v>185</v>
      </c>
      <c r="G221" s="202" t="b">
        <v>0</v>
      </c>
      <c r="H221" s="202" t="b">
        <v>0</v>
      </c>
      <c r="I221" s="202" t="b">
        <v>0</v>
      </c>
      <c r="K221" s="210">
        <v>185</v>
      </c>
    </row>
    <row r="222" spans="6:11" x14ac:dyDescent="0.2">
      <c r="F222" s="203">
        <v>186</v>
      </c>
      <c r="G222" s="202" t="b">
        <v>0</v>
      </c>
      <c r="H222" s="202" t="b">
        <v>0</v>
      </c>
      <c r="I222" s="202" t="b">
        <v>0</v>
      </c>
      <c r="K222" s="210">
        <v>186</v>
      </c>
    </row>
    <row r="223" spans="6:11" x14ac:dyDescent="0.2">
      <c r="F223" s="203">
        <v>187</v>
      </c>
      <c r="G223" s="202" t="b">
        <v>0</v>
      </c>
      <c r="H223" s="202" t="b">
        <v>0</v>
      </c>
      <c r="I223" s="202" t="b">
        <v>0</v>
      </c>
      <c r="K223" s="210">
        <v>187</v>
      </c>
    </row>
    <row r="224" spans="6:11" x14ac:dyDescent="0.2">
      <c r="F224" s="203">
        <v>188</v>
      </c>
      <c r="G224" s="202" t="b">
        <v>0</v>
      </c>
      <c r="H224" s="202" t="b">
        <v>0</v>
      </c>
      <c r="I224" s="202" t="b">
        <v>0</v>
      </c>
      <c r="K224" s="210">
        <v>188</v>
      </c>
    </row>
    <row r="225" spans="1:15" x14ac:dyDescent="0.2">
      <c r="F225" s="203">
        <v>189</v>
      </c>
      <c r="G225" s="202" t="b">
        <v>0</v>
      </c>
      <c r="H225" s="202" t="b">
        <v>0</v>
      </c>
      <c r="I225" s="202" t="b">
        <v>0</v>
      </c>
      <c r="K225" s="210">
        <v>189</v>
      </c>
    </row>
    <row r="226" spans="1:15" x14ac:dyDescent="0.2">
      <c r="F226" s="203">
        <v>190</v>
      </c>
      <c r="G226" s="202" t="b">
        <v>0</v>
      </c>
      <c r="H226" s="202" t="b">
        <v>0</v>
      </c>
      <c r="I226" s="202" t="b">
        <v>0</v>
      </c>
      <c r="K226" s="210">
        <v>190</v>
      </c>
    </row>
    <row r="227" spans="1:15" x14ac:dyDescent="0.2">
      <c r="F227" s="203">
        <v>191</v>
      </c>
      <c r="G227" s="202" t="b">
        <v>0</v>
      </c>
      <c r="H227" s="202" t="b">
        <v>0</v>
      </c>
      <c r="I227" s="202" t="b">
        <v>0</v>
      </c>
      <c r="K227" s="210">
        <v>191</v>
      </c>
    </row>
    <row r="228" spans="1:15" x14ac:dyDescent="0.2">
      <c r="F228" s="203">
        <v>192</v>
      </c>
      <c r="G228" s="202" t="b">
        <v>0</v>
      </c>
      <c r="H228" s="202" t="b">
        <v>0</v>
      </c>
      <c r="I228" s="202" t="b">
        <v>0</v>
      </c>
      <c r="K228" s="210">
        <v>192</v>
      </c>
    </row>
    <row r="229" spans="1:15" x14ac:dyDescent="0.2">
      <c r="F229" s="203">
        <v>193</v>
      </c>
      <c r="G229" s="202" t="b">
        <v>0</v>
      </c>
      <c r="H229" s="202" t="b">
        <v>0</v>
      </c>
      <c r="I229" s="202" t="b">
        <v>0</v>
      </c>
      <c r="K229" s="210">
        <v>193</v>
      </c>
    </row>
    <row r="230" spans="1:15" x14ac:dyDescent="0.2">
      <c r="F230" s="203">
        <v>194</v>
      </c>
      <c r="G230" s="202" t="b">
        <v>0</v>
      </c>
      <c r="H230" s="202" t="b">
        <v>0</v>
      </c>
      <c r="I230" s="202" t="b">
        <v>0</v>
      </c>
      <c r="K230" s="210">
        <v>194</v>
      </c>
    </row>
    <row r="231" spans="1:15" x14ac:dyDescent="0.2">
      <c r="F231" s="203">
        <v>195</v>
      </c>
      <c r="G231" s="202" t="b">
        <v>0</v>
      </c>
      <c r="H231" s="202" t="b">
        <v>0</v>
      </c>
      <c r="I231" s="202" t="b">
        <v>0</v>
      </c>
      <c r="K231" s="210">
        <v>195</v>
      </c>
    </row>
    <row r="232" spans="1:15" x14ac:dyDescent="0.2">
      <c r="F232" s="203">
        <v>196</v>
      </c>
      <c r="G232" s="202" t="b">
        <v>0</v>
      </c>
      <c r="H232" s="202" t="b">
        <v>0</v>
      </c>
      <c r="I232" s="202" t="b">
        <v>0</v>
      </c>
      <c r="K232" s="210">
        <v>196</v>
      </c>
    </row>
    <row r="233" spans="1:15" x14ac:dyDescent="0.2">
      <c r="F233" s="203">
        <v>197</v>
      </c>
      <c r="G233" s="202" t="b">
        <v>0</v>
      </c>
      <c r="H233" s="202" t="b">
        <v>0</v>
      </c>
      <c r="I233" s="202" t="b">
        <v>0</v>
      </c>
      <c r="K233" s="210">
        <v>197</v>
      </c>
    </row>
    <row r="234" spans="1:15" x14ac:dyDescent="0.2">
      <c r="F234" s="203">
        <v>198</v>
      </c>
      <c r="G234" s="202" t="b">
        <v>0</v>
      </c>
      <c r="H234" s="202" t="b">
        <v>0</v>
      </c>
      <c r="I234" s="202" t="b">
        <v>0</v>
      </c>
      <c r="K234" s="210">
        <v>198</v>
      </c>
    </row>
    <row r="235" spans="1:15" x14ac:dyDescent="0.2">
      <c r="F235" s="203">
        <v>199</v>
      </c>
      <c r="G235" s="202" t="b">
        <v>0</v>
      </c>
      <c r="H235" s="202" t="b">
        <v>0</v>
      </c>
      <c r="I235" s="202" t="b">
        <v>0</v>
      </c>
      <c r="K235" s="210">
        <v>199</v>
      </c>
    </row>
    <row r="236" spans="1:15" x14ac:dyDescent="0.2">
      <c r="F236" s="203">
        <v>200</v>
      </c>
      <c r="G236" s="202" t="b">
        <v>0</v>
      </c>
      <c r="H236" s="202" t="b">
        <v>0</v>
      </c>
      <c r="I236" s="202" t="b">
        <v>0</v>
      </c>
      <c r="K236" s="210">
        <v>200</v>
      </c>
    </row>
    <row r="238" spans="1:15" x14ac:dyDescent="0.2">
      <c r="A238" s="202" t="s">
        <v>133</v>
      </c>
      <c r="C238" s="202" t="s">
        <v>131</v>
      </c>
    </row>
    <row r="239" spans="1:15" x14ac:dyDescent="0.2">
      <c r="A239" s="202">
        <f>IF(G239,1,0)</f>
        <v>0</v>
      </c>
      <c r="C239" s="202">
        <f>IF($T$41,L239,1)</f>
        <v>1</v>
      </c>
      <c r="E239" s="202" t="s">
        <v>130</v>
      </c>
      <c r="F239" s="203">
        <v>1</v>
      </c>
      <c r="G239" s="203" t="b">
        <v>0</v>
      </c>
      <c r="H239" s="203" t="b">
        <v>0</v>
      </c>
      <c r="I239" s="203" t="b">
        <v>0</v>
      </c>
      <c r="K239" s="203">
        <v>1</v>
      </c>
      <c r="L239" s="203">
        <v>1</v>
      </c>
      <c r="M239" s="203">
        <v>1</v>
      </c>
      <c r="N239" s="203">
        <v>1</v>
      </c>
      <c r="O239" s="202" t="s">
        <v>131</v>
      </c>
    </row>
    <row r="240" spans="1:15" x14ac:dyDescent="0.2">
      <c r="A240" s="202">
        <f>IF(G240,1,0)</f>
        <v>0</v>
      </c>
      <c r="C240" s="202">
        <f>IF($T$41,L240,1)</f>
        <v>1</v>
      </c>
      <c r="F240" s="203">
        <v>2</v>
      </c>
      <c r="G240" s="203" t="b">
        <v>0</v>
      </c>
      <c r="H240" s="203" t="b">
        <v>0</v>
      </c>
      <c r="I240" s="203" t="b">
        <v>0</v>
      </c>
      <c r="K240" s="203">
        <v>2</v>
      </c>
      <c r="L240" s="203">
        <v>1</v>
      </c>
      <c r="M240" s="203">
        <v>1</v>
      </c>
      <c r="N240" s="203">
        <v>1</v>
      </c>
    </row>
    <row r="241" spans="1:14" x14ac:dyDescent="0.2">
      <c r="A241" s="202">
        <f>IF(G241,1,0)</f>
        <v>0</v>
      </c>
      <c r="C241" s="202">
        <f>IF($T$41,L241,1)</f>
        <v>1</v>
      </c>
      <c r="F241" s="203">
        <v>3</v>
      </c>
      <c r="G241" s="203" t="b">
        <v>0</v>
      </c>
      <c r="H241" s="203" t="b">
        <v>0</v>
      </c>
      <c r="I241" s="203" t="b">
        <v>0</v>
      </c>
      <c r="K241" s="203">
        <v>3</v>
      </c>
      <c r="L241" s="203">
        <v>1</v>
      </c>
      <c r="M241" s="203">
        <v>1</v>
      </c>
      <c r="N241" s="203">
        <v>1</v>
      </c>
    </row>
    <row r="242" spans="1:14" x14ac:dyDescent="0.2">
      <c r="A242" s="202">
        <f>IF(G242,1,0)</f>
        <v>0</v>
      </c>
      <c r="C242" s="202">
        <f t="shared" ref="C242:C305" si="1">IF($T$41,L242,1)</f>
        <v>1</v>
      </c>
      <c r="F242" s="203">
        <v>4</v>
      </c>
      <c r="G242" s="203" t="b">
        <v>0</v>
      </c>
      <c r="H242" s="203" t="b">
        <v>0</v>
      </c>
      <c r="I242" s="203" t="b">
        <v>0</v>
      </c>
      <c r="K242" s="203">
        <v>4</v>
      </c>
      <c r="L242" s="203">
        <v>1</v>
      </c>
      <c r="M242" s="203">
        <v>1</v>
      </c>
      <c r="N242" s="203">
        <v>1</v>
      </c>
    </row>
    <row r="243" spans="1:14" x14ac:dyDescent="0.2">
      <c r="A243" s="202">
        <f t="shared" ref="A243:A306" si="2">IF(G243,1,0)</f>
        <v>0</v>
      </c>
      <c r="C243" s="202">
        <f t="shared" si="1"/>
        <v>1</v>
      </c>
      <c r="F243" s="203">
        <v>5</v>
      </c>
      <c r="G243" s="203" t="b">
        <v>0</v>
      </c>
      <c r="H243" s="203" t="b">
        <v>0</v>
      </c>
      <c r="I243" s="203" t="b">
        <v>0</v>
      </c>
      <c r="K243" s="203">
        <v>5</v>
      </c>
      <c r="L243" s="203">
        <v>1</v>
      </c>
      <c r="M243" s="203">
        <v>1</v>
      </c>
      <c r="N243" s="203">
        <v>1</v>
      </c>
    </row>
    <row r="244" spans="1:14" x14ac:dyDescent="0.2">
      <c r="A244" s="202">
        <f t="shared" si="2"/>
        <v>0</v>
      </c>
      <c r="C244" s="202">
        <f t="shared" si="1"/>
        <v>1</v>
      </c>
      <c r="F244" s="203">
        <v>6</v>
      </c>
      <c r="G244" s="203" t="b">
        <v>0</v>
      </c>
      <c r="H244" s="203" t="b">
        <v>0</v>
      </c>
      <c r="I244" s="203" t="b">
        <v>0</v>
      </c>
      <c r="K244" s="203">
        <v>6</v>
      </c>
      <c r="L244" s="203">
        <v>1</v>
      </c>
      <c r="M244" s="203">
        <v>1</v>
      </c>
      <c r="N244" s="203">
        <v>1</v>
      </c>
    </row>
    <row r="245" spans="1:14" x14ac:dyDescent="0.2">
      <c r="A245" s="202">
        <f t="shared" si="2"/>
        <v>0</v>
      </c>
      <c r="C245" s="202">
        <f t="shared" si="1"/>
        <v>1</v>
      </c>
      <c r="F245" s="203">
        <v>7</v>
      </c>
      <c r="G245" s="203" t="b">
        <v>0</v>
      </c>
      <c r="H245" s="203" t="b">
        <v>0</v>
      </c>
      <c r="I245" s="203" t="b">
        <v>0</v>
      </c>
      <c r="K245" s="203">
        <v>7</v>
      </c>
      <c r="L245" s="203">
        <v>1</v>
      </c>
      <c r="M245" s="203">
        <v>1</v>
      </c>
      <c r="N245" s="203">
        <v>1</v>
      </c>
    </row>
    <row r="246" spans="1:14" x14ac:dyDescent="0.2">
      <c r="A246" s="202">
        <f t="shared" si="2"/>
        <v>0</v>
      </c>
      <c r="C246" s="202">
        <f t="shared" si="1"/>
        <v>1</v>
      </c>
      <c r="F246" s="203">
        <v>8</v>
      </c>
      <c r="G246" s="203" t="b">
        <v>0</v>
      </c>
      <c r="H246" s="203" t="b">
        <v>0</v>
      </c>
      <c r="I246" s="203" t="b">
        <v>0</v>
      </c>
      <c r="K246" s="203">
        <v>8</v>
      </c>
      <c r="L246" s="203">
        <v>1</v>
      </c>
      <c r="M246" s="203">
        <v>1</v>
      </c>
      <c r="N246" s="203">
        <v>1</v>
      </c>
    </row>
    <row r="247" spans="1:14" x14ac:dyDescent="0.2">
      <c r="A247" s="202">
        <f t="shared" si="2"/>
        <v>0</v>
      </c>
      <c r="C247" s="202">
        <f t="shared" si="1"/>
        <v>1</v>
      </c>
      <c r="F247" s="203">
        <v>9</v>
      </c>
      <c r="G247" s="203" t="b">
        <v>0</v>
      </c>
      <c r="H247" s="203" t="b">
        <v>0</v>
      </c>
      <c r="I247" s="203" t="b">
        <v>0</v>
      </c>
      <c r="K247" s="203">
        <v>9</v>
      </c>
      <c r="L247" s="203">
        <v>1</v>
      </c>
      <c r="M247" s="203">
        <v>1</v>
      </c>
      <c r="N247" s="203">
        <v>1</v>
      </c>
    </row>
    <row r="248" spans="1:14" x14ac:dyDescent="0.2">
      <c r="A248" s="202">
        <f t="shared" si="2"/>
        <v>0</v>
      </c>
      <c r="C248" s="202">
        <f t="shared" si="1"/>
        <v>1</v>
      </c>
      <c r="F248" s="203">
        <v>10</v>
      </c>
      <c r="G248" s="203" t="b">
        <v>0</v>
      </c>
      <c r="H248" s="203" t="b">
        <v>0</v>
      </c>
      <c r="I248" s="203" t="b">
        <v>0</v>
      </c>
      <c r="K248" s="203">
        <v>10</v>
      </c>
      <c r="L248" s="203">
        <v>1</v>
      </c>
      <c r="M248" s="203">
        <v>1</v>
      </c>
      <c r="N248" s="203">
        <v>1</v>
      </c>
    </row>
    <row r="249" spans="1:14" x14ac:dyDescent="0.2">
      <c r="A249" s="202">
        <f t="shared" si="2"/>
        <v>0</v>
      </c>
      <c r="C249" s="202">
        <f t="shared" si="1"/>
        <v>1</v>
      </c>
      <c r="F249" s="203">
        <v>11</v>
      </c>
      <c r="G249" s="203" t="b">
        <v>0</v>
      </c>
      <c r="H249" s="203" t="b">
        <v>0</v>
      </c>
      <c r="I249" s="203" t="b">
        <v>0</v>
      </c>
      <c r="K249" s="203">
        <v>11</v>
      </c>
      <c r="L249" s="203">
        <v>1</v>
      </c>
      <c r="M249" s="203">
        <v>1</v>
      </c>
      <c r="N249" s="203">
        <v>1</v>
      </c>
    </row>
    <row r="250" spans="1:14" x14ac:dyDescent="0.2">
      <c r="A250" s="202">
        <f t="shared" si="2"/>
        <v>0</v>
      </c>
      <c r="C250" s="202">
        <f t="shared" si="1"/>
        <v>1</v>
      </c>
      <c r="F250" s="203">
        <v>12</v>
      </c>
      <c r="G250" s="203" t="b">
        <v>0</v>
      </c>
      <c r="H250" s="203" t="b">
        <v>0</v>
      </c>
      <c r="I250" s="203" t="b">
        <v>0</v>
      </c>
      <c r="K250" s="203">
        <v>12</v>
      </c>
      <c r="L250" s="203">
        <v>1</v>
      </c>
      <c r="M250" s="203">
        <v>1</v>
      </c>
      <c r="N250" s="203">
        <v>1</v>
      </c>
    </row>
    <row r="251" spans="1:14" x14ac:dyDescent="0.2">
      <c r="A251" s="202">
        <f t="shared" si="2"/>
        <v>0</v>
      </c>
      <c r="C251" s="202">
        <f t="shared" si="1"/>
        <v>1</v>
      </c>
      <c r="F251" s="203">
        <v>13</v>
      </c>
      <c r="G251" s="203" t="b">
        <v>0</v>
      </c>
      <c r="H251" s="203" t="b">
        <v>0</v>
      </c>
      <c r="I251" s="203" t="b">
        <v>0</v>
      </c>
      <c r="K251" s="203">
        <v>13</v>
      </c>
      <c r="L251" s="203">
        <v>1</v>
      </c>
      <c r="M251" s="203">
        <v>1</v>
      </c>
      <c r="N251" s="203">
        <v>1</v>
      </c>
    </row>
    <row r="252" spans="1:14" x14ac:dyDescent="0.2">
      <c r="A252" s="202">
        <f t="shared" si="2"/>
        <v>0</v>
      </c>
      <c r="C252" s="202">
        <f t="shared" si="1"/>
        <v>1</v>
      </c>
      <c r="F252" s="203">
        <v>14</v>
      </c>
      <c r="G252" s="203" t="b">
        <v>0</v>
      </c>
      <c r="H252" s="203" t="b">
        <v>0</v>
      </c>
      <c r="I252" s="203" t="b">
        <v>0</v>
      </c>
      <c r="K252" s="203">
        <v>14</v>
      </c>
      <c r="L252" s="203">
        <v>1</v>
      </c>
      <c r="M252" s="203">
        <v>1</v>
      </c>
      <c r="N252" s="203">
        <v>1</v>
      </c>
    </row>
    <row r="253" spans="1:14" x14ac:dyDescent="0.2">
      <c r="A253" s="202">
        <f t="shared" si="2"/>
        <v>0</v>
      </c>
      <c r="C253" s="202">
        <f t="shared" si="1"/>
        <v>1</v>
      </c>
      <c r="F253" s="203">
        <v>15</v>
      </c>
      <c r="G253" s="203" t="b">
        <v>0</v>
      </c>
      <c r="H253" s="203" t="b">
        <v>0</v>
      </c>
      <c r="I253" s="203" t="b">
        <v>0</v>
      </c>
      <c r="K253" s="203">
        <v>15</v>
      </c>
      <c r="L253" s="203">
        <v>1</v>
      </c>
      <c r="M253" s="203">
        <v>1</v>
      </c>
      <c r="N253" s="203">
        <v>1</v>
      </c>
    </row>
    <row r="254" spans="1:14" x14ac:dyDescent="0.2">
      <c r="A254" s="202">
        <f t="shared" si="2"/>
        <v>0</v>
      </c>
      <c r="C254" s="202">
        <f t="shared" si="1"/>
        <v>1</v>
      </c>
      <c r="F254" s="203">
        <v>16</v>
      </c>
      <c r="G254" s="203" t="b">
        <v>0</v>
      </c>
      <c r="H254" s="203" t="b">
        <v>0</v>
      </c>
      <c r="I254" s="203" t="b">
        <v>0</v>
      </c>
      <c r="K254" s="203">
        <v>16</v>
      </c>
      <c r="L254" s="203">
        <v>1</v>
      </c>
      <c r="M254" s="203">
        <v>1</v>
      </c>
      <c r="N254" s="203">
        <v>1</v>
      </c>
    </row>
    <row r="255" spans="1:14" x14ac:dyDescent="0.2">
      <c r="A255" s="202">
        <f t="shared" si="2"/>
        <v>0</v>
      </c>
      <c r="C255" s="202">
        <f t="shared" si="1"/>
        <v>1</v>
      </c>
      <c r="F255" s="203">
        <v>17</v>
      </c>
      <c r="G255" s="203" t="b">
        <v>0</v>
      </c>
      <c r="H255" s="203" t="b">
        <v>0</v>
      </c>
      <c r="I255" s="203" t="b">
        <v>0</v>
      </c>
      <c r="K255" s="203">
        <v>17</v>
      </c>
      <c r="L255" s="203">
        <v>1</v>
      </c>
      <c r="M255" s="203">
        <v>1</v>
      </c>
      <c r="N255" s="203">
        <v>1</v>
      </c>
    </row>
    <row r="256" spans="1:14" x14ac:dyDescent="0.2">
      <c r="A256" s="202">
        <f t="shared" si="2"/>
        <v>0</v>
      </c>
      <c r="C256" s="202">
        <f t="shared" si="1"/>
        <v>1</v>
      </c>
      <c r="F256" s="203">
        <v>18</v>
      </c>
      <c r="G256" s="203" t="b">
        <v>0</v>
      </c>
      <c r="H256" s="203" t="b">
        <v>0</v>
      </c>
      <c r="I256" s="203" t="b">
        <v>0</v>
      </c>
      <c r="K256" s="203">
        <v>18</v>
      </c>
      <c r="L256" s="203">
        <v>1</v>
      </c>
      <c r="M256" s="203">
        <v>1</v>
      </c>
      <c r="N256" s="203">
        <v>1</v>
      </c>
    </row>
    <row r="257" spans="1:14" x14ac:dyDescent="0.2">
      <c r="A257" s="202">
        <f t="shared" si="2"/>
        <v>0</v>
      </c>
      <c r="C257" s="202">
        <f t="shared" si="1"/>
        <v>1</v>
      </c>
      <c r="F257" s="203">
        <v>19</v>
      </c>
      <c r="G257" s="203" t="b">
        <v>0</v>
      </c>
      <c r="H257" s="203" t="b">
        <v>0</v>
      </c>
      <c r="I257" s="203" t="b">
        <v>0</v>
      </c>
      <c r="K257" s="203">
        <v>19</v>
      </c>
      <c r="L257" s="203">
        <v>1</v>
      </c>
      <c r="M257" s="203">
        <v>1</v>
      </c>
      <c r="N257" s="203">
        <v>1</v>
      </c>
    </row>
    <row r="258" spans="1:14" x14ac:dyDescent="0.2">
      <c r="A258" s="202">
        <f t="shared" si="2"/>
        <v>0</v>
      </c>
      <c r="C258" s="202">
        <f t="shared" si="1"/>
        <v>1</v>
      </c>
      <c r="F258" s="203">
        <v>20</v>
      </c>
      <c r="G258" s="203" t="b">
        <v>0</v>
      </c>
      <c r="H258" s="203" t="b">
        <v>0</v>
      </c>
      <c r="I258" s="203" t="b">
        <v>0</v>
      </c>
      <c r="K258" s="203">
        <v>20</v>
      </c>
      <c r="L258" s="203">
        <v>1</v>
      </c>
      <c r="M258" s="203">
        <v>1</v>
      </c>
      <c r="N258" s="203">
        <v>1</v>
      </c>
    </row>
    <row r="259" spans="1:14" x14ac:dyDescent="0.2">
      <c r="A259" s="202">
        <f t="shared" si="2"/>
        <v>0</v>
      </c>
      <c r="C259" s="202">
        <f t="shared" si="1"/>
        <v>1</v>
      </c>
      <c r="F259" s="203">
        <v>21</v>
      </c>
      <c r="G259" s="203" t="b">
        <v>0</v>
      </c>
      <c r="H259" s="203" t="b">
        <v>0</v>
      </c>
      <c r="I259" s="203" t="b">
        <v>0</v>
      </c>
      <c r="K259" s="203">
        <v>21</v>
      </c>
      <c r="L259" s="203">
        <v>1</v>
      </c>
      <c r="M259" s="203">
        <v>1</v>
      </c>
      <c r="N259" s="203">
        <v>1</v>
      </c>
    </row>
    <row r="260" spans="1:14" x14ac:dyDescent="0.2">
      <c r="A260" s="202">
        <f t="shared" si="2"/>
        <v>0</v>
      </c>
      <c r="C260" s="202">
        <f t="shared" si="1"/>
        <v>1</v>
      </c>
      <c r="F260" s="203">
        <v>22</v>
      </c>
      <c r="G260" s="203" t="b">
        <v>0</v>
      </c>
      <c r="H260" s="203" t="b">
        <v>0</v>
      </c>
      <c r="I260" s="203" t="b">
        <v>0</v>
      </c>
      <c r="K260" s="203">
        <v>22</v>
      </c>
      <c r="L260" s="203">
        <v>1</v>
      </c>
      <c r="M260" s="203">
        <v>1</v>
      </c>
      <c r="N260" s="203">
        <v>1</v>
      </c>
    </row>
    <row r="261" spans="1:14" x14ac:dyDescent="0.2">
      <c r="A261" s="202">
        <f t="shared" si="2"/>
        <v>0</v>
      </c>
      <c r="C261" s="202">
        <f t="shared" si="1"/>
        <v>1</v>
      </c>
      <c r="F261" s="203">
        <v>23</v>
      </c>
      <c r="G261" s="203" t="b">
        <v>0</v>
      </c>
      <c r="H261" s="203" t="b">
        <v>0</v>
      </c>
      <c r="I261" s="203" t="b">
        <v>0</v>
      </c>
      <c r="K261" s="203">
        <v>23</v>
      </c>
      <c r="L261" s="203">
        <v>1</v>
      </c>
      <c r="M261" s="203">
        <v>1</v>
      </c>
      <c r="N261" s="203">
        <v>1</v>
      </c>
    </row>
    <row r="262" spans="1:14" x14ac:dyDescent="0.2">
      <c r="A262" s="202">
        <f t="shared" si="2"/>
        <v>0</v>
      </c>
      <c r="C262" s="202">
        <f t="shared" si="1"/>
        <v>1</v>
      </c>
      <c r="F262" s="203">
        <v>24</v>
      </c>
      <c r="G262" s="203" t="b">
        <v>0</v>
      </c>
      <c r="H262" s="203" t="b">
        <v>0</v>
      </c>
      <c r="I262" s="203" t="b">
        <v>0</v>
      </c>
      <c r="K262" s="203">
        <v>24</v>
      </c>
      <c r="L262" s="203">
        <v>1</v>
      </c>
      <c r="M262" s="203">
        <v>1</v>
      </c>
      <c r="N262" s="203">
        <v>1</v>
      </c>
    </row>
    <row r="263" spans="1:14" x14ac:dyDescent="0.2">
      <c r="A263" s="202">
        <f t="shared" si="2"/>
        <v>0</v>
      </c>
      <c r="C263" s="202">
        <f t="shared" si="1"/>
        <v>1</v>
      </c>
      <c r="F263" s="203">
        <v>25</v>
      </c>
      <c r="G263" s="203" t="b">
        <v>0</v>
      </c>
      <c r="H263" s="203" t="b">
        <v>0</v>
      </c>
      <c r="I263" s="203" t="b">
        <v>0</v>
      </c>
      <c r="K263" s="203">
        <v>25</v>
      </c>
      <c r="L263" s="203">
        <v>1</v>
      </c>
      <c r="M263" s="203">
        <v>1</v>
      </c>
      <c r="N263" s="203">
        <v>1</v>
      </c>
    </row>
    <row r="264" spans="1:14" x14ac:dyDescent="0.2">
      <c r="A264" s="202">
        <f t="shared" si="2"/>
        <v>0</v>
      </c>
      <c r="C264" s="202">
        <f t="shared" si="1"/>
        <v>1</v>
      </c>
      <c r="F264" s="203">
        <v>26</v>
      </c>
      <c r="G264" s="203" t="b">
        <v>0</v>
      </c>
      <c r="H264" s="203" t="b">
        <v>0</v>
      </c>
      <c r="I264" s="203" t="b">
        <v>0</v>
      </c>
      <c r="K264" s="203">
        <v>26</v>
      </c>
      <c r="L264" s="203">
        <v>1</v>
      </c>
      <c r="M264" s="203">
        <v>1</v>
      </c>
      <c r="N264" s="203">
        <v>1</v>
      </c>
    </row>
    <row r="265" spans="1:14" x14ac:dyDescent="0.2">
      <c r="A265" s="202">
        <f t="shared" si="2"/>
        <v>0</v>
      </c>
      <c r="C265" s="202">
        <f t="shared" si="1"/>
        <v>1</v>
      </c>
      <c r="F265" s="203">
        <v>27</v>
      </c>
      <c r="G265" s="203" t="b">
        <v>0</v>
      </c>
      <c r="H265" s="203" t="b">
        <v>0</v>
      </c>
      <c r="I265" s="203" t="b">
        <v>0</v>
      </c>
      <c r="K265" s="203">
        <v>27</v>
      </c>
      <c r="L265" s="203">
        <v>1</v>
      </c>
      <c r="M265" s="203">
        <v>1</v>
      </c>
      <c r="N265" s="203">
        <v>1</v>
      </c>
    </row>
    <row r="266" spans="1:14" x14ac:dyDescent="0.2">
      <c r="A266" s="202">
        <f t="shared" si="2"/>
        <v>0</v>
      </c>
      <c r="C266" s="202">
        <f t="shared" si="1"/>
        <v>1</v>
      </c>
      <c r="F266" s="203">
        <v>28</v>
      </c>
      <c r="G266" s="203" t="b">
        <v>0</v>
      </c>
      <c r="H266" s="203" t="b">
        <v>0</v>
      </c>
      <c r="I266" s="203" t="b">
        <v>0</v>
      </c>
      <c r="K266" s="203">
        <v>28</v>
      </c>
      <c r="L266" s="203">
        <v>1</v>
      </c>
      <c r="M266" s="203">
        <v>1</v>
      </c>
      <c r="N266" s="203">
        <v>1</v>
      </c>
    </row>
    <row r="267" spans="1:14" x14ac:dyDescent="0.2">
      <c r="A267" s="202">
        <f t="shared" si="2"/>
        <v>0</v>
      </c>
      <c r="C267" s="202">
        <f t="shared" si="1"/>
        <v>1</v>
      </c>
      <c r="F267" s="203">
        <v>29</v>
      </c>
      <c r="G267" s="203" t="b">
        <v>0</v>
      </c>
      <c r="H267" s="203" t="b">
        <v>0</v>
      </c>
      <c r="I267" s="203" t="b">
        <v>0</v>
      </c>
      <c r="K267" s="203">
        <v>29</v>
      </c>
      <c r="L267" s="203">
        <v>1</v>
      </c>
      <c r="M267" s="203">
        <v>1</v>
      </c>
      <c r="N267" s="203">
        <v>1</v>
      </c>
    </row>
    <row r="268" spans="1:14" x14ac:dyDescent="0.2">
      <c r="A268" s="202">
        <f t="shared" si="2"/>
        <v>0</v>
      </c>
      <c r="C268" s="202">
        <f t="shared" si="1"/>
        <v>1</v>
      </c>
      <c r="F268" s="203">
        <v>30</v>
      </c>
      <c r="G268" s="203" t="b">
        <v>0</v>
      </c>
      <c r="H268" s="203" t="b">
        <v>0</v>
      </c>
      <c r="I268" s="203" t="b">
        <v>0</v>
      </c>
      <c r="K268" s="203">
        <v>30</v>
      </c>
      <c r="L268" s="203">
        <v>1</v>
      </c>
      <c r="M268" s="203">
        <v>1</v>
      </c>
      <c r="N268" s="203">
        <v>1</v>
      </c>
    </row>
    <row r="269" spans="1:14" x14ac:dyDescent="0.2">
      <c r="A269" s="202">
        <f t="shared" si="2"/>
        <v>0</v>
      </c>
      <c r="C269" s="202">
        <f t="shared" si="1"/>
        <v>1</v>
      </c>
      <c r="F269" s="203">
        <v>31</v>
      </c>
      <c r="G269" s="203" t="b">
        <v>0</v>
      </c>
      <c r="H269" s="203" t="b">
        <v>0</v>
      </c>
      <c r="I269" s="203" t="b">
        <v>0</v>
      </c>
      <c r="K269" s="203">
        <v>31</v>
      </c>
      <c r="L269" s="203">
        <v>1</v>
      </c>
      <c r="M269" s="203">
        <v>1</v>
      </c>
      <c r="N269" s="203">
        <v>1</v>
      </c>
    </row>
    <row r="270" spans="1:14" x14ac:dyDescent="0.2">
      <c r="A270" s="202">
        <f t="shared" si="2"/>
        <v>0</v>
      </c>
      <c r="C270" s="202">
        <f t="shared" si="1"/>
        <v>1</v>
      </c>
      <c r="F270" s="203">
        <v>32</v>
      </c>
      <c r="G270" s="203" t="b">
        <v>0</v>
      </c>
      <c r="H270" s="203" t="b">
        <v>0</v>
      </c>
      <c r="I270" s="203" t="b">
        <v>0</v>
      </c>
      <c r="K270" s="203">
        <v>32</v>
      </c>
      <c r="L270" s="203">
        <v>1</v>
      </c>
      <c r="M270" s="203">
        <v>1</v>
      </c>
      <c r="N270" s="203">
        <v>1</v>
      </c>
    </row>
    <row r="271" spans="1:14" x14ac:dyDescent="0.2">
      <c r="A271" s="202">
        <f t="shared" si="2"/>
        <v>0</v>
      </c>
      <c r="C271" s="202">
        <f t="shared" si="1"/>
        <v>1</v>
      </c>
      <c r="F271" s="203">
        <v>33</v>
      </c>
      <c r="G271" s="203" t="b">
        <v>0</v>
      </c>
      <c r="H271" s="203" t="b">
        <v>0</v>
      </c>
      <c r="I271" s="203" t="b">
        <v>0</v>
      </c>
      <c r="K271" s="203">
        <v>33</v>
      </c>
      <c r="L271" s="203">
        <v>1</v>
      </c>
      <c r="M271" s="203">
        <v>1</v>
      </c>
      <c r="N271" s="203">
        <v>1</v>
      </c>
    </row>
    <row r="272" spans="1:14" x14ac:dyDescent="0.2">
      <c r="A272" s="202">
        <f t="shared" si="2"/>
        <v>0</v>
      </c>
      <c r="C272" s="202">
        <f t="shared" si="1"/>
        <v>1</v>
      </c>
      <c r="F272" s="203">
        <v>34</v>
      </c>
      <c r="G272" s="203" t="b">
        <v>0</v>
      </c>
      <c r="H272" s="203" t="b">
        <v>0</v>
      </c>
      <c r="I272" s="203" t="b">
        <v>0</v>
      </c>
      <c r="K272" s="203">
        <v>34</v>
      </c>
      <c r="L272" s="203">
        <v>1</v>
      </c>
      <c r="M272" s="203">
        <v>1</v>
      </c>
      <c r="N272" s="203">
        <v>1</v>
      </c>
    </row>
    <row r="273" spans="1:14" x14ac:dyDescent="0.2">
      <c r="A273" s="202">
        <f t="shared" si="2"/>
        <v>0</v>
      </c>
      <c r="C273" s="202">
        <f t="shared" si="1"/>
        <v>1</v>
      </c>
      <c r="F273" s="203">
        <v>35</v>
      </c>
      <c r="G273" s="203" t="b">
        <v>0</v>
      </c>
      <c r="H273" s="203" t="b">
        <v>0</v>
      </c>
      <c r="I273" s="203" t="b">
        <v>0</v>
      </c>
      <c r="K273" s="203">
        <v>35</v>
      </c>
      <c r="L273" s="203">
        <v>1</v>
      </c>
      <c r="M273" s="203">
        <v>1</v>
      </c>
      <c r="N273" s="203">
        <v>1</v>
      </c>
    </row>
    <row r="274" spans="1:14" x14ac:dyDescent="0.2">
      <c r="A274" s="202">
        <f t="shared" si="2"/>
        <v>0</v>
      </c>
      <c r="C274" s="202">
        <f t="shared" si="1"/>
        <v>1</v>
      </c>
      <c r="F274" s="203">
        <v>36</v>
      </c>
      <c r="G274" s="203" t="b">
        <v>0</v>
      </c>
      <c r="H274" s="203" t="b">
        <v>0</v>
      </c>
      <c r="I274" s="203" t="b">
        <v>0</v>
      </c>
      <c r="K274" s="203">
        <v>36</v>
      </c>
      <c r="L274" s="203">
        <v>1</v>
      </c>
      <c r="M274" s="203">
        <v>1</v>
      </c>
      <c r="N274" s="203">
        <v>1</v>
      </c>
    </row>
    <row r="275" spans="1:14" x14ac:dyDescent="0.2">
      <c r="A275" s="202">
        <f t="shared" si="2"/>
        <v>0</v>
      </c>
      <c r="C275" s="202">
        <f t="shared" si="1"/>
        <v>1</v>
      </c>
      <c r="F275" s="203">
        <v>37</v>
      </c>
      <c r="G275" s="203" t="b">
        <v>0</v>
      </c>
      <c r="H275" s="203" t="b">
        <v>0</v>
      </c>
      <c r="I275" s="203" t="b">
        <v>0</v>
      </c>
      <c r="K275" s="203">
        <v>37</v>
      </c>
      <c r="L275" s="203">
        <v>1</v>
      </c>
      <c r="M275" s="203">
        <v>1</v>
      </c>
      <c r="N275" s="203">
        <v>1</v>
      </c>
    </row>
    <row r="276" spans="1:14" x14ac:dyDescent="0.2">
      <c r="A276" s="202">
        <f t="shared" si="2"/>
        <v>0</v>
      </c>
      <c r="C276" s="202">
        <f t="shared" si="1"/>
        <v>1</v>
      </c>
      <c r="F276" s="203">
        <v>38</v>
      </c>
      <c r="G276" s="203" t="b">
        <v>0</v>
      </c>
      <c r="H276" s="203" t="b">
        <v>0</v>
      </c>
      <c r="I276" s="203" t="b">
        <v>0</v>
      </c>
      <c r="K276" s="203">
        <v>38</v>
      </c>
      <c r="L276" s="203">
        <v>1</v>
      </c>
      <c r="M276" s="203">
        <v>1</v>
      </c>
      <c r="N276" s="203">
        <v>1</v>
      </c>
    </row>
    <row r="277" spans="1:14" x14ac:dyDescent="0.2">
      <c r="A277" s="202">
        <f t="shared" si="2"/>
        <v>0</v>
      </c>
      <c r="C277" s="202">
        <f t="shared" si="1"/>
        <v>1</v>
      </c>
      <c r="F277" s="203">
        <v>39</v>
      </c>
      <c r="G277" s="203" t="b">
        <v>0</v>
      </c>
      <c r="H277" s="203" t="b">
        <v>0</v>
      </c>
      <c r="I277" s="203" t="b">
        <v>0</v>
      </c>
      <c r="K277" s="203">
        <v>39</v>
      </c>
      <c r="L277" s="203">
        <v>1</v>
      </c>
      <c r="M277" s="203">
        <v>1</v>
      </c>
      <c r="N277" s="203">
        <v>1</v>
      </c>
    </row>
    <row r="278" spans="1:14" x14ac:dyDescent="0.2">
      <c r="A278" s="202">
        <f t="shared" si="2"/>
        <v>0</v>
      </c>
      <c r="C278" s="202">
        <f t="shared" si="1"/>
        <v>1</v>
      </c>
      <c r="F278" s="203">
        <v>40</v>
      </c>
      <c r="G278" s="203" t="b">
        <v>0</v>
      </c>
      <c r="H278" s="203" t="b">
        <v>0</v>
      </c>
      <c r="I278" s="203" t="b">
        <v>0</v>
      </c>
      <c r="K278" s="203">
        <v>40</v>
      </c>
      <c r="L278" s="203">
        <v>1</v>
      </c>
      <c r="M278" s="203">
        <v>1</v>
      </c>
      <c r="N278" s="203">
        <v>1</v>
      </c>
    </row>
    <row r="279" spans="1:14" x14ac:dyDescent="0.2">
      <c r="A279" s="202">
        <f t="shared" si="2"/>
        <v>0</v>
      </c>
      <c r="C279" s="202">
        <f t="shared" si="1"/>
        <v>1</v>
      </c>
      <c r="F279" s="203">
        <v>41</v>
      </c>
      <c r="G279" s="203" t="b">
        <v>0</v>
      </c>
      <c r="H279" s="203" t="b">
        <v>0</v>
      </c>
      <c r="I279" s="203" t="b">
        <v>0</v>
      </c>
      <c r="K279" s="203">
        <v>41</v>
      </c>
      <c r="L279" s="203">
        <v>1</v>
      </c>
      <c r="M279" s="203">
        <v>1</v>
      </c>
      <c r="N279" s="203">
        <v>1</v>
      </c>
    </row>
    <row r="280" spans="1:14" x14ac:dyDescent="0.2">
      <c r="A280" s="202">
        <f t="shared" si="2"/>
        <v>0</v>
      </c>
      <c r="C280" s="202">
        <f t="shared" si="1"/>
        <v>1</v>
      </c>
      <c r="F280" s="203">
        <v>42</v>
      </c>
      <c r="G280" s="203" t="b">
        <v>0</v>
      </c>
      <c r="H280" s="203" t="b">
        <v>0</v>
      </c>
      <c r="I280" s="203" t="b">
        <v>0</v>
      </c>
      <c r="K280" s="203">
        <v>42</v>
      </c>
      <c r="L280" s="203">
        <v>1</v>
      </c>
      <c r="M280" s="203">
        <v>1</v>
      </c>
      <c r="N280" s="203">
        <v>1</v>
      </c>
    </row>
    <row r="281" spans="1:14" x14ac:dyDescent="0.2">
      <c r="A281" s="202">
        <f t="shared" si="2"/>
        <v>0</v>
      </c>
      <c r="C281" s="202">
        <f t="shared" si="1"/>
        <v>1</v>
      </c>
      <c r="F281" s="203">
        <v>43</v>
      </c>
      <c r="G281" s="203" t="b">
        <v>0</v>
      </c>
      <c r="H281" s="203" t="b">
        <v>0</v>
      </c>
      <c r="I281" s="203" t="b">
        <v>0</v>
      </c>
      <c r="K281" s="203">
        <v>43</v>
      </c>
      <c r="L281" s="203">
        <v>1</v>
      </c>
      <c r="M281" s="203">
        <v>1</v>
      </c>
      <c r="N281" s="203">
        <v>1</v>
      </c>
    </row>
    <row r="282" spans="1:14" x14ac:dyDescent="0.2">
      <c r="A282" s="202">
        <f t="shared" si="2"/>
        <v>0</v>
      </c>
      <c r="C282" s="202">
        <f t="shared" si="1"/>
        <v>1</v>
      </c>
      <c r="F282" s="203">
        <v>44</v>
      </c>
      <c r="G282" s="203" t="b">
        <v>0</v>
      </c>
      <c r="H282" s="203" t="b">
        <v>0</v>
      </c>
      <c r="I282" s="203" t="b">
        <v>0</v>
      </c>
      <c r="K282" s="203">
        <v>44</v>
      </c>
      <c r="L282" s="203">
        <v>1</v>
      </c>
      <c r="M282" s="203">
        <v>1</v>
      </c>
      <c r="N282" s="203">
        <v>1</v>
      </c>
    </row>
    <row r="283" spans="1:14" x14ac:dyDescent="0.2">
      <c r="A283" s="202">
        <f t="shared" si="2"/>
        <v>0</v>
      </c>
      <c r="C283" s="202">
        <f t="shared" si="1"/>
        <v>1</v>
      </c>
      <c r="F283" s="203">
        <v>45</v>
      </c>
      <c r="G283" s="203" t="b">
        <v>0</v>
      </c>
      <c r="H283" s="203" t="b">
        <v>0</v>
      </c>
      <c r="I283" s="203" t="b">
        <v>0</v>
      </c>
      <c r="K283" s="203">
        <v>45</v>
      </c>
      <c r="L283" s="203">
        <v>1</v>
      </c>
      <c r="M283" s="203">
        <v>1</v>
      </c>
      <c r="N283" s="203">
        <v>1</v>
      </c>
    </row>
    <row r="284" spans="1:14" x14ac:dyDescent="0.2">
      <c r="A284" s="202">
        <f t="shared" si="2"/>
        <v>0</v>
      </c>
      <c r="C284" s="202">
        <f t="shared" si="1"/>
        <v>1</v>
      </c>
      <c r="F284" s="203">
        <v>46</v>
      </c>
      <c r="G284" s="203" t="b">
        <v>0</v>
      </c>
      <c r="H284" s="203" t="b">
        <v>0</v>
      </c>
      <c r="I284" s="203" t="b">
        <v>0</v>
      </c>
      <c r="K284" s="203">
        <v>46</v>
      </c>
      <c r="L284" s="203">
        <v>1</v>
      </c>
      <c r="M284" s="203">
        <v>1</v>
      </c>
      <c r="N284" s="203">
        <v>1</v>
      </c>
    </row>
    <row r="285" spans="1:14" x14ac:dyDescent="0.2">
      <c r="A285" s="202">
        <f t="shared" si="2"/>
        <v>0</v>
      </c>
      <c r="C285" s="202">
        <f t="shared" si="1"/>
        <v>1</v>
      </c>
      <c r="F285" s="203">
        <v>47</v>
      </c>
      <c r="G285" s="203" t="b">
        <v>0</v>
      </c>
      <c r="H285" s="203" t="b">
        <v>0</v>
      </c>
      <c r="I285" s="203" t="b">
        <v>0</v>
      </c>
      <c r="K285" s="203">
        <v>47</v>
      </c>
      <c r="L285" s="203">
        <v>1</v>
      </c>
      <c r="M285" s="203">
        <v>1</v>
      </c>
      <c r="N285" s="203">
        <v>1</v>
      </c>
    </row>
    <row r="286" spans="1:14" x14ac:dyDescent="0.2">
      <c r="A286" s="202">
        <f t="shared" si="2"/>
        <v>0</v>
      </c>
      <c r="C286" s="202">
        <f t="shared" si="1"/>
        <v>1</v>
      </c>
      <c r="F286" s="203">
        <v>48</v>
      </c>
      <c r="G286" s="203" t="b">
        <v>0</v>
      </c>
      <c r="H286" s="203" t="b">
        <v>0</v>
      </c>
      <c r="I286" s="203" t="b">
        <v>0</v>
      </c>
      <c r="K286" s="203">
        <v>48</v>
      </c>
      <c r="L286" s="203">
        <v>1</v>
      </c>
      <c r="M286" s="203">
        <v>1</v>
      </c>
      <c r="N286" s="203">
        <v>1</v>
      </c>
    </row>
    <row r="287" spans="1:14" x14ac:dyDescent="0.2">
      <c r="A287" s="202">
        <f t="shared" si="2"/>
        <v>0</v>
      </c>
      <c r="C287" s="202">
        <f t="shared" si="1"/>
        <v>1</v>
      </c>
      <c r="F287" s="203">
        <v>49</v>
      </c>
      <c r="G287" s="203" t="b">
        <v>0</v>
      </c>
      <c r="H287" s="203" t="b">
        <v>0</v>
      </c>
      <c r="I287" s="203" t="b">
        <v>0</v>
      </c>
      <c r="K287" s="203">
        <v>49</v>
      </c>
      <c r="L287" s="203">
        <v>1</v>
      </c>
      <c r="M287" s="203">
        <v>1</v>
      </c>
      <c r="N287" s="203">
        <v>1</v>
      </c>
    </row>
    <row r="288" spans="1:14" x14ac:dyDescent="0.2">
      <c r="A288" s="202">
        <f t="shared" si="2"/>
        <v>0</v>
      </c>
      <c r="C288" s="202">
        <f t="shared" si="1"/>
        <v>1</v>
      </c>
      <c r="F288" s="203">
        <v>50</v>
      </c>
      <c r="G288" s="203" t="b">
        <v>0</v>
      </c>
      <c r="H288" s="203" t="b">
        <v>0</v>
      </c>
      <c r="I288" s="203" t="b">
        <v>0</v>
      </c>
      <c r="K288" s="203">
        <v>50</v>
      </c>
      <c r="L288" s="203">
        <v>1</v>
      </c>
      <c r="M288" s="203">
        <v>1</v>
      </c>
      <c r="N288" s="203">
        <v>1</v>
      </c>
    </row>
    <row r="289" spans="1:14" x14ac:dyDescent="0.2">
      <c r="A289" s="202">
        <f t="shared" si="2"/>
        <v>0</v>
      </c>
      <c r="C289" s="202">
        <f t="shared" si="1"/>
        <v>1</v>
      </c>
      <c r="F289" s="203">
        <v>51</v>
      </c>
      <c r="G289" s="203" t="b">
        <v>0</v>
      </c>
      <c r="H289" s="203" t="b">
        <v>0</v>
      </c>
      <c r="I289" s="203" t="b">
        <v>0</v>
      </c>
      <c r="K289" s="203">
        <v>51</v>
      </c>
      <c r="L289" s="203">
        <v>1</v>
      </c>
      <c r="M289" s="203">
        <v>1</v>
      </c>
      <c r="N289" s="203">
        <v>1</v>
      </c>
    </row>
    <row r="290" spans="1:14" x14ac:dyDescent="0.2">
      <c r="A290" s="202">
        <f t="shared" si="2"/>
        <v>0</v>
      </c>
      <c r="C290" s="202">
        <f t="shared" si="1"/>
        <v>1</v>
      </c>
      <c r="F290" s="203">
        <v>52</v>
      </c>
      <c r="G290" s="203" t="b">
        <v>0</v>
      </c>
      <c r="H290" s="203" t="b">
        <v>0</v>
      </c>
      <c r="I290" s="203" t="b">
        <v>0</v>
      </c>
      <c r="K290" s="203">
        <v>52</v>
      </c>
      <c r="L290" s="203">
        <v>1</v>
      </c>
      <c r="M290" s="203">
        <v>1</v>
      </c>
      <c r="N290" s="203">
        <v>1</v>
      </c>
    </row>
    <row r="291" spans="1:14" x14ac:dyDescent="0.2">
      <c r="A291" s="202">
        <f t="shared" si="2"/>
        <v>0</v>
      </c>
      <c r="C291" s="202">
        <f t="shared" si="1"/>
        <v>1</v>
      </c>
      <c r="F291" s="203">
        <v>53</v>
      </c>
      <c r="G291" s="203" t="b">
        <v>0</v>
      </c>
      <c r="H291" s="203" t="b">
        <v>0</v>
      </c>
      <c r="I291" s="203" t="b">
        <v>0</v>
      </c>
      <c r="K291" s="203">
        <v>53</v>
      </c>
      <c r="L291" s="203">
        <v>1</v>
      </c>
      <c r="M291" s="203">
        <v>1</v>
      </c>
      <c r="N291" s="203">
        <v>1</v>
      </c>
    </row>
    <row r="292" spans="1:14" x14ac:dyDescent="0.2">
      <c r="A292" s="202">
        <f t="shared" si="2"/>
        <v>0</v>
      </c>
      <c r="C292" s="202">
        <f t="shared" si="1"/>
        <v>1</v>
      </c>
      <c r="F292" s="203">
        <v>54</v>
      </c>
      <c r="G292" s="203" t="b">
        <v>0</v>
      </c>
      <c r="H292" s="203" t="b">
        <v>0</v>
      </c>
      <c r="I292" s="203" t="b">
        <v>0</v>
      </c>
      <c r="K292" s="203">
        <v>54</v>
      </c>
      <c r="L292" s="203">
        <v>1</v>
      </c>
      <c r="M292" s="203">
        <v>1</v>
      </c>
      <c r="N292" s="203">
        <v>1</v>
      </c>
    </row>
    <row r="293" spans="1:14" x14ac:dyDescent="0.2">
      <c r="A293" s="202">
        <f t="shared" si="2"/>
        <v>0</v>
      </c>
      <c r="C293" s="202">
        <f t="shared" si="1"/>
        <v>1</v>
      </c>
      <c r="F293" s="203">
        <v>55</v>
      </c>
      <c r="G293" s="203" t="b">
        <v>0</v>
      </c>
      <c r="H293" s="203" t="b">
        <v>0</v>
      </c>
      <c r="I293" s="203" t="b">
        <v>0</v>
      </c>
      <c r="K293" s="203">
        <v>55</v>
      </c>
      <c r="L293" s="203">
        <v>1</v>
      </c>
      <c r="M293" s="203">
        <v>1</v>
      </c>
      <c r="N293" s="203">
        <v>1</v>
      </c>
    </row>
    <row r="294" spans="1:14" x14ac:dyDescent="0.2">
      <c r="A294" s="202">
        <f t="shared" si="2"/>
        <v>0</v>
      </c>
      <c r="C294" s="202">
        <f t="shared" si="1"/>
        <v>1</v>
      </c>
      <c r="F294" s="203">
        <v>56</v>
      </c>
      <c r="G294" s="203" t="b">
        <v>0</v>
      </c>
      <c r="H294" s="203" t="b">
        <v>0</v>
      </c>
      <c r="I294" s="203" t="b">
        <v>0</v>
      </c>
      <c r="K294" s="203">
        <v>56</v>
      </c>
      <c r="L294" s="203">
        <v>1</v>
      </c>
      <c r="M294" s="203">
        <v>1</v>
      </c>
      <c r="N294" s="203">
        <v>1</v>
      </c>
    </row>
    <row r="295" spans="1:14" x14ac:dyDescent="0.2">
      <c r="A295" s="202">
        <f t="shared" si="2"/>
        <v>0</v>
      </c>
      <c r="C295" s="202">
        <f t="shared" si="1"/>
        <v>1</v>
      </c>
      <c r="F295" s="203">
        <v>57</v>
      </c>
      <c r="G295" s="203" t="b">
        <v>0</v>
      </c>
      <c r="H295" s="203" t="b">
        <v>0</v>
      </c>
      <c r="I295" s="203" t="b">
        <v>0</v>
      </c>
      <c r="K295" s="203">
        <v>57</v>
      </c>
      <c r="L295" s="203">
        <v>1</v>
      </c>
      <c r="M295" s="203">
        <v>1</v>
      </c>
      <c r="N295" s="203">
        <v>1</v>
      </c>
    </row>
    <row r="296" spans="1:14" x14ac:dyDescent="0.2">
      <c r="A296" s="202">
        <f t="shared" si="2"/>
        <v>0</v>
      </c>
      <c r="C296" s="202">
        <f t="shared" si="1"/>
        <v>1</v>
      </c>
      <c r="F296" s="203">
        <v>58</v>
      </c>
      <c r="G296" s="203" t="b">
        <v>0</v>
      </c>
      <c r="H296" s="203" t="b">
        <v>0</v>
      </c>
      <c r="I296" s="203" t="b">
        <v>0</v>
      </c>
      <c r="K296" s="203">
        <v>58</v>
      </c>
      <c r="L296" s="203">
        <v>1</v>
      </c>
      <c r="M296" s="203">
        <v>1</v>
      </c>
      <c r="N296" s="203">
        <v>1</v>
      </c>
    </row>
    <row r="297" spans="1:14" x14ac:dyDescent="0.2">
      <c r="A297" s="202">
        <f t="shared" si="2"/>
        <v>0</v>
      </c>
      <c r="C297" s="202">
        <f t="shared" si="1"/>
        <v>1</v>
      </c>
      <c r="F297" s="203">
        <v>59</v>
      </c>
      <c r="G297" s="203" t="b">
        <v>0</v>
      </c>
      <c r="H297" s="203" t="b">
        <v>0</v>
      </c>
      <c r="I297" s="203" t="b">
        <v>0</v>
      </c>
      <c r="K297" s="203">
        <v>59</v>
      </c>
      <c r="L297" s="203">
        <v>1</v>
      </c>
      <c r="M297" s="203">
        <v>1</v>
      </c>
      <c r="N297" s="203">
        <v>1</v>
      </c>
    </row>
    <row r="298" spans="1:14" x14ac:dyDescent="0.2">
      <c r="A298" s="202">
        <f t="shared" si="2"/>
        <v>0</v>
      </c>
      <c r="C298" s="202">
        <f t="shared" si="1"/>
        <v>1</v>
      </c>
      <c r="F298" s="203">
        <v>60</v>
      </c>
      <c r="G298" s="203" t="b">
        <v>0</v>
      </c>
      <c r="H298" s="203" t="b">
        <v>0</v>
      </c>
      <c r="I298" s="203" t="b">
        <v>0</v>
      </c>
      <c r="K298" s="203">
        <v>60</v>
      </c>
      <c r="L298" s="203">
        <v>1</v>
      </c>
      <c r="M298" s="203">
        <v>1</v>
      </c>
      <c r="N298" s="203">
        <v>1</v>
      </c>
    </row>
    <row r="299" spans="1:14" x14ac:dyDescent="0.2">
      <c r="A299" s="202">
        <f t="shared" si="2"/>
        <v>0</v>
      </c>
      <c r="C299" s="202">
        <f t="shared" si="1"/>
        <v>1</v>
      </c>
      <c r="F299" s="203">
        <v>61</v>
      </c>
      <c r="G299" s="203" t="b">
        <v>0</v>
      </c>
      <c r="H299" s="203" t="b">
        <v>0</v>
      </c>
      <c r="I299" s="203" t="b">
        <v>0</v>
      </c>
      <c r="K299" s="203">
        <v>61</v>
      </c>
      <c r="L299" s="203">
        <v>1</v>
      </c>
      <c r="M299" s="203">
        <v>1</v>
      </c>
      <c r="N299" s="203">
        <v>1</v>
      </c>
    </row>
    <row r="300" spans="1:14" x14ac:dyDescent="0.2">
      <c r="A300" s="202">
        <f t="shared" si="2"/>
        <v>0</v>
      </c>
      <c r="C300" s="202">
        <f t="shared" si="1"/>
        <v>1</v>
      </c>
      <c r="F300" s="203">
        <v>62</v>
      </c>
      <c r="G300" s="203" t="b">
        <v>0</v>
      </c>
      <c r="H300" s="203" t="b">
        <v>0</v>
      </c>
      <c r="I300" s="203" t="b">
        <v>0</v>
      </c>
      <c r="K300" s="203">
        <v>62</v>
      </c>
      <c r="L300" s="203">
        <v>1</v>
      </c>
      <c r="M300" s="203">
        <v>1</v>
      </c>
      <c r="N300" s="203">
        <v>1</v>
      </c>
    </row>
    <row r="301" spans="1:14" x14ac:dyDescent="0.2">
      <c r="A301" s="202">
        <f t="shared" si="2"/>
        <v>0</v>
      </c>
      <c r="C301" s="202">
        <f t="shared" si="1"/>
        <v>1</v>
      </c>
      <c r="F301" s="203">
        <v>63</v>
      </c>
      <c r="G301" s="203" t="b">
        <v>0</v>
      </c>
      <c r="H301" s="203" t="b">
        <v>0</v>
      </c>
      <c r="I301" s="203" t="b">
        <v>0</v>
      </c>
      <c r="K301" s="203">
        <v>63</v>
      </c>
      <c r="L301" s="203">
        <v>1</v>
      </c>
      <c r="M301" s="203">
        <v>1</v>
      </c>
      <c r="N301" s="203">
        <v>1</v>
      </c>
    </row>
    <row r="302" spans="1:14" x14ac:dyDescent="0.2">
      <c r="A302" s="202">
        <f t="shared" si="2"/>
        <v>0</v>
      </c>
      <c r="C302" s="202">
        <f t="shared" si="1"/>
        <v>1</v>
      </c>
      <c r="F302" s="203">
        <v>64</v>
      </c>
      <c r="G302" s="203" t="b">
        <v>0</v>
      </c>
      <c r="H302" s="203" t="b">
        <v>0</v>
      </c>
      <c r="I302" s="203" t="b">
        <v>0</v>
      </c>
      <c r="K302" s="203">
        <v>64</v>
      </c>
      <c r="L302" s="203">
        <v>1</v>
      </c>
      <c r="M302" s="203">
        <v>1</v>
      </c>
      <c r="N302" s="203">
        <v>1</v>
      </c>
    </row>
    <row r="303" spans="1:14" x14ac:dyDescent="0.2">
      <c r="A303" s="202">
        <f t="shared" si="2"/>
        <v>0</v>
      </c>
      <c r="C303" s="202">
        <f t="shared" si="1"/>
        <v>1</v>
      </c>
      <c r="F303" s="203">
        <v>65</v>
      </c>
      <c r="G303" s="203" t="b">
        <v>0</v>
      </c>
      <c r="H303" s="203" t="b">
        <v>0</v>
      </c>
      <c r="I303" s="203" t="b">
        <v>0</v>
      </c>
      <c r="K303" s="203">
        <v>65</v>
      </c>
      <c r="L303" s="203">
        <v>1</v>
      </c>
      <c r="M303" s="203">
        <v>1</v>
      </c>
      <c r="N303" s="203">
        <v>1</v>
      </c>
    </row>
    <row r="304" spans="1:14" x14ac:dyDescent="0.2">
      <c r="A304" s="202">
        <f t="shared" si="2"/>
        <v>0</v>
      </c>
      <c r="C304" s="202">
        <f t="shared" si="1"/>
        <v>1</v>
      </c>
      <c r="F304" s="203">
        <v>66</v>
      </c>
      <c r="G304" s="203" t="b">
        <v>0</v>
      </c>
      <c r="H304" s="203" t="b">
        <v>0</v>
      </c>
      <c r="I304" s="203" t="b">
        <v>0</v>
      </c>
      <c r="K304" s="203">
        <v>66</v>
      </c>
      <c r="L304" s="203">
        <v>1</v>
      </c>
      <c r="M304" s="203">
        <v>1</v>
      </c>
      <c r="N304" s="203">
        <v>1</v>
      </c>
    </row>
    <row r="305" spans="1:14" x14ac:dyDescent="0.2">
      <c r="A305" s="202">
        <f t="shared" si="2"/>
        <v>0</v>
      </c>
      <c r="C305" s="202">
        <f t="shared" si="1"/>
        <v>1</v>
      </c>
      <c r="F305" s="203">
        <v>67</v>
      </c>
      <c r="G305" s="203" t="b">
        <v>0</v>
      </c>
      <c r="H305" s="203" t="b">
        <v>0</v>
      </c>
      <c r="I305" s="203" t="b">
        <v>0</v>
      </c>
      <c r="K305" s="203">
        <v>67</v>
      </c>
      <c r="L305" s="203">
        <v>1</v>
      </c>
      <c r="M305" s="203">
        <v>1</v>
      </c>
      <c r="N305" s="203">
        <v>1</v>
      </c>
    </row>
    <row r="306" spans="1:14" x14ac:dyDescent="0.2">
      <c r="A306" s="202">
        <f t="shared" si="2"/>
        <v>0</v>
      </c>
      <c r="C306" s="202">
        <f t="shared" ref="C306:C369" si="3">IF($T$41,L306,1)</f>
        <v>1</v>
      </c>
      <c r="F306" s="203">
        <v>68</v>
      </c>
      <c r="G306" s="203" t="b">
        <v>0</v>
      </c>
      <c r="H306" s="203" t="b">
        <v>0</v>
      </c>
      <c r="I306" s="203" t="b">
        <v>0</v>
      </c>
      <c r="K306" s="203">
        <v>68</v>
      </c>
      <c r="L306" s="203">
        <v>1</v>
      </c>
      <c r="M306" s="203">
        <v>1</v>
      </c>
      <c r="N306" s="203">
        <v>1</v>
      </c>
    </row>
    <row r="307" spans="1:14" x14ac:dyDescent="0.2">
      <c r="A307" s="202">
        <f t="shared" ref="A307:A370" si="4">IF(G307,1,0)</f>
        <v>0</v>
      </c>
      <c r="C307" s="202">
        <f t="shared" si="3"/>
        <v>1</v>
      </c>
      <c r="F307" s="203">
        <v>69</v>
      </c>
      <c r="G307" s="203" t="b">
        <v>0</v>
      </c>
      <c r="H307" s="203" t="b">
        <v>0</v>
      </c>
      <c r="I307" s="203" t="b">
        <v>0</v>
      </c>
      <c r="K307" s="203">
        <v>69</v>
      </c>
      <c r="L307" s="203">
        <v>1</v>
      </c>
      <c r="M307" s="203">
        <v>1</v>
      </c>
      <c r="N307" s="203">
        <v>1</v>
      </c>
    </row>
    <row r="308" spans="1:14" x14ac:dyDescent="0.2">
      <c r="A308" s="202">
        <f t="shared" si="4"/>
        <v>0</v>
      </c>
      <c r="C308" s="202">
        <f t="shared" si="3"/>
        <v>1</v>
      </c>
      <c r="F308" s="203">
        <v>70</v>
      </c>
      <c r="G308" s="203" t="b">
        <v>0</v>
      </c>
      <c r="H308" s="203" t="b">
        <v>0</v>
      </c>
      <c r="I308" s="203" t="b">
        <v>0</v>
      </c>
      <c r="K308" s="203">
        <v>70</v>
      </c>
      <c r="L308" s="203">
        <v>1</v>
      </c>
      <c r="M308" s="203">
        <v>1</v>
      </c>
      <c r="N308" s="203">
        <v>1</v>
      </c>
    </row>
    <row r="309" spans="1:14" x14ac:dyDescent="0.2">
      <c r="A309" s="202">
        <f t="shared" si="4"/>
        <v>0</v>
      </c>
      <c r="C309" s="202">
        <f t="shared" si="3"/>
        <v>1</v>
      </c>
      <c r="F309" s="203">
        <v>71</v>
      </c>
      <c r="G309" s="203" t="b">
        <v>0</v>
      </c>
      <c r="H309" s="203" t="b">
        <v>0</v>
      </c>
      <c r="I309" s="203" t="b">
        <v>0</v>
      </c>
      <c r="K309" s="203">
        <v>71</v>
      </c>
      <c r="L309" s="203">
        <v>1</v>
      </c>
      <c r="M309" s="203">
        <v>1</v>
      </c>
      <c r="N309" s="203">
        <v>1</v>
      </c>
    </row>
    <row r="310" spans="1:14" x14ac:dyDescent="0.2">
      <c r="A310" s="202">
        <f t="shared" si="4"/>
        <v>0</v>
      </c>
      <c r="C310" s="202">
        <f t="shared" si="3"/>
        <v>1</v>
      </c>
      <c r="F310" s="203">
        <v>72</v>
      </c>
      <c r="G310" s="203" t="b">
        <v>0</v>
      </c>
      <c r="H310" s="203" t="b">
        <v>0</v>
      </c>
      <c r="I310" s="203" t="b">
        <v>0</v>
      </c>
      <c r="K310" s="203">
        <v>72</v>
      </c>
      <c r="L310" s="203">
        <v>1</v>
      </c>
      <c r="M310" s="203">
        <v>1</v>
      </c>
      <c r="N310" s="203">
        <v>1</v>
      </c>
    </row>
    <row r="311" spans="1:14" x14ac:dyDescent="0.2">
      <c r="A311" s="202">
        <f t="shared" si="4"/>
        <v>0</v>
      </c>
      <c r="C311" s="202">
        <f t="shared" si="3"/>
        <v>1</v>
      </c>
      <c r="F311" s="203">
        <v>73</v>
      </c>
      <c r="G311" s="203" t="b">
        <v>0</v>
      </c>
      <c r="H311" s="203" t="b">
        <v>0</v>
      </c>
      <c r="I311" s="203" t="b">
        <v>0</v>
      </c>
      <c r="K311" s="203">
        <v>73</v>
      </c>
      <c r="L311" s="203">
        <v>1</v>
      </c>
      <c r="M311" s="203">
        <v>1</v>
      </c>
      <c r="N311" s="203">
        <v>1</v>
      </c>
    </row>
    <row r="312" spans="1:14" x14ac:dyDescent="0.2">
      <c r="A312" s="202">
        <f t="shared" si="4"/>
        <v>0</v>
      </c>
      <c r="C312" s="202">
        <f t="shared" si="3"/>
        <v>1</v>
      </c>
      <c r="F312" s="203">
        <v>74</v>
      </c>
      <c r="G312" s="203" t="b">
        <v>0</v>
      </c>
      <c r="H312" s="203" t="b">
        <v>0</v>
      </c>
      <c r="I312" s="203" t="b">
        <v>0</v>
      </c>
      <c r="K312" s="203">
        <v>74</v>
      </c>
      <c r="L312" s="203">
        <v>1</v>
      </c>
      <c r="M312" s="203">
        <v>1</v>
      </c>
      <c r="N312" s="203">
        <v>1</v>
      </c>
    </row>
    <row r="313" spans="1:14" x14ac:dyDescent="0.2">
      <c r="A313" s="202">
        <f t="shared" si="4"/>
        <v>0</v>
      </c>
      <c r="C313" s="202">
        <f t="shared" si="3"/>
        <v>1</v>
      </c>
      <c r="F313" s="203">
        <v>75</v>
      </c>
      <c r="G313" s="203" t="b">
        <v>0</v>
      </c>
      <c r="H313" s="203" t="b">
        <v>0</v>
      </c>
      <c r="I313" s="203" t="b">
        <v>0</v>
      </c>
      <c r="K313" s="203">
        <v>75</v>
      </c>
      <c r="L313" s="203">
        <v>1</v>
      </c>
      <c r="M313" s="203">
        <v>1</v>
      </c>
      <c r="N313" s="203">
        <v>1</v>
      </c>
    </row>
    <row r="314" spans="1:14" x14ac:dyDescent="0.2">
      <c r="A314" s="202">
        <f t="shared" si="4"/>
        <v>0</v>
      </c>
      <c r="C314" s="202">
        <f t="shared" si="3"/>
        <v>1</v>
      </c>
      <c r="F314" s="203">
        <v>76</v>
      </c>
      <c r="G314" s="203" t="b">
        <v>0</v>
      </c>
      <c r="H314" s="203" t="b">
        <v>0</v>
      </c>
      <c r="I314" s="203" t="b">
        <v>0</v>
      </c>
      <c r="K314" s="203">
        <v>76</v>
      </c>
      <c r="L314" s="203">
        <v>1</v>
      </c>
      <c r="M314" s="203">
        <v>1</v>
      </c>
      <c r="N314" s="203">
        <v>1</v>
      </c>
    </row>
    <row r="315" spans="1:14" x14ac:dyDescent="0.2">
      <c r="A315" s="202">
        <f t="shared" si="4"/>
        <v>0</v>
      </c>
      <c r="C315" s="202">
        <f t="shared" si="3"/>
        <v>1</v>
      </c>
      <c r="F315" s="203">
        <v>77</v>
      </c>
      <c r="G315" s="203" t="b">
        <v>0</v>
      </c>
      <c r="H315" s="203" t="b">
        <v>0</v>
      </c>
      <c r="I315" s="203" t="b">
        <v>0</v>
      </c>
      <c r="K315" s="203">
        <v>77</v>
      </c>
      <c r="L315" s="203">
        <v>1</v>
      </c>
      <c r="M315" s="203">
        <v>1</v>
      </c>
      <c r="N315" s="203">
        <v>1</v>
      </c>
    </row>
    <row r="316" spans="1:14" x14ac:dyDescent="0.2">
      <c r="A316" s="202">
        <f t="shared" si="4"/>
        <v>0</v>
      </c>
      <c r="C316" s="202">
        <f t="shared" si="3"/>
        <v>1</v>
      </c>
      <c r="F316" s="203">
        <v>78</v>
      </c>
      <c r="G316" s="203" t="b">
        <v>0</v>
      </c>
      <c r="H316" s="203" t="b">
        <v>0</v>
      </c>
      <c r="I316" s="203" t="b">
        <v>0</v>
      </c>
      <c r="K316" s="203">
        <v>78</v>
      </c>
      <c r="L316" s="203">
        <v>1</v>
      </c>
      <c r="M316" s="203">
        <v>1</v>
      </c>
      <c r="N316" s="203">
        <v>1</v>
      </c>
    </row>
    <row r="317" spans="1:14" x14ac:dyDescent="0.2">
      <c r="A317" s="202">
        <f t="shared" si="4"/>
        <v>0</v>
      </c>
      <c r="C317" s="202">
        <f t="shared" si="3"/>
        <v>1</v>
      </c>
      <c r="F317" s="203">
        <v>79</v>
      </c>
      <c r="G317" s="203" t="b">
        <v>0</v>
      </c>
      <c r="H317" s="203" t="b">
        <v>0</v>
      </c>
      <c r="I317" s="203" t="b">
        <v>0</v>
      </c>
      <c r="K317" s="203">
        <v>79</v>
      </c>
      <c r="L317" s="203">
        <v>1</v>
      </c>
      <c r="M317" s="203">
        <v>1</v>
      </c>
      <c r="N317" s="203">
        <v>1</v>
      </c>
    </row>
    <row r="318" spans="1:14" x14ac:dyDescent="0.2">
      <c r="A318" s="202">
        <f t="shared" si="4"/>
        <v>0</v>
      </c>
      <c r="C318" s="202">
        <f t="shared" si="3"/>
        <v>1</v>
      </c>
      <c r="F318" s="203">
        <v>80</v>
      </c>
      <c r="G318" s="203" t="b">
        <v>0</v>
      </c>
      <c r="H318" s="203" t="b">
        <v>0</v>
      </c>
      <c r="I318" s="203" t="b">
        <v>0</v>
      </c>
      <c r="K318" s="203">
        <v>80</v>
      </c>
      <c r="L318" s="203">
        <v>1</v>
      </c>
      <c r="M318" s="203">
        <v>1</v>
      </c>
      <c r="N318" s="203">
        <v>1</v>
      </c>
    </row>
    <row r="319" spans="1:14" x14ac:dyDescent="0.2">
      <c r="A319" s="202">
        <f t="shared" si="4"/>
        <v>0</v>
      </c>
      <c r="C319" s="202">
        <f t="shared" si="3"/>
        <v>1</v>
      </c>
      <c r="F319" s="203">
        <v>81</v>
      </c>
      <c r="G319" s="203" t="b">
        <v>0</v>
      </c>
      <c r="H319" s="203" t="b">
        <v>0</v>
      </c>
      <c r="I319" s="203" t="b">
        <v>0</v>
      </c>
      <c r="K319" s="203">
        <v>81</v>
      </c>
      <c r="L319" s="203">
        <v>1</v>
      </c>
      <c r="M319" s="203">
        <v>1</v>
      </c>
      <c r="N319" s="203">
        <v>1</v>
      </c>
    </row>
    <row r="320" spans="1:14" x14ac:dyDescent="0.2">
      <c r="A320" s="202">
        <f t="shared" si="4"/>
        <v>0</v>
      </c>
      <c r="C320" s="202">
        <f t="shared" si="3"/>
        <v>1</v>
      </c>
      <c r="F320" s="203">
        <v>82</v>
      </c>
      <c r="G320" s="203" t="b">
        <v>0</v>
      </c>
      <c r="H320" s="203" t="b">
        <v>0</v>
      </c>
      <c r="I320" s="203" t="b">
        <v>0</v>
      </c>
      <c r="K320" s="203">
        <v>82</v>
      </c>
      <c r="L320" s="203">
        <v>1</v>
      </c>
      <c r="M320" s="203">
        <v>1</v>
      </c>
      <c r="N320" s="203">
        <v>1</v>
      </c>
    </row>
    <row r="321" spans="1:14" x14ac:dyDescent="0.2">
      <c r="A321" s="202">
        <f t="shared" si="4"/>
        <v>0</v>
      </c>
      <c r="C321" s="202">
        <f t="shared" si="3"/>
        <v>1</v>
      </c>
      <c r="F321" s="203">
        <v>83</v>
      </c>
      <c r="G321" s="203" t="b">
        <v>0</v>
      </c>
      <c r="H321" s="203" t="b">
        <v>0</v>
      </c>
      <c r="I321" s="203" t="b">
        <v>0</v>
      </c>
      <c r="K321" s="203">
        <v>83</v>
      </c>
      <c r="L321" s="203">
        <v>1</v>
      </c>
      <c r="M321" s="203">
        <v>1</v>
      </c>
      <c r="N321" s="203">
        <v>1</v>
      </c>
    </row>
    <row r="322" spans="1:14" x14ac:dyDescent="0.2">
      <c r="A322" s="202">
        <f t="shared" si="4"/>
        <v>0</v>
      </c>
      <c r="C322" s="202">
        <f t="shared" si="3"/>
        <v>1</v>
      </c>
      <c r="F322" s="203">
        <v>84</v>
      </c>
      <c r="G322" s="203" t="b">
        <v>0</v>
      </c>
      <c r="H322" s="203" t="b">
        <v>0</v>
      </c>
      <c r="I322" s="203" t="b">
        <v>0</v>
      </c>
      <c r="K322" s="203">
        <v>84</v>
      </c>
      <c r="L322" s="203">
        <v>1</v>
      </c>
      <c r="M322" s="203">
        <v>1</v>
      </c>
      <c r="N322" s="203">
        <v>1</v>
      </c>
    </row>
    <row r="323" spans="1:14" x14ac:dyDescent="0.2">
      <c r="A323" s="202">
        <f t="shared" si="4"/>
        <v>0</v>
      </c>
      <c r="C323" s="202">
        <f t="shared" si="3"/>
        <v>1</v>
      </c>
      <c r="F323" s="203">
        <v>85</v>
      </c>
      <c r="G323" s="203" t="b">
        <v>0</v>
      </c>
      <c r="H323" s="203" t="b">
        <v>0</v>
      </c>
      <c r="I323" s="203" t="b">
        <v>0</v>
      </c>
      <c r="K323" s="203">
        <v>85</v>
      </c>
      <c r="L323" s="203">
        <v>1</v>
      </c>
      <c r="M323" s="203">
        <v>1</v>
      </c>
      <c r="N323" s="203">
        <v>1</v>
      </c>
    </row>
    <row r="324" spans="1:14" x14ac:dyDescent="0.2">
      <c r="A324" s="202">
        <f t="shared" si="4"/>
        <v>0</v>
      </c>
      <c r="C324" s="202">
        <f t="shared" si="3"/>
        <v>1</v>
      </c>
      <c r="F324" s="203">
        <v>86</v>
      </c>
      <c r="G324" s="203" t="b">
        <v>0</v>
      </c>
      <c r="H324" s="203" t="b">
        <v>0</v>
      </c>
      <c r="I324" s="203" t="b">
        <v>0</v>
      </c>
      <c r="K324" s="203">
        <v>86</v>
      </c>
      <c r="L324" s="203">
        <v>1</v>
      </c>
      <c r="M324" s="203">
        <v>1</v>
      </c>
      <c r="N324" s="203">
        <v>1</v>
      </c>
    </row>
    <row r="325" spans="1:14" x14ac:dyDescent="0.2">
      <c r="A325" s="202">
        <f t="shared" si="4"/>
        <v>0</v>
      </c>
      <c r="C325" s="202">
        <f t="shared" si="3"/>
        <v>1</v>
      </c>
      <c r="F325" s="203">
        <v>87</v>
      </c>
      <c r="G325" s="203" t="b">
        <v>0</v>
      </c>
      <c r="H325" s="203" t="b">
        <v>0</v>
      </c>
      <c r="I325" s="203" t="b">
        <v>0</v>
      </c>
      <c r="K325" s="203">
        <v>87</v>
      </c>
      <c r="L325" s="203">
        <v>1</v>
      </c>
      <c r="M325" s="203">
        <v>1</v>
      </c>
      <c r="N325" s="203">
        <v>1</v>
      </c>
    </row>
    <row r="326" spans="1:14" x14ac:dyDescent="0.2">
      <c r="A326" s="202">
        <f t="shared" si="4"/>
        <v>0</v>
      </c>
      <c r="C326" s="202">
        <f t="shared" si="3"/>
        <v>1</v>
      </c>
      <c r="F326" s="203">
        <v>88</v>
      </c>
      <c r="G326" s="203" t="b">
        <v>0</v>
      </c>
      <c r="H326" s="203" t="b">
        <v>0</v>
      </c>
      <c r="I326" s="203" t="b">
        <v>0</v>
      </c>
      <c r="K326" s="203">
        <v>88</v>
      </c>
      <c r="L326" s="203">
        <v>1</v>
      </c>
      <c r="M326" s="203">
        <v>1</v>
      </c>
      <c r="N326" s="203">
        <v>1</v>
      </c>
    </row>
    <row r="327" spans="1:14" x14ac:dyDescent="0.2">
      <c r="A327" s="202">
        <f t="shared" si="4"/>
        <v>0</v>
      </c>
      <c r="C327" s="202">
        <f t="shared" si="3"/>
        <v>1</v>
      </c>
      <c r="F327" s="203">
        <v>89</v>
      </c>
      <c r="G327" s="203" t="b">
        <v>0</v>
      </c>
      <c r="H327" s="203" t="b">
        <v>0</v>
      </c>
      <c r="I327" s="203" t="b">
        <v>0</v>
      </c>
      <c r="K327" s="203">
        <v>89</v>
      </c>
      <c r="L327" s="203">
        <v>1</v>
      </c>
      <c r="M327" s="203">
        <v>1</v>
      </c>
      <c r="N327" s="203">
        <v>1</v>
      </c>
    </row>
    <row r="328" spans="1:14" x14ac:dyDescent="0.2">
      <c r="A328" s="202">
        <f t="shared" si="4"/>
        <v>0</v>
      </c>
      <c r="C328" s="202">
        <f t="shared" si="3"/>
        <v>1</v>
      </c>
      <c r="F328" s="203">
        <v>90</v>
      </c>
      <c r="G328" s="203" t="b">
        <v>0</v>
      </c>
      <c r="H328" s="203" t="b">
        <v>0</v>
      </c>
      <c r="I328" s="203" t="b">
        <v>0</v>
      </c>
      <c r="K328" s="203">
        <v>90</v>
      </c>
      <c r="L328" s="203">
        <v>1</v>
      </c>
      <c r="M328" s="203">
        <v>1</v>
      </c>
      <c r="N328" s="203">
        <v>1</v>
      </c>
    </row>
    <row r="329" spans="1:14" x14ac:dyDescent="0.2">
      <c r="A329" s="202">
        <f t="shared" si="4"/>
        <v>0</v>
      </c>
      <c r="C329" s="202">
        <f t="shared" si="3"/>
        <v>1</v>
      </c>
      <c r="F329" s="203">
        <v>91</v>
      </c>
      <c r="G329" s="203" t="b">
        <v>0</v>
      </c>
      <c r="H329" s="203" t="b">
        <v>0</v>
      </c>
      <c r="I329" s="203" t="b">
        <v>0</v>
      </c>
      <c r="K329" s="203">
        <v>91</v>
      </c>
      <c r="L329" s="203">
        <v>1</v>
      </c>
      <c r="M329" s="203">
        <v>1</v>
      </c>
      <c r="N329" s="203">
        <v>1</v>
      </c>
    </row>
    <row r="330" spans="1:14" x14ac:dyDescent="0.2">
      <c r="A330" s="202">
        <f t="shared" si="4"/>
        <v>0</v>
      </c>
      <c r="C330" s="202">
        <f t="shared" si="3"/>
        <v>1</v>
      </c>
      <c r="F330" s="203">
        <v>92</v>
      </c>
      <c r="G330" s="203" t="b">
        <v>0</v>
      </c>
      <c r="H330" s="203" t="b">
        <v>0</v>
      </c>
      <c r="I330" s="203" t="b">
        <v>0</v>
      </c>
      <c r="K330" s="203">
        <v>92</v>
      </c>
      <c r="L330" s="203">
        <v>1</v>
      </c>
      <c r="M330" s="203">
        <v>1</v>
      </c>
      <c r="N330" s="203">
        <v>1</v>
      </c>
    </row>
    <row r="331" spans="1:14" x14ac:dyDescent="0.2">
      <c r="A331" s="202">
        <f t="shared" si="4"/>
        <v>0</v>
      </c>
      <c r="C331" s="202">
        <f t="shared" si="3"/>
        <v>1</v>
      </c>
      <c r="F331" s="203">
        <v>93</v>
      </c>
      <c r="G331" s="203" t="b">
        <v>0</v>
      </c>
      <c r="H331" s="203" t="b">
        <v>0</v>
      </c>
      <c r="I331" s="203" t="b">
        <v>0</v>
      </c>
      <c r="K331" s="203">
        <v>93</v>
      </c>
      <c r="L331" s="203">
        <v>1</v>
      </c>
      <c r="M331" s="203">
        <v>1</v>
      </c>
      <c r="N331" s="203">
        <v>1</v>
      </c>
    </row>
    <row r="332" spans="1:14" x14ac:dyDescent="0.2">
      <c r="A332" s="202">
        <f t="shared" si="4"/>
        <v>0</v>
      </c>
      <c r="C332" s="202">
        <f t="shared" si="3"/>
        <v>1</v>
      </c>
      <c r="F332" s="203">
        <v>94</v>
      </c>
      <c r="G332" s="203" t="b">
        <v>0</v>
      </c>
      <c r="H332" s="203" t="b">
        <v>0</v>
      </c>
      <c r="I332" s="203" t="b">
        <v>0</v>
      </c>
      <c r="K332" s="203">
        <v>94</v>
      </c>
      <c r="L332" s="203">
        <v>1</v>
      </c>
      <c r="M332" s="203">
        <v>1</v>
      </c>
      <c r="N332" s="203">
        <v>1</v>
      </c>
    </row>
    <row r="333" spans="1:14" x14ac:dyDescent="0.2">
      <c r="A333" s="202">
        <f t="shared" si="4"/>
        <v>0</v>
      </c>
      <c r="C333" s="202">
        <f t="shared" si="3"/>
        <v>1</v>
      </c>
      <c r="F333" s="203">
        <v>95</v>
      </c>
      <c r="G333" s="203" t="b">
        <v>0</v>
      </c>
      <c r="H333" s="203" t="b">
        <v>0</v>
      </c>
      <c r="I333" s="203" t="b">
        <v>0</v>
      </c>
      <c r="K333" s="203">
        <v>95</v>
      </c>
      <c r="L333" s="203">
        <v>1</v>
      </c>
      <c r="M333" s="203">
        <v>1</v>
      </c>
      <c r="N333" s="203">
        <v>1</v>
      </c>
    </row>
    <row r="334" spans="1:14" x14ac:dyDescent="0.2">
      <c r="A334" s="202">
        <f t="shared" si="4"/>
        <v>0</v>
      </c>
      <c r="C334" s="202">
        <f t="shared" si="3"/>
        <v>1</v>
      </c>
      <c r="F334" s="203">
        <v>96</v>
      </c>
      <c r="G334" s="203" t="b">
        <v>0</v>
      </c>
      <c r="H334" s="203" t="b">
        <v>0</v>
      </c>
      <c r="I334" s="203" t="b">
        <v>0</v>
      </c>
      <c r="K334" s="203">
        <v>96</v>
      </c>
      <c r="L334" s="203">
        <v>1</v>
      </c>
      <c r="M334" s="203">
        <v>1</v>
      </c>
      <c r="N334" s="203">
        <v>1</v>
      </c>
    </row>
    <row r="335" spans="1:14" x14ac:dyDescent="0.2">
      <c r="A335" s="202">
        <f t="shared" si="4"/>
        <v>0</v>
      </c>
      <c r="C335" s="202">
        <f t="shared" si="3"/>
        <v>1</v>
      </c>
      <c r="F335" s="203">
        <v>97</v>
      </c>
      <c r="G335" s="203" t="b">
        <v>0</v>
      </c>
      <c r="H335" s="203" t="b">
        <v>0</v>
      </c>
      <c r="I335" s="203" t="b">
        <v>0</v>
      </c>
      <c r="K335" s="203">
        <v>97</v>
      </c>
      <c r="L335" s="203">
        <v>1</v>
      </c>
      <c r="M335" s="203">
        <v>1</v>
      </c>
      <c r="N335" s="203">
        <v>1</v>
      </c>
    </row>
    <row r="336" spans="1:14" x14ac:dyDescent="0.2">
      <c r="A336" s="202">
        <f t="shared" si="4"/>
        <v>0</v>
      </c>
      <c r="C336" s="202">
        <f t="shared" si="3"/>
        <v>1</v>
      </c>
      <c r="F336" s="203">
        <v>98</v>
      </c>
      <c r="G336" s="203" t="b">
        <v>0</v>
      </c>
      <c r="H336" s="203" t="b">
        <v>0</v>
      </c>
      <c r="I336" s="203" t="b">
        <v>0</v>
      </c>
      <c r="K336" s="203">
        <v>98</v>
      </c>
      <c r="L336" s="203">
        <v>1</v>
      </c>
      <c r="M336" s="203">
        <v>1</v>
      </c>
      <c r="N336" s="203">
        <v>1</v>
      </c>
    </row>
    <row r="337" spans="1:14" x14ac:dyDescent="0.2">
      <c r="A337" s="202">
        <f t="shared" si="4"/>
        <v>0</v>
      </c>
      <c r="C337" s="202">
        <f t="shared" si="3"/>
        <v>1</v>
      </c>
      <c r="F337" s="203">
        <v>99</v>
      </c>
      <c r="G337" s="203" t="b">
        <v>0</v>
      </c>
      <c r="H337" s="203" t="b">
        <v>0</v>
      </c>
      <c r="I337" s="203" t="b">
        <v>0</v>
      </c>
      <c r="K337" s="203">
        <v>99</v>
      </c>
      <c r="L337" s="203">
        <v>1</v>
      </c>
      <c r="M337" s="203">
        <v>1</v>
      </c>
      <c r="N337" s="203">
        <v>1</v>
      </c>
    </row>
    <row r="338" spans="1:14" x14ac:dyDescent="0.2">
      <c r="A338" s="202">
        <f t="shared" si="4"/>
        <v>0</v>
      </c>
      <c r="C338" s="202">
        <f t="shared" si="3"/>
        <v>1</v>
      </c>
      <c r="F338" s="203">
        <v>100</v>
      </c>
      <c r="G338" s="203" t="b">
        <v>0</v>
      </c>
      <c r="H338" s="203" t="b">
        <v>0</v>
      </c>
      <c r="I338" s="203" t="b">
        <v>0</v>
      </c>
      <c r="K338" s="203">
        <v>100</v>
      </c>
      <c r="L338" s="203">
        <v>1</v>
      </c>
      <c r="M338" s="203">
        <v>1</v>
      </c>
      <c r="N338" s="203">
        <v>1</v>
      </c>
    </row>
    <row r="339" spans="1:14" x14ac:dyDescent="0.2">
      <c r="A339" s="202">
        <f t="shared" si="4"/>
        <v>0</v>
      </c>
      <c r="C339" s="202">
        <f t="shared" si="3"/>
        <v>1</v>
      </c>
      <c r="F339" s="203">
        <v>101</v>
      </c>
      <c r="G339" s="203" t="b">
        <v>0</v>
      </c>
      <c r="H339" s="203" t="b">
        <v>0</v>
      </c>
      <c r="I339" s="203" t="b">
        <v>0</v>
      </c>
      <c r="K339" s="203">
        <v>101</v>
      </c>
      <c r="L339" s="203">
        <v>1</v>
      </c>
      <c r="M339" s="203">
        <v>1</v>
      </c>
      <c r="N339" s="203">
        <v>1</v>
      </c>
    </row>
    <row r="340" spans="1:14" x14ac:dyDescent="0.2">
      <c r="A340" s="202">
        <f t="shared" si="4"/>
        <v>0</v>
      </c>
      <c r="C340" s="202">
        <f t="shared" si="3"/>
        <v>1</v>
      </c>
      <c r="F340" s="203">
        <v>102</v>
      </c>
      <c r="G340" s="203" t="b">
        <v>0</v>
      </c>
      <c r="H340" s="203" t="b">
        <v>0</v>
      </c>
      <c r="I340" s="203" t="b">
        <v>0</v>
      </c>
      <c r="K340" s="203">
        <v>102</v>
      </c>
      <c r="L340" s="203">
        <v>1</v>
      </c>
      <c r="M340" s="203">
        <v>1</v>
      </c>
      <c r="N340" s="203">
        <v>1</v>
      </c>
    </row>
    <row r="341" spans="1:14" x14ac:dyDescent="0.2">
      <c r="A341" s="202">
        <f t="shared" si="4"/>
        <v>0</v>
      </c>
      <c r="C341" s="202">
        <f t="shared" si="3"/>
        <v>1</v>
      </c>
      <c r="F341" s="203">
        <v>103</v>
      </c>
      <c r="G341" s="203" t="b">
        <v>0</v>
      </c>
      <c r="H341" s="203" t="b">
        <v>0</v>
      </c>
      <c r="I341" s="203" t="b">
        <v>0</v>
      </c>
      <c r="K341" s="203">
        <v>103</v>
      </c>
      <c r="L341" s="203">
        <v>1</v>
      </c>
      <c r="M341" s="203">
        <v>1</v>
      </c>
      <c r="N341" s="203">
        <v>1</v>
      </c>
    </row>
    <row r="342" spans="1:14" x14ac:dyDescent="0.2">
      <c r="A342" s="202">
        <f t="shared" si="4"/>
        <v>0</v>
      </c>
      <c r="C342" s="202">
        <f t="shared" si="3"/>
        <v>1</v>
      </c>
      <c r="F342" s="203">
        <v>104</v>
      </c>
      <c r="G342" s="203" t="b">
        <v>0</v>
      </c>
      <c r="H342" s="203" t="b">
        <v>0</v>
      </c>
      <c r="I342" s="203" t="b">
        <v>0</v>
      </c>
      <c r="K342" s="203">
        <v>104</v>
      </c>
      <c r="L342" s="203">
        <v>1</v>
      </c>
      <c r="M342" s="203">
        <v>1</v>
      </c>
      <c r="N342" s="203">
        <v>1</v>
      </c>
    </row>
    <row r="343" spans="1:14" x14ac:dyDescent="0.2">
      <c r="A343" s="202">
        <f t="shared" si="4"/>
        <v>0</v>
      </c>
      <c r="C343" s="202">
        <f t="shared" si="3"/>
        <v>1</v>
      </c>
      <c r="F343" s="203">
        <v>105</v>
      </c>
      <c r="G343" s="203" t="b">
        <v>0</v>
      </c>
      <c r="H343" s="203" t="b">
        <v>0</v>
      </c>
      <c r="I343" s="203" t="b">
        <v>0</v>
      </c>
      <c r="K343" s="203">
        <v>105</v>
      </c>
      <c r="L343" s="203">
        <v>1</v>
      </c>
      <c r="M343" s="203">
        <v>1</v>
      </c>
      <c r="N343" s="203">
        <v>1</v>
      </c>
    </row>
    <row r="344" spans="1:14" x14ac:dyDescent="0.2">
      <c r="A344" s="202">
        <f t="shared" si="4"/>
        <v>0</v>
      </c>
      <c r="C344" s="202">
        <f t="shared" si="3"/>
        <v>1</v>
      </c>
      <c r="F344" s="203">
        <v>106</v>
      </c>
      <c r="G344" s="203" t="b">
        <v>0</v>
      </c>
      <c r="H344" s="203" t="b">
        <v>0</v>
      </c>
      <c r="I344" s="203" t="b">
        <v>0</v>
      </c>
      <c r="K344" s="203">
        <v>106</v>
      </c>
      <c r="L344" s="203">
        <v>1</v>
      </c>
      <c r="M344" s="203">
        <v>1</v>
      </c>
      <c r="N344" s="203">
        <v>1</v>
      </c>
    </row>
    <row r="345" spans="1:14" x14ac:dyDescent="0.2">
      <c r="A345" s="202">
        <f t="shared" si="4"/>
        <v>0</v>
      </c>
      <c r="C345" s="202">
        <f t="shared" si="3"/>
        <v>1</v>
      </c>
      <c r="F345" s="203">
        <v>107</v>
      </c>
      <c r="G345" s="203" t="b">
        <v>0</v>
      </c>
      <c r="H345" s="203" t="b">
        <v>0</v>
      </c>
      <c r="I345" s="203" t="b">
        <v>0</v>
      </c>
      <c r="K345" s="203">
        <v>107</v>
      </c>
      <c r="L345" s="203">
        <v>1</v>
      </c>
      <c r="M345" s="203">
        <v>1</v>
      </c>
      <c r="N345" s="203">
        <v>1</v>
      </c>
    </row>
    <row r="346" spans="1:14" x14ac:dyDescent="0.2">
      <c r="A346" s="202">
        <f t="shared" si="4"/>
        <v>0</v>
      </c>
      <c r="C346" s="202">
        <f t="shared" si="3"/>
        <v>1</v>
      </c>
      <c r="F346" s="203">
        <v>108</v>
      </c>
      <c r="G346" s="203" t="b">
        <v>0</v>
      </c>
      <c r="H346" s="203" t="b">
        <v>0</v>
      </c>
      <c r="I346" s="203" t="b">
        <v>0</v>
      </c>
      <c r="K346" s="203">
        <v>108</v>
      </c>
      <c r="L346" s="203">
        <v>1</v>
      </c>
      <c r="M346" s="203">
        <v>1</v>
      </c>
      <c r="N346" s="203">
        <v>1</v>
      </c>
    </row>
    <row r="347" spans="1:14" x14ac:dyDescent="0.2">
      <c r="A347" s="202">
        <f t="shared" si="4"/>
        <v>0</v>
      </c>
      <c r="C347" s="202">
        <f t="shared" si="3"/>
        <v>1</v>
      </c>
      <c r="F347" s="203">
        <v>109</v>
      </c>
      <c r="G347" s="203" t="b">
        <v>0</v>
      </c>
      <c r="H347" s="203" t="b">
        <v>0</v>
      </c>
      <c r="I347" s="203" t="b">
        <v>0</v>
      </c>
      <c r="K347" s="203">
        <v>109</v>
      </c>
      <c r="L347" s="203">
        <v>1</v>
      </c>
      <c r="M347" s="203">
        <v>1</v>
      </c>
      <c r="N347" s="203">
        <v>1</v>
      </c>
    </row>
    <row r="348" spans="1:14" x14ac:dyDescent="0.2">
      <c r="A348" s="202">
        <f t="shared" si="4"/>
        <v>0</v>
      </c>
      <c r="C348" s="202">
        <f t="shared" si="3"/>
        <v>1</v>
      </c>
      <c r="F348" s="203">
        <v>110</v>
      </c>
      <c r="G348" s="203" t="b">
        <v>0</v>
      </c>
      <c r="H348" s="203" t="b">
        <v>0</v>
      </c>
      <c r="I348" s="203" t="b">
        <v>0</v>
      </c>
      <c r="K348" s="203">
        <v>110</v>
      </c>
      <c r="L348" s="203">
        <v>1</v>
      </c>
      <c r="M348" s="203">
        <v>1</v>
      </c>
      <c r="N348" s="203">
        <v>1</v>
      </c>
    </row>
    <row r="349" spans="1:14" x14ac:dyDescent="0.2">
      <c r="A349" s="202">
        <f t="shared" si="4"/>
        <v>0</v>
      </c>
      <c r="C349" s="202">
        <f t="shared" si="3"/>
        <v>1</v>
      </c>
      <c r="F349" s="203">
        <v>111</v>
      </c>
      <c r="G349" s="203" t="b">
        <v>0</v>
      </c>
      <c r="H349" s="203" t="b">
        <v>0</v>
      </c>
      <c r="I349" s="203" t="b">
        <v>0</v>
      </c>
      <c r="K349" s="203">
        <v>111</v>
      </c>
      <c r="L349" s="203">
        <v>1</v>
      </c>
      <c r="M349" s="203">
        <v>1</v>
      </c>
      <c r="N349" s="203">
        <v>1</v>
      </c>
    </row>
    <row r="350" spans="1:14" x14ac:dyDescent="0.2">
      <c r="A350" s="202">
        <f t="shared" si="4"/>
        <v>0</v>
      </c>
      <c r="C350" s="202">
        <f t="shared" si="3"/>
        <v>1</v>
      </c>
      <c r="F350" s="203">
        <v>112</v>
      </c>
      <c r="G350" s="203" t="b">
        <v>0</v>
      </c>
      <c r="H350" s="203" t="b">
        <v>0</v>
      </c>
      <c r="I350" s="203" t="b">
        <v>0</v>
      </c>
      <c r="K350" s="203">
        <v>112</v>
      </c>
      <c r="L350" s="203">
        <v>1</v>
      </c>
      <c r="M350" s="203">
        <v>1</v>
      </c>
      <c r="N350" s="203">
        <v>1</v>
      </c>
    </row>
    <row r="351" spans="1:14" x14ac:dyDescent="0.2">
      <c r="A351" s="202">
        <f t="shared" si="4"/>
        <v>0</v>
      </c>
      <c r="C351" s="202">
        <f t="shared" si="3"/>
        <v>1</v>
      </c>
      <c r="F351" s="203">
        <v>113</v>
      </c>
      <c r="G351" s="203" t="b">
        <v>0</v>
      </c>
      <c r="H351" s="203" t="b">
        <v>0</v>
      </c>
      <c r="I351" s="203" t="b">
        <v>0</v>
      </c>
      <c r="K351" s="203">
        <v>113</v>
      </c>
      <c r="L351" s="203">
        <v>1</v>
      </c>
      <c r="M351" s="203">
        <v>1</v>
      </c>
      <c r="N351" s="203">
        <v>1</v>
      </c>
    </row>
    <row r="352" spans="1:14" x14ac:dyDescent="0.2">
      <c r="A352" s="202">
        <f t="shared" si="4"/>
        <v>0</v>
      </c>
      <c r="C352" s="202">
        <f t="shared" si="3"/>
        <v>1</v>
      </c>
      <c r="F352" s="203">
        <v>114</v>
      </c>
      <c r="G352" s="203" t="b">
        <v>0</v>
      </c>
      <c r="H352" s="203" t="b">
        <v>0</v>
      </c>
      <c r="I352" s="203" t="b">
        <v>0</v>
      </c>
      <c r="K352" s="203">
        <v>114</v>
      </c>
      <c r="L352" s="203">
        <v>1</v>
      </c>
      <c r="M352" s="203">
        <v>1</v>
      </c>
      <c r="N352" s="203">
        <v>1</v>
      </c>
    </row>
    <row r="353" spans="1:14" x14ac:dyDescent="0.2">
      <c r="A353" s="202">
        <f t="shared" si="4"/>
        <v>0</v>
      </c>
      <c r="C353" s="202">
        <f t="shared" si="3"/>
        <v>1</v>
      </c>
      <c r="F353" s="203">
        <v>115</v>
      </c>
      <c r="G353" s="203" t="b">
        <v>0</v>
      </c>
      <c r="H353" s="203" t="b">
        <v>0</v>
      </c>
      <c r="I353" s="203" t="b">
        <v>0</v>
      </c>
      <c r="K353" s="203">
        <v>115</v>
      </c>
      <c r="L353" s="203">
        <v>1</v>
      </c>
      <c r="M353" s="203">
        <v>1</v>
      </c>
      <c r="N353" s="203">
        <v>1</v>
      </c>
    </row>
    <row r="354" spans="1:14" x14ac:dyDescent="0.2">
      <c r="A354" s="202">
        <f t="shared" si="4"/>
        <v>0</v>
      </c>
      <c r="C354" s="202">
        <f t="shared" si="3"/>
        <v>1</v>
      </c>
      <c r="F354" s="203">
        <v>116</v>
      </c>
      <c r="G354" s="203" t="b">
        <v>0</v>
      </c>
      <c r="H354" s="203" t="b">
        <v>0</v>
      </c>
      <c r="I354" s="203" t="b">
        <v>0</v>
      </c>
      <c r="K354" s="203">
        <v>116</v>
      </c>
      <c r="L354" s="203">
        <v>1</v>
      </c>
      <c r="M354" s="203">
        <v>1</v>
      </c>
      <c r="N354" s="203">
        <v>1</v>
      </c>
    </row>
    <row r="355" spans="1:14" x14ac:dyDescent="0.2">
      <c r="A355" s="202">
        <f t="shared" si="4"/>
        <v>0</v>
      </c>
      <c r="C355" s="202">
        <f t="shared" si="3"/>
        <v>1</v>
      </c>
      <c r="F355" s="203">
        <v>117</v>
      </c>
      <c r="G355" s="203" t="b">
        <v>0</v>
      </c>
      <c r="H355" s="203" t="b">
        <v>0</v>
      </c>
      <c r="I355" s="203" t="b">
        <v>0</v>
      </c>
      <c r="K355" s="203">
        <v>117</v>
      </c>
      <c r="L355" s="203">
        <v>1</v>
      </c>
      <c r="M355" s="203">
        <v>1</v>
      </c>
      <c r="N355" s="203">
        <v>1</v>
      </c>
    </row>
    <row r="356" spans="1:14" x14ac:dyDescent="0.2">
      <c r="A356" s="202">
        <f t="shared" si="4"/>
        <v>0</v>
      </c>
      <c r="C356" s="202">
        <f t="shared" si="3"/>
        <v>1</v>
      </c>
      <c r="F356" s="203">
        <v>118</v>
      </c>
      <c r="G356" s="203" t="b">
        <v>0</v>
      </c>
      <c r="H356" s="203" t="b">
        <v>0</v>
      </c>
      <c r="I356" s="203" t="b">
        <v>0</v>
      </c>
      <c r="K356" s="203">
        <v>118</v>
      </c>
      <c r="L356" s="203">
        <v>1</v>
      </c>
      <c r="M356" s="203">
        <v>1</v>
      </c>
      <c r="N356" s="203">
        <v>1</v>
      </c>
    </row>
    <row r="357" spans="1:14" x14ac:dyDescent="0.2">
      <c r="A357" s="202">
        <f t="shared" si="4"/>
        <v>0</v>
      </c>
      <c r="C357" s="202">
        <f t="shared" si="3"/>
        <v>1</v>
      </c>
      <c r="F357" s="203">
        <v>119</v>
      </c>
      <c r="G357" s="203" t="b">
        <v>0</v>
      </c>
      <c r="H357" s="203" t="b">
        <v>0</v>
      </c>
      <c r="I357" s="203" t="b">
        <v>0</v>
      </c>
      <c r="K357" s="203">
        <v>119</v>
      </c>
      <c r="L357" s="203">
        <v>1</v>
      </c>
      <c r="M357" s="203">
        <v>1</v>
      </c>
      <c r="N357" s="203">
        <v>1</v>
      </c>
    </row>
    <row r="358" spans="1:14" x14ac:dyDescent="0.2">
      <c r="A358" s="202">
        <f t="shared" si="4"/>
        <v>0</v>
      </c>
      <c r="C358" s="202">
        <f t="shared" si="3"/>
        <v>1</v>
      </c>
      <c r="F358" s="203">
        <v>120</v>
      </c>
      <c r="G358" s="203" t="b">
        <v>0</v>
      </c>
      <c r="H358" s="203" t="b">
        <v>0</v>
      </c>
      <c r="I358" s="203" t="b">
        <v>0</v>
      </c>
      <c r="K358" s="203">
        <v>120</v>
      </c>
      <c r="L358" s="203">
        <v>1</v>
      </c>
      <c r="M358" s="203">
        <v>1</v>
      </c>
      <c r="N358" s="203">
        <v>1</v>
      </c>
    </row>
    <row r="359" spans="1:14" x14ac:dyDescent="0.2">
      <c r="A359" s="202">
        <f t="shared" si="4"/>
        <v>0</v>
      </c>
      <c r="C359" s="202">
        <f t="shared" si="3"/>
        <v>1</v>
      </c>
      <c r="F359" s="203">
        <v>121</v>
      </c>
      <c r="G359" s="203" t="b">
        <v>0</v>
      </c>
      <c r="H359" s="203" t="b">
        <v>0</v>
      </c>
      <c r="I359" s="203" t="b">
        <v>0</v>
      </c>
      <c r="K359" s="203">
        <v>121</v>
      </c>
      <c r="L359" s="203">
        <v>1</v>
      </c>
      <c r="M359" s="203">
        <v>1</v>
      </c>
      <c r="N359" s="203">
        <v>1</v>
      </c>
    </row>
    <row r="360" spans="1:14" x14ac:dyDescent="0.2">
      <c r="A360" s="202">
        <f t="shared" si="4"/>
        <v>0</v>
      </c>
      <c r="C360" s="202">
        <f t="shared" si="3"/>
        <v>1</v>
      </c>
      <c r="F360" s="203">
        <v>122</v>
      </c>
      <c r="G360" s="203" t="b">
        <v>0</v>
      </c>
      <c r="H360" s="203" t="b">
        <v>0</v>
      </c>
      <c r="I360" s="203" t="b">
        <v>0</v>
      </c>
      <c r="K360" s="203">
        <v>122</v>
      </c>
      <c r="L360" s="203">
        <v>1</v>
      </c>
      <c r="M360" s="203">
        <v>1</v>
      </c>
      <c r="N360" s="203">
        <v>1</v>
      </c>
    </row>
    <row r="361" spans="1:14" x14ac:dyDescent="0.2">
      <c r="A361" s="202">
        <f t="shared" si="4"/>
        <v>0</v>
      </c>
      <c r="C361" s="202">
        <f t="shared" si="3"/>
        <v>1</v>
      </c>
      <c r="F361" s="203">
        <v>123</v>
      </c>
      <c r="G361" s="203" t="b">
        <v>0</v>
      </c>
      <c r="H361" s="203" t="b">
        <v>0</v>
      </c>
      <c r="I361" s="203" t="b">
        <v>0</v>
      </c>
      <c r="K361" s="203">
        <v>123</v>
      </c>
      <c r="L361" s="203">
        <v>1</v>
      </c>
      <c r="M361" s="203">
        <v>1</v>
      </c>
      <c r="N361" s="203">
        <v>1</v>
      </c>
    </row>
    <row r="362" spans="1:14" x14ac:dyDescent="0.2">
      <c r="A362" s="202">
        <f t="shared" si="4"/>
        <v>0</v>
      </c>
      <c r="C362" s="202">
        <f t="shared" si="3"/>
        <v>1</v>
      </c>
      <c r="F362" s="203">
        <v>124</v>
      </c>
      <c r="G362" s="203" t="b">
        <v>0</v>
      </c>
      <c r="H362" s="203" t="b">
        <v>0</v>
      </c>
      <c r="I362" s="203" t="b">
        <v>0</v>
      </c>
      <c r="K362" s="203">
        <v>124</v>
      </c>
      <c r="L362" s="203">
        <v>1</v>
      </c>
      <c r="M362" s="203">
        <v>1</v>
      </c>
      <c r="N362" s="203">
        <v>1</v>
      </c>
    </row>
    <row r="363" spans="1:14" x14ac:dyDescent="0.2">
      <c r="A363" s="202">
        <f t="shared" si="4"/>
        <v>0</v>
      </c>
      <c r="C363" s="202">
        <f t="shared" si="3"/>
        <v>1</v>
      </c>
      <c r="F363" s="203">
        <v>125</v>
      </c>
      <c r="G363" s="203" t="b">
        <v>0</v>
      </c>
      <c r="H363" s="203" t="b">
        <v>0</v>
      </c>
      <c r="I363" s="203" t="b">
        <v>0</v>
      </c>
      <c r="K363" s="203">
        <v>125</v>
      </c>
      <c r="L363" s="203">
        <v>1</v>
      </c>
      <c r="M363" s="203">
        <v>1</v>
      </c>
      <c r="N363" s="203">
        <v>1</v>
      </c>
    </row>
    <row r="364" spans="1:14" x14ac:dyDescent="0.2">
      <c r="A364" s="202">
        <f t="shared" si="4"/>
        <v>0</v>
      </c>
      <c r="C364" s="202">
        <f t="shared" si="3"/>
        <v>1</v>
      </c>
      <c r="F364" s="203">
        <v>126</v>
      </c>
      <c r="G364" s="203" t="b">
        <v>0</v>
      </c>
      <c r="H364" s="203" t="b">
        <v>0</v>
      </c>
      <c r="I364" s="203" t="b">
        <v>0</v>
      </c>
      <c r="K364" s="203">
        <v>126</v>
      </c>
      <c r="L364" s="203">
        <v>1</v>
      </c>
      <c r="M364" s="203">
        <v>1</v>
      </c>
      <c r="N364" s="203">
        <v>1</v>
      </c>
    </row>
    <row r="365" spans="1:14" x14ac:dyDescent="0.2">
      <c r="A365" s="202">
        <f t="shared" si="4"/>
        <v>0</v>
      </c>
      <c r="C365" s="202">
        <f t="shared" si="3"/>
        <v>1</v>
      </c>
      <c r="F365" s="203">
        <v>127</v>
      </c>
      <c r="G365" s="203" t="b">
        <v>0</v>
      </c>
      <c r="H365" s="203" t="b">
        <v>0</v>
      </c>
      <c r="I365" s="203" t="b">
        <v>0</v>
      </c>
      <c r="K365" s="203">
        <v>127</v>
      </c>
      <c r="L365" s="203">
        <v>1</v>
      </c>
      <c r="M365" s="203">
        <v>1</v>
      </c>
      <c r="N365" s="203">
        <v>1</v>
      </c>
    </row>
    <row r="366" spans="1:14" x14ac:dyDescent="0.2">
      <c r="A366" s="202">
        <f t="shared" si="4"/>
        <v>0</v>
      </c>
      <c r="C366" s="202">
        <f t="shared" si="3"/>
        <v>1</v>
      </c>
      <c r="F366" s="203">
        <v>128</v>
      </c>
      <c r="G366" s="203" t="b">
        <v>0</v>
      </c>
      <c r="H366" s="203" t="b">
        <v>0</v>
      </c>
      <c r="I366" s="203" t="b">
        <v>0</v>
      </c>
      <c r="K366" s="203">
        <v>128</v>
      </c>
      <c r="L366" s="203">
        <v>1</v>
      </c>
      <c r="M366" s="203">
        <v>1</v>
      </c>
      <c r="N366" s="203">
        <v>1</v>
      </c>
    </row>
    <row r="367" spans="1:14" x14ac:dyDescent="0.2">
      <c r="A367" s="202">
        <f t="shared" si="4"/>
        <v>0</v>
      </c>
      <c r="C367" s="202">
        <f t="shared" si="3"/>
        <v>1</v>
      </c>
      <c r="F367" s="203">
        <v>129</v>
      </c>
      <c r="G367" s="203" t="b">
        <v>0</v>
      </c>
      <c r="H367" s="203" t="b">
        <v>0</v>
      </c>
      <c r="I367" s="203" t="b">
        <v>0</v>
      </c>
      <c r="K367" s="203">
        <v>129</v>
      </c>
      <c r="L367" s="203">
        <v>1</v>
      </c>
      <c r="M367" s="203">
        <v>1</v>
      </c>
      <c r="N367" s="203">
        <v>1</v>
      </c>
    </row>
    <row r="368" spans="1:14" x14ac:dyDescent="0.2">
      <c r="A368" s="202">
        <f t="shared" si="4"/>
        <v>0</v>
      </c>
      <c r="C368" s="202">
        <f t="shared" si="3"/>
        <v>1</v>
      </c>
      <c r="F368" s="203">
        <v>130</v>
      </c>
      <c r="G368" s="203" t="b">
        <v>0</v>
      </c>
      <c r="H368" s="203" t="b">
        <v>0</v>
      </c>
      <c r="I368" s="203" t="b">
        <v>0</v>
      </c>
      <c r="K368" s="203">
        <v>130</v>
      </c>
      <c r="L368" s="203">
        <v>1</v>
      </c>
      <c r="M368" s="203">
        <v>1</v>
      </c>
      <c r="N368" s="203">
        <v>1</v>
      </c>
    </row>
    <row r="369" spans="1:14" x14ac:dyDescent="0.2">
      <c r="A369" s="202">
        <f t="shared" si="4"/>
        <v>0</v>
      </c>
      <c r="C369" s="202">
        <f t="shared" si="3"/>
        <v>1</v>
      </c>
      <c r="F369" s="203">
        <v>131</v>
      </c>
      <c r="G369" s="203" t="b">
        <v>0</v>
      </c>
      <c r="H369" s="203" t="b">
        <v>0</v>
      </c>
      <c r="I369" s="203" t="b">
        <v>0</v>
      </c>
      <c r="K369" s="203">
        <v>131</v>
      </c>
      <c r="L369" s="203">
        <v>1</v>
      </c>
      <c r="M369" s="203">
        <v>1</v>
      </c>
      <c r="N369" s="203">
        <v>1</v>
      </c>
    </row>
    <row r="370" spans="1:14" x14ac:dyDescent="0.2">
      <c r="A370" s="202">
        <f t="shared" si="4"/>
        <v>0</v>
      </c>
      <c r="C370" s="202">
        <f t="shared" ref="C370:C433" si="5">IF($T$41,L370,1)</f>
        <v>1</v>
      </c>
      <c r="F370" s="203">
        <v>132</v>
      </c>
      <c r="G370" s="203" t="b">
        <v>0</v>
      </c>
      <c r="H370" s="203" t="b">
        <v>0</v>
      </c>
      <c r="I370" s="203" t="b">
        <v>0</v>
      </c>
      <c r="K370" s="203">
        <v>132</v>
      </c>
      <c r="L370" s="203">
        <v>1</v>
      </c>
      <c r="M370" s="203">
        <v>1</v>
      </c>
      <c r="N370" s="203">
        <v>1</v>
      </c>
    </row>
    <row r="371" spans="1:14" x14ac:dyDescent="0.2">
      <c r="A371" s="202">
        <f t="shared" ref="A371:A434" si="6">IF(G371,1,0)</f>
        <v>0</v>
      </c>
      <c r="C371" s="202">
        <f t="shared" si="5"/>
        <v>1</v>
      </c>
      <c r="F371" s="203">
        <v>133</v>
      </c>
      <c r="G371" s="203" t="b">
        <v>0</v>
      </c>
      <c r="H371" s="203" t="b">
        <v>0</v>
      </c>
      <c r="I371" s="203" t="b">
        <v>0</v>
      </c>
      <c r="K371" s="203">
        <v>133</v>
      </c>
      <c r="L371" s="203">
        <v>1</v>
      </c>
      <c r="M371" s="203">
        <v>1</v>
      </c>
      <c r="N371" s="203">
        <v>1</v>
      </c>
    </row>
    <row r="372" spans="1:14" x14ac:dyDescent="0.2">
      <c r="A372" s="202">
        <f t="shared" si="6"/>
        <v>0</v>
      </c>
      <c r="C372" s="202">
        <f t="shared" si="5"/>
        <v>1</v>
      </c>
      <c r="F372" s="203">
        <v>134</v>
      </c>
      <c r="G372" s="203" t="b">
        <v>0</v>
      </c>
      <c r="H372" s="203" t="b">
        <v>0</v>
      </c>
      <c r="I372" s="203" t="b">
        <v>0</v>
      </c>
      <c r="K372" s="203">
        <v>134</v>
      </c>
      <c r="L372" s="203">
        <v>1</v>
      </c>
      <c r="M372" s="203">
        <v>1</v>
      </c>
      <c r="N372" s="203">
        <v>1</v>
      </c>
    </row>
    <row r="373" spans="1:14" x14ac:dyDescent="0.2">
      <c r="A373" s="202">
        <f t="shared" si="6"/>
        <v>0</v>
      </c>
      <c r="C373" s="202">
        <f t="shared" si="5"/>
        <v>1</v>
      </c>
      <c r="F373" s="203">
        <v>135</v>
      </c>
      <c r="G373" s="203" t="b">
        <v>0</v>
      </c>
      <c r="H373" s="203" t="b">
        <v>0</v>
      </c>
      <c r="I373" s="203" t="b">
        <v>0</v>
      </c>
      <c r="K373" s="203">
        <v>135</v>
      </c>
      <c r="L373" s="203">
        <v>1</v>
      </c>
      <c r="M373" s="203">
        <v>1</v>
      </c>
      <c r="N373" s="203">
        <v>1</v>
      </c>
    </row>
    <row r="374" spans="1:14" x14ac:dyDescent="0.2">
      <c r="A374" s="202">
        <f t="shared" si="6"/>
        <v>0</v>
      </c>
      <c r="C374" s="202">
        <f t="shared" si="5"/>
        <v>1</v>
      </c>
      <c r="F374" s="203">
        <v>136</v>
      </c>
      <c r="G374" s="203" t="b">
        <v>0</v>
      </c>
      <c r="H374" s="203" t="b">
        <v>0</v>
      </c>
      <c r="I374" s="203" t="b">
        <v>0</v>
      </c>
      <c r="K374" s="203">
        <v>136</v>
      </c>
      <c r="L374" s="203">
        <v>1</v>
      </c>
      <c r="M374" s="203">
        <v>1</v>
      </c>
      <c r="N374" s="203">
        <v>1</v>
      </c>
    </row>
    <row r="375" spans="1:14" x14ac:dyDescent="0.2">
      <c r="A375" s="202">
        <f t="shared" si="6"/>
        <v>0</v>
      </c>
      <c r="C375" s="202">
        <f t="shared" si="5"/>
        <v>1</v>
      </c>
      <c r="F375" s="203">
        <v>137</v>
      </c>
      <c r="G375" s="203" t="b">
        <v>0</v>
      </c>
      <c r="H375" s="203" t="b">
        <v>0</v>
      </c>
      <c r="I375" s="203" t="b">
        <v>0</v>
      </c>
      <c r="K375" s="203">
        <v>137</v>
      </c>
      <c r="L375" s="203">
        <v>1</v>
      </c>
      <c r="M375" s="203">
        <v>1</v>
      </c>
      <c r="N375" s="203">
        <v>1</v>
      </c>
    </row>
    <row r="376" spans="1:14" x14ac:dyDescent="0.2">
      <c r="A376" s="202">
        <f t="shared" si="6"/>
        <v>0</v>
      </c>
      <c r="C376" s="202">
        <f t="shared" si="5"/>
        <v>1</v>
      </c>
      <c r="F376" s="203">
        <v>138</v>
      </c>
      <c r="G376" s="203" t="b">
        <v>0</v>
      </c>
      <c r="H376" s="203" t="b">
        <v>0</v>
      </c>
      <c r="I376" s="203" t="b">
        <v>0</v>
      </c>
      <c r="K376" s="203">
        <v>138</v>
      </c>
      <c r="L376" s="203">
        <v>1</v>
      </c>
      <c r="M376" s="203">
        <v>1</v>
      </c>
      <c r="N376" s="203">
        <v>1</v>
      </c>
    </row>
    <row r="377" spans="1:14" x14ac:dyDescent="0.2">
      <c r="A377" s="202">
        <f t="shared" si="6"/>
        <v>0</v>
      </c>
      <c r="C377" s="202">
        <f t="shared" si="5"/>
        <v>1</v>
      </c>
      <c r="F377" s="203">
        <v>139</v>
      </c>
      <c r="G377" s="203" t="b">
        <v>0</v>
      </c>
      <c r="H377" s="203" t="b">
        <v>0</v>
      </c>
      <c r="I377" s="203" t="b">
        <v>0</v>
      </c>
      <c r="K377" s="203">
        <v>139</v>
      </c>
      <c r="L377" s="203">
        <v>1</v>
      </c>
      <c r="M377" s="203">
        <v>1</v>
      </c>
      <c r="N377" s="203">
        <v>1</v>
      </c>
    </row>
    <row r="378" spans="1:14" x14ac:dyDescent="0.2">
      <c r="A378" s="202">
        <f t="shared" si="6"/>
        <v>0</v>
      </c>
      <c r="C378" s="202">
        <f t="shared" si="5"/>
        <v>1</v>
      </c>
      <c r="F378" s="203">
        <v>140</v>
      </c>
      <c r="G378" s="203" t="b">
        <v>0</v>
      </c>
      <c r="H378" s="203" t="b">
        <v>0</v>
      </c>
      <c r="I378" s="203" t="b">
        <v>0</v>
      </c>
      <c r="K378" s="203">
        <v>140</v>
      </c>
      <c r="L378" s="203">
        <v>1</v>
      </c>
      <c r="M378" s="203">
        <v>1</v>
      </c>
      <c r="N378" s="203">
        <v>1</v>
      </c>
    </row>
    <row r="379" spans="1:14" x14ac:dyDescent="0.2">
      <c r="A379" s="202">
        <f t="shared" si="6"/>
        <v>0</v>
      </c>
      <c r="C379" s="202">
        <f t="shared" si="5"/>
        <v>1</v>
      </c>
      <c r="F379" s="203">
        <v>141</v>
      </c>
      <c r="G379" s="203" t="b">
        <v>0</v>
      </c>
      <c r="H379" s="203" t="b">
        <v>0</v>
      </c>
      <c r="I379" s="203" t="b">
        <v>0</v>
      </c>
      <c r="K379" s="203">
        <v>141</v>
      </c>
      <c r="L379" s="203">
        <v>1</v>
      </c>
      <c r="M379" s="203">
        <v>1</v>
      </c>
      <c r="N379" s="203">
        <v>1</v>
      </c>
    </row>
    <row r="380" spans="1:14" x14ac:dyDescent="0.2">
      <c r="A380" s="202">
        <f t="shared" si="6"/>
        <v>0</v>
      </c>
      <c r="C380" s="202">
        <f t="shared" si="5"/>
        <v>1</v>
      </c>
      <c r="F380" s="203">
        <v>142</v>
      </c>
      <c r="G380" s="203" t="b">
        <v>0</v>
      </c>
      <c r="H380" s="203" t="b">
        <v>0</v>
      </c>
      <c r="I380" s="203" t="b">
        <v>0</v>
      </c>
      <c r="K380" s="203">
        <v>142</v>
      </c>
      <c r="L380" s="203">
        <v>1</v>
      </c>
      <c r="M380" s="203">
        <v>1</v>
      </c>
      <c r="N380" s="203">
        <v>1</v>
      </c>
    </row>
    <row r="381" spans="1:14" x14ac:dyDescent="0.2">
      <c r="A381" s="202">
        <f t="shared" si="6"/>
        <v>0</v>
      </c>
      <c r="C381" s="202">
        <f t="shared" si="5"/>
        <v>1</v>
      </c>
      <c r="F381" s="203">
        <v>143</v>
      </c>
      <c r="G381" s="203" t="b">
        <v>0</v>
      </c>
      <c r="H381" s="203" t="b">
        <v>0</v>
      </c>
      <c r="I381" s="203" t="b">
        <v>0</v>
      </c>
      <c r="K381" s="203">
        <v>143</v>
      </c>
      <c r="L381" s="203">
        <v>1</v>
      </c>
      <c r="M381" s="203">
        <v>1</v>
      </c>
      <c r="N381" s="203">
        <v>1</v>
      </c>
    </row>
    <row r="382" spans="1:14" x14ac:dyDescent="0.2">
      <c r="A382" s="202">
        <f t="shared" si="6"/>
        <v>0</v>
      </c>
      <c r="C382" s="202">
        <f t="shared" si="5"/>
        <v>1</v>
      </c>
      <c r="F382" s="203">
        <v>144</v>
      </c>
      <c r="G382" s="203" t="b">
        <v>0</v>
      </c>
      <c r="H382" s="203" t="b">
        <v>0</v>
      </c>
      <c r="I382" s="203" t="b">
        <v>0</v>
      </c>
      <c r="K382" s="203">
        <v>144</v>
      </c>
      <c r="L382" s="203">
        <v>1</v>
      </c>
      <c r="M382" s="203">
        <v>1</v>
      </c>
      <c r="N382" s="203">
        <v>1</v>
      </c>
    </row>
    <row r="383" spans="1:14" x14ac:dyDescent="0.2">
      <c r="A383" s="202">
        <f t="shared" si="6"/>
        <v>0</v>
      </c>
      <c r="C383" s="202">
        <f t="shared" si="5"/>
        <v>1</v>
      </c>
      <c r="F383" s="203">
        <v>145</v>
      </c>
      <c r="G383" s="203" t="b">
        <v>0</v>
      </c>
      <c r="H383" s="203" t="b">
        <v>0</v>
      </c>
      <c r="I383" s="203" t="b">
        <v>0</v>
      </c>
      <c r="K383" s="203">
        <v>145</v>
      </c>
      <c r="L383" s="203">
        <v>1</v>
      </c>
      <c r="M383" s="203">
        <v>1</v>
      </c>
      <c r="N383" s="203">
        <v>1</v>
      </c>
    </row>
    <row r="384" spans="1:14" x14ac:dyDescent="0.2">
      <c r="A384" s="202">
        <f t="shared" si="6"/>
        <v>0</v>
      </c>
      <c r="C384" s="202">
        <f t="shared" si="5"/>
        <v>1</v>
      </c>
      <c r="F384" s="203">
        <v>146</v>
      </c>
      <c r="G384" s="203" t="b">
        <v>0</v>
      </c>
      <c r="H384" s="203" t="b">
        <v>0</v>
      </c>
      <c r="I384" s="203" t="b">
        <v>0</v>
      </c>
      <c r="K384" s="203">
        <v>146</v>
      </c>
      <c r="L384" s="203">
        <v>1</v>
      </c>
      <c r="M384" s="203">
        <v>1</v>
      </c>
      <c r="N384" s="203">
        <v>1</v>
      </c>
    </row>
    <row r="385" spans="1:14" x14ac:dyDescent="0.2">
      <c r="A385" s="202">
        <f t="shared" si="6"/>
        <v>0</v>
      </c>
      <c r="C385" s="202">
        <f t="shared" si="5"/>
        <v>1</v>
      </c>
      <c r="F385" s="203">
        <v>147</v>
      </c>
      <c r="G385" s="203" t="b">
        <v>0</v>
      </c>
      <c r="H385" s="203" t="b">
        <v>0</v>
      </c>
      <c r="I385" s="203" t="b">
        <v>0</v>
      </c>
      <c r="K385" s="203">
        <v>147</v>
      </c>
      <c r="L385" s="203">
        <v>1</v>
      </c>
      <c r="M385" s="203">
        <v>1</v>
      </c>
      <c r="N385" s="203">
        <v>1</v>
      </c>
    </row>
    <row r="386" spans="1:14" x14ac:dyDescent="0.2">
      <c r="A386" s="202">
        <f t="shared" si="6"/>
        <v>0</v>
      </c>
      <c r="C386" s="202">
        <f t="shared" si="5"/>
        <v>1</v>
      </c>
      <c r="F386" s="203">
        <v>148</v>
      </c>
      <c r="G386" s="203" t="b">
        <v>0</v>
      </c>
      <c r="H386" s="203" t="b">
        <v>0</v>
      </c>
      <c r="I386" s="203" t="b">
        <v>0</v>
      </c>
      <c r="K386" s="203">
        <v>148</v>
      </c>
      <c r="L386" s="203">
        <v>1</v>
      </c>
      <c r="M386" s="203">
        <v>1</v>
      </c>
      <c r="N386" s="203">
        <v>1</v>
      </c>
    </row>
    <row r="387" spans="1:14" x14ac:dyDescent="0.2">
      <c r="A387" s="202">
        <f t="shared" si="6"/>
        <v>0</v>
      </c>
      <c r="C387" s="202">
        <f t="shared" si="5"/>
        <v>1</v>
      </c>
      <c r="F387" s="203">
        <v>149</v>
      </c>
      <c r="G387" s="203" t="b">
        <v>0</v>
      </c>
      <c r="H387" s="203" t="b">
        <v>0</v>
      </c>
      <c r="I387" s="203" t="b">
        <v>0</v>
      </c>
      <c r="K387" s="203">
        <v>149</v>
      </c>
      <c r="L387" s="203">
        <v>1</v>
      </c>
      <c r="M387" s="203">
        <v>1</v>
      </c>
      <c r="N387" s="203">
        <v>1</v>
      </c>
    </row>
    <row r="388" spans="1:14" x14ac:dyDescent="0.2">
      <c r="A388" s="202">
        <f t="shared" si="6"/>
        <v>0</v>
      </c>
      <c r="C388" s="202">
        <f t="shared" si="5"/>
        <v>1</v>
      </c>
      <c r="F388" s="203">
        <v>150</v>
      </c>
      <c r="G388" s="203" t="b">
        <v>0</v>
      </c>
      <c r="H388" s="203" t="b">
        <v>0</v>
      </c>
      <c r="I388" s="203" t="b">
        <v>0</v>
      </c>
      <c r="K388" s="203">
        <v>150</v>
      </c>
      <c r="L388" s="203">
        <v>1</v>
      </c>
      <c r="M388" s="203">
        <v>1</v>
      </c>
      <c r="N388" s="203">
        <v>1</v>
      </c>
    </row>
    <row r="389" spans="1:14" x14ac:dyDescent="0.2">
      <c r="A389" s="202">
        <f t="shared" si="6"/>
        <v>0</v>
      </c>
      <c r="C389" s="202">
        <f t="shared" si="5"/>
        <v>1</v>
      </c>
      <c r="F389" s="203">
        <v>151</v>
      </c>
      <c r="G389" s="203" t="b">
        <v>0</v>
      </c>
      <c r="H389" s="203" t="b">
        <v>0</v>
      </c>
      <c r="I389" s="203" t="b">
        <v>0</v>
      </c>
      <c r="K389" s="203">
        <v>151</v>
      </c>
      <c r="L389" s="203">
        <v>1</v>
      </c>
      <c r="M389" s="203">
        <v>1</v>
      </c>
      <c r="N389" s="203">
        <v>1</v>
      </c>
    </row>
    <row r="390" spans="1:14" x14ac:dyDescent="0.2">
      <c r="A390" s="202">
        <f t="shared" si="6"/>
        <v>0</v>
      </c>
      <c r="C390" s="202">
        <f t="shared" si="5"/>
        <v>1</v>
      </c>
      <c r="F390" s="203">
        <v>152</v>
      </c>
      <c r="G390" s="203" t="b">
        <v>0</v>
      </c>
      <c r="H390" s="203" t="b">
        <v>0</v>
      </c>
      <c r="I390" s="203" t="b">
        <v>0</v>
      </c>
      <c r="K390" s="203">
        <v>152</v>
      </c>
      <c r="L390" s="203">
        <v>1</v>
      </c>
      <c r="M390" s="203">
        <v>1</v>
      </c>
      <c r="N390" s="203">
        <v>1</v>
      </c>
    </row>
    <row r="391" spans="1:14" x14ac:dyDescent="0.2">
      <c r="A391" s="202">
        <f t="shared" si="6"/>
        <v>0</v>
      </c>
      <c r="C391" s="202">
        <f t="shared" si="5"/>
        <v>1</v>
      </c>
      <c r="F391" s="203">
        <v>153</v>
      </c>
      <c r="G391" s="203" t="b">
        <v>0</v>
      </c>
      <c r="H391" s="203" t="b">
        <v>0</v>
      </c>
      <c r="I391" s="203" t="b">
        <v>0</v>
      </c>
      <c r="K391" s="203">
        <v>153</v>
      </c>
      <c r="L391" s="203">
        <v>1</v>
      </c>
      <c r="M391" s="203">
        <v>1</v>
      </c>
      <c r="N391" s="203">
        <v>1</v>
      </c>
    </row>
    <row r="392" spans="1:14" x14ac:dyDescent="0.2">
      <c r="A392" s="202">
        <f t="shared" si="6"/>
        <v>0</v>
      </c>
      <c r="C392" s="202">
        <f t="shared" si="5"/>
        <v>1</v>
      </c>
      <c r="F392" s="203">
        <v>154</v>
      </c>
      <c r="G392" s="203" t="b">
        <v>0</v>
      </c>
      <c r="H392" s="203" t="b">
        <v>0</v>
      </c>
      <c r="I392" s="203" t="b">
        <v>0</v>
      </c>
      <c r="K392" s="203">
        <v>154</v>
      </c>
      <c r="L392" s="203">
        <v>1</v>
      </c>
      <c r="M392" s="203">
        <v>1</v>
      </c>
      <c r="N392" s="203">
        <v>1</v>
      </c>
    </row>
    <row r="393" spans="1:14" x14ac:dyDescent="0.2">
      <c r="A393" s="202">
        <f t="shared" si="6"/>
        <v>0</v>
      </c>
      <c r="C393" s="202">
        <f t="shared" si="5"/>
        <v>1</v>
      </c>
      <c r="F393" s="203">
        <v>155</v>
      </c>
      <c r="G393" s="203" t="b">
        <v>0</v>
      </c>
      <c r="H393" s="203" t="b">
        <v>0</v>
      </c>
      <c r="I393" s="203" t="b">
        <v>0</v>
      </c>
      <c r="K393" s="203">
        <v>155</v>
      </c>
      <c r="L393" s="203">
        <v>1</v>
      </c>
      <c r="M393" s="203">
        <v>1</v>
      </c>
      <c r="N393" s="203">
        <v>1</v>
      </c>
    </row>
    <row r="394" spans="1:14" x14ac:dyDescent="0.2">
      <c r="A394" s="202">
        <f t="shared" si="6"/>
        <v>0</v>
      </c>
      <c r="C394" s="202">
        <f t="shared" si="5"/>
        <v>1</v>
      </c>
      <c r="F394" s="203">
        <v>156</v>
      </c>
      <c r="G394" s="203" t="b">
        <v>0</v>
      </c>
      <c r="H394" s="203" t="b">
        <v>0</v>
      </c>
      <c r="I394" s="203" t="b">
        <v>0</v>
      </c>
      <c r="K394" s="203">
        <v>156</v>
      </c>
      <c r="L394" s="203">
        <v>1</v>
      </c>
      <c r="M394" s="203">
        <v>1</v>
      </c>
      <c r="N394" s="203">
        <v>1</v>
      </c>
    </row>
    <row r="395" spans="1:14" x14ac:dyDescent="0.2">
      <c r="A395" s="202">
        <f t="shared" si="6"/>
        <v>0</v>
      </c>
      <c r="C395" s="202">
        <f t="shared" si="5"/>
        <v>1</v>
      </c>
      <c r="F395" s="203">
        <v>157</v>
      </c>
      <c r="G395" s="203" t="b">
        <v>0</v>
      </c>
      <c r="H395" s="203" t="b">
        <v>0</v>
      </c>
      <c r="I395" s="203" t="b">
        <v>0</v>
      </c>
      <c r="K395" s="203">
        <v>157</v>
      </c>
      <c r="L395" s="203">
        <v>1</v>
      </c>
      <c r="M395" s="203">
        <v>1</v>
      </c>
      <c r="N395" s="203">
        <v>1</v>
      </c>
    </row>
    <row r="396" spans="1:14" x14ac:dyDescent="0.2">
      <c r="A396" s="202">
        <f t="shared" si="6"/>
        <v>0</v>
      </c>
      <c r="C396" s="202">
        <f t="shared" si="5"/>
        <v>1</v>
      </c>
      <c r="F396" s="203">
        <v>158</v>
      </c>
      <c r="G396" s="203" t="b">
        <v>0</v>
      </c>
      <c r="H396" s="203" t="b">
        <v>0</v>
      </c>
      <c r="I396" s="203" t="b">
        <v>0</v>
      </c>
      <c r="K396" s="203">
        <v>158</v>
      </c>
      <c r="L396" s="203">
        <v>1</v>
      </c>
      <c r="M396" s="203">
        <v>1</v>
      </c>
      <c r="N396" s="203">
        <v>1</v>
      </c>
    </row>
    <row r="397" spans="1:14" x14ac:dyDescent="0.2">
      <c r="A397" s="202">
        <f t="shared" si="6"/>
        <v>0</v>
      </c>
      <c r="C397" s="202">
        <f t="shared" si="5"/>
        <v>1</v>
      </c>
      <c r="F397" s="203">
        <v>159</v>
      </c>
      <c r="G397" s="203" t="b">
        <v>0</v>
      </c>
      <c r="H397" s="203" t="b">
        <v>0</v>
      </c>
      <c r="I397" s="203" t="b">
        <v>0</v>
      </c>
      <c r="K397" s="203">
        <v>159</v>
      </c>
      <c r="L397" s="203">
        <v>1</v>
      </c>
      <c r="M397" s="203">
        <v>1</v>
      </c>
      <c r="N397" s="203">
        <v>1</v>
      </c>
    </row>
    <row r="398" spans="1:14" x14ac:dyDescent="0.2">
      <c r="A398" s="202">
        <f t="shared" si="6"/>
        <v>0</v>
      </c>
      <c r="C398" s="202">
        <f t="shared" si="5"/>
        <v>1</v>
      </c>
      <c r="F398" s="203">
        <v>160</v>
      </c>
      <c r="G398" s="203" t="b">
        <v>0</v>
      </c>
      <c r="H398" s="203" t="b">
        <v>0</v>
      </c>
      <c r="I398" s="203" t="b">
        <v>0</v>
      </c>
      <c r="K398" s="203">
        <v>160</v>
      </c>
      <c r="L398" s="203">
        <v>1</v>
      </c>
      <c r="M398" s="203">
        <v>1</v>
      </c>
      <c r="N398" s="203">
        <v>1</v>
      </c>
    </row>
    <row r="399" spans="1:14" x14ac:dyDescent="0.2">
      <c r="A399" s="202">
        <f t="shared" si="6"/>
        <v>0</v>
      </c>
      <c r="C399" s="202">
        <f t="shared" si="5"/>
        <v>1</v>
      </c>
      <c r="F399" s="203">
        <v>161</v>
      </c>
      <c r="G399" s="203" t="b">
        <v>0</v>
      </c>
      <c r="H399" s="203" t="b">
        <v>0</v>
      </c>
      <c r="I399" s="203" t="b">
        <v>0</v>
      </c>
      <c r="K399" s="203">
        <v>161</v>
      </c>
      <c r="L399" s="203">
        <v>1</v>
      </c>
      <c r="M399" s="203">
        <v>1</v>
      </c>
      <c r="N399" s="203">
        <v>1</v>
      </c>
    </row>
    <row r="400" spans="1:14" x14ac:dyDescent="0.2">
      <c r="A400" s="202">
        <f t="shared" si="6"/>
        <v>0</v>
      </c>
      <c r="C400" s="202">
        <f t="shared" si="5"/>
        <v>1</v>
      </c>
      <c r="F400" s="203">
        <v>162</v>
      </c>
      <c r="G400" s="203" t="b">
        <v>0</v>
      </c>
      <c r="H400" s="203" t="b">
        <v>0</v>
      </c>
      <c r="I400" s="203" t="b">
        <v>0</v>
      </c>
      <c r="K400" s="203">
        <v>162</v>
      </c>
      <c r="L400" s="203">
        <v>1</v>
      </c>
      <c r="M400" s="203">
        <v>1</v>
      </c>
      <c r="N400" s="203">
        <v>1</v>
      </c>
    </row>
    <row r="401" spans="1:14" x14ac:dyDescent="0.2">
      <c r="A401" s="202">
        <f t="shared" si="6"/>
        <v>0</v>
      </c>
      <c r="C401" s="202">
        <f t="shared" si="5"/>
        <v>1</v>
      </c>
      <c r="F401" s="203">
        <v>163</v>
      </c>
      <c r="G401" s="203" t="b">
        <v>0</v>
      </c>
      <c r="H401" s="203" t="b">
        <v>0</v>
      </c>
      <c r="I401" s="203" t="b">
        <v>0</v>
      </c>
      <c r="K401" s="203">
        <v>163</v>
      </c>
      <c r="L401" s="203">
        <v>1</v>
      </c>
      <c r="M401" s="203">
        <v>1</v>
      </c>
      <c r="N401" s="203">
        <v>1</v>
      </c>
    </row>
    <row r="402" spans="1:14" x14ac:dyDescent="0.2">
      <c r="A402" s="202">
        <f t="shared" si="6"/>
        <v>0</v>
      </c>
      <c r="C402" s="202">
        <f t="shared" si="5"/>
        <v>1</v>
      </c>
      <c r="F402" s="203">
        <v>164</v>
      </c>
      <c r="G402" s="203" t="b">
        <v>0</v>
      </c>
      <c r="H402" s="203" t="b">
        <v>0</v>
      </c>
      <c r="I402" s="203" t="b">
        <v>0</v>
      </c>
      <c r="K402" s="203">
        <v>164</v>
      </c>
      <c r="L402" s="203">
        <v>1</v>
      </c>
      <c r="M402" s="203">
        <v>1</v>
      </c>
      <c r="N402" s="203">
        <v>1</v>
      </c>
    </row>
    <row r="403" spans="1:14" x14ac:dyDescent="0.2">
      <c r="A403" s="202">
        <f t="shared" si="6"/>
        <v>0</v>
      </c>
      <c r="C403" s="202">
        <f t="shared" si="5"/>
        <v>1</v>
      </c>
      <c r="F403" s="203">
        <v>165</v>
      </c>
      <c r="G403" s="203" t="b">
        <v>0</v>
      </c>
      <c r="H403" s="203" t="b">
        <v>0</v>
      </c>
      <c r="I403" s="203" t="b">
        <v>0</v>
      </c>
      <c r="K403" s="203">
        <v>165</v>
      </c>
      <c r="L403" s="203">
        <v>1</v>
      </c>
      <c r="M403" s="203">
        <v>1</v>
      </c>
      <c r="N403" s="203">
        <v>1</v>
      </c>
    </row>
    <row r="404" spans="1:14" x14ac:dyDescent="0.2">
      <c r="A404" s="202">
        <f t="shared" si="6"/>
        <v>0</v>
      </c>
      <c r="C404" s="202">
        <f t="shared" si="5"/>
        <v>1</v>
      </c>
      <c r="F404" s="203">
        <v>166</v>
      </c>
      <c r="G404" s="203" t="b">
        <v>0</v>
      </c>
      <c r="H404" s="203" t="b">
        <v>0</v>
      </c>
      <c r="I404" s="203" t="b">
        <v>0</v>
      </c>
      <c r="K404" s="203">
        <v>166</v>
      </c>
      <c r="L404" s="203">
        <v>1</v>
      </c>
      <c r="M404" s="203">
        <v>1</v>
      </c>
      <c r="N404" s="203">
        <v>1</v>
      </c>
    </row>
    <row r="405" spans="1:14" x14ac:dyDescent="0.2">
      <c r="A405" s="202">
        <f t="shared" si="6"/>
        <v>0</v>
      </c>
      <c r="C405" s="202">
        <f t="shared" si="5"/>
        <v>1</v>
      </c>
      <c r="F405" s="203">
        <v>167</v>
      </c>
      <c r="G405" s="203" t="b">
        <v>0</v>
      </c>
      <c r="H405" s="203" t="b">
        <v>0</v>
      </c>
      <c r="I405" s="203" t="b">
        <v>0</v>
      </c>
      <c r="K405" s="203">
        <v>167</v>
      </c>
      <c r="L405" s="203">
        <v>1</v>
      </c>
      <c r="M405" s="203">
        <v>1</v>
      </c>
      <c r="N405" s="203">
        <v>1</v>
      </c>
    </row>
    <row r="406" spans="1:14" x14ac:dyDescent="0.2">
      <c r="A406" s="202">
        <f t="shared" si="6"/>
        <v>0</v>
      </c>
      <c r="C406" s="202">
        <f t="shared" si="5"/>
        <v>1</v>
      </c>
      <c r="F406" s="203">
        <v>168</v>
      </c>
      <c r="G406" s="203" t="b">
        <v>0</v>
      </c>
      <c r="H406" s="203" t="b">
        <v>0</v>
      </c>
      <c r="I406" s="203" t="b">
        <v>0</v>
      </c>
      <c r="K406" s="203">
        <v>168</v>
      </c>
      <c r="L406" s="203">
        <v>1</v>
      </c>
      <c r="M406" s="203">
        <v>1</v>
      </c>
      <c r="N406" s="203">
        <v>1</v>
      </c>
    </row>
    <row r="407" spans="1:14" x14ac:dyDescent="0.2">
      <c r="A407" s="202">
        <f t="shared" si="6"/>
        <v>0</v>
      </c>
      <c r="C407" s="202">
        <f t="shared" si="5"/>
        <v>1</v>
      </c>
      <c r="F407" s="203">
        <v>169</v>
      </c>
      <c r="G407" s="203" t="b">
        <v>0</v>
      </c>
      <c r="H407" s="203" t="b">
        <v>0</v>
      </c>
      <c r="I407" s="203" t="b">
        <v>0</v>
      </c>
      <c r="K407" s="203">
        <v>169</v>
      </c>
      <c r="L407" s="203">
        <v>1</v>
      </c>
      <c r="M407" s="203">
        <v>1</v>
      </c>
      <c r="N407" s="203">
        <v>1</v>
      </c>
    </row>
    <row r="408" spans="1:14" x14ac:dyDescent="0.2">
      <c r="A408" s="202">
        <f t="shared" si="6"/>
        <v>0</v>
      </c>
      <c r="C408" s="202">
        <f t="shared" si="5"/>
        <v>1</v>
      </c>
      <c r="F408" s="203">
        <v>170</v>
      </c>
      <c r="G408" s="203" t="b">
        <v>0</v>
      </c>
      <c r="H408" s="203" t="b">
        <v>0</v>
      </c>
      <c r="I408" s="203" t="b">
        <v>0</v>
      </c>
      <c r="K408" s="203">
        <v>170</v>
      </c>
      <c r="L408" s="203">
        <v>1</v>
      </c>
      <c r="M408" s="203">
        <v>1</v>
      </c>
      <c r="N408" s="203">
        <v>1</v>
      </c>
    </row>
    <row r="409" spans="1:14" x14ac:dyDescent="0.2">
      <c r="A409" s="202">
        <f t="shared" si="6"/>
        <v>0</v>
      </c>
      <c r="C409" s="202">
        <f t="shared" si="5"/>
        <v>1</v>
      </c>
      <c r="F409" s="203">
        <v>171</v>
      </c>
      <c r="G409" s="203" t="b">
        <v>0</v>
      </c>
      <c r="H409" s="203" t="b">
        <v>0</v>
      </c>
      <c r="I409" s="203" t="b">
        <v>0</v>
      </c>
      <c r="K409" s="203">
        <v>171</v>
      </c>
      <c r="L409" s="203">
        <v>1</v>
      </c>
      <c r="M409" s="203">
        <v>1</v>
      </c>
      <c r="N409" s="203">
        <v>1</v>
      </c>
    </row>
    <row r="410" spans="1:14" x14ac:dyDescent="0.2">
      <c r="A410" s="202">
        <f t="shared" si="6"/>
        <v>0</v>
      </c>
      <c r="C410" s="202">
        <f t="shared" si="5"/>
        <v>1</v>
      </c>
      <c r="F410" s="203">
        <v>172</v>
      </c>
      <c r="G410" s="203" t="b">
        <v>0</v>
      </c>
      <c r="H410" s="203" t="b">
        <v>0</v>
      </c>
      <c r="I410" s="203" t="b">
        <v>0</v>
      </c>
      <c r="K410" s="203">
        <v>172</v>
      </c>
      <c r="L410" s="203">
        <v>1</v>
      </c>
      <c r="M410" s="203">
        <v>1</v>
      </c>
      <c r="N410" s="203">
        <v>1</v>
      </c>
    </row>
    <row r="411" spans="1:14" x14ac:dyDescent="0.2">
      <c r="A411" s="202">
        <f t="shared" si="6"/>
        <v>0</v>
      </c>
      <c r="C411" s="202">
        <f t="shared" si="5"/>
        <v>1</v>
      </c>
      <c r="F411" s="203">
        <v>173</v>
      </c>
      <c r="G411" s="203" t="b">
        <v>0</v>
      </c>
      <c r="H411" s="203" t="b">
        <v>0</v>
      </c>
      <c r="I411" s="203" t="b">
        <v>0</v>
      </c>
      <c r="K411" s="203">
        <v>173</v>
      </c>
      <c r="L411" s="203">
        <v>1</v>
      </c>
      <c r="M411" s="203">
        <v>1</v>
      </c>
      <c r="N411" s="203">
        <v>1</v>
      </c>
    </row>
    <row r="412" spans="1:14" x14ac:dyDescent="0.2">
      <c r="A412" s="202">
        <f t="shared" si="6"/>
        <v>0</v>
      </c>
      <c r="C412" s="202">
        <f t="shared" si="5"/>
        <v>1</v>
      </c>
      <c r="F412" s="203">
        <v>174</v>
      </c>
      <c r="G412" s="203" t="b">
        <v>0</v>
      </c>
      <c r="H412" s="203" t="b">
        <v>0</v>
      </c>
      <c r="I412" s="203" t="b">
        <v>0</v>
      </c>
      <c r="K412" s="203">
        <v>174</v>
      </c>
      <c r="L412" s="203">
        <v>1</v>
      </c>
      <c r="M412" s="203">
        <v>1</v>
      </c>
      <c r="N412" s="203">
        <v>1</v>
      </c>
    </row>
    <row r="413" spans="1:14" x14ac:dyDescent="0.2">
      <c r="A413" s="202">
        <f t="shared" si="6"/>
        <v>0</v>
      </c>
      <c r="C413" s="202">
        <f t="shared" si="5"/>
        <v>1</v>
      </c>
      <c r="F413" s="203">
        <v>175</v>
      </c>
      <c r="G413" s="203" t="b">
        <v>0</v>
      </c>
      <c r="H413" s="203" t="b">
        <v>0</v>
      </c>
      <c r="I413" s="203" t="b">
        <v>0</v>
      </c>
      <c r="K413" s="203">
        <v>175</v>
      </c>
      <c r="L413" s="203">
        <v>1</v>
      </c>
      <c r="M413" s="203">
        <v>1</v>
      </c>
      <c r="N413" s="203">
        <v>1</v>
      </c>
    </row>
    <row r="414" spans="1:14" x14ac:dyDescent="0.2">
      <c r="A414" s="202">
        <f t="shared" si="6"/>
        <v>0</v>
      </c>
      <c r="C414" s="202">
        <f t="shared" si="5"/>
        <v>1</v>
      </c>
      <c r="F414" s="203">
        <v>176</v>
      </c>
      <c r="G414" s="203" t="b">
        <v>0</v>
      </c>
      <c r="H414" s="203" t="b">
        <v>0</v>
      </c>
      <c r="I414" s="203" t="b">
        <v>0</v>
      </c>
      <c r="K414" s="203">
        <v>176</v>
      </c>
      <c r="L414" s="203">
        <v>1</v>
      </c>
      <c r="M414" s="203">
        <v>1</v>
      </c>
      <c r="N414" s="203">
        <v>1</v>
      </c>
    </row>
    <row r="415" spans="1:14" x14ac:dyDescent="0.2">
      <c r="A415" s="202">
        <f t="shared" si="6"/>
        <v>0</v>
      </c>
      <c r="C415" s="202">
        <f t="shared" si="5"/>
        <v>1</v>
      </c>
      <c r="F415" s="203">
        <v>177</v>
      </c>
      <c r="G415" s="203" t="b">
        <v>0</v>
      </c>
      <c r="H415" s="203" t="b">
        <v>0</v>
      </c>
      <c r="I415" s="203" t="b">
        <v>0</v>
      </c>
      <c r="K415" s="203">
        <v>177</v>
      </c>
      <c r="L415" s="203">
        <v>1</v>
      </c>
      <c r="M415" s="203">
        <v>1</v>
      </c>
      <c r="N415" s="203">
        <v>1</v>
      </c>
    </row>
    <row r="416" spans="1:14" x14ac:dyDescent="0.2">
      <c r="A416" s="202">
        <f t="shared" si="6"/>
        <v>0</v>
      </c>
      <c r="C416" s="202">
        <f t="shared" si="5"/>
        <v>1</v>
      </c>
      <c r="F416" s="203">
        <v>178</v>
      </c>
      <c r="G416" s="203" t="b">
        <v>0</v>
      </c>
      <c r="H416" s="203" t="b">
        <v>0</v>
      </c>
      <c r="I416" s="203" t="b">
        <v>0</v>
      </c>
      <c r="K416" s="203">
        <v>178</v>
      </c>
      <c r="L416" s="203">
        <v>1</v>
      </c>
      <c r="M416" s="203">
        <v>1</v>
      </c>
      <c r="N416" s="203">
        <v>1</v>
      </c>
    </row>
    <row r="417" spans="1:14" x14ac:dyDescent="0.2">
      <c r="A417" s="202">
        <f t="shared" si="6"/>
        <v>0</v>
      </c>
      <c r="C417" s="202">
        <f t="shared" si="5"/>
        <v>1</v>
      </c>
      <c r="F417" s="203">
        <v>179</v>
      </c>
      <c r="G417" s="203" t="b">
        <v>0</v>
      </c>
      <c r="H417" s="203" t="b">
        <v>0</v>
      </c>
      <c r="I417" s="203" t="b">
        <v>0</v>
      </c>
      <c r="K417" s="203">
        <v>179</v>
      </c>
      <c r="L417" s="203">
        <v>1</v>
      </c>
      <c r="M417" s="203">
        <v>1</v>
      </c>
      <c r="N417" s="203">
        <v>1</v>
      </c>
    </row>
    <row r="418" spans="1:14" x14ac:dyDescent="0.2">
      <c r="A418" s="202">
        <f t="shared" si="6"/>
        <v>0</v>
      </c>
      <c r="C418" s="202">
        <f t="shared" si="5"/>
        <v>1</v>
      </c>
      <c r="F418" s="203">
        <v>180</v>
      </c>
      <c r="G418" s="203" t="b">
        <v>0</v>
      </c>
      <c r="H418" s="203" t="b">
        <v>0</v>
      </c>
      <c r="I418" s="203" t="b">
        <v>0</v>
      </c>
      <c r="K418" s="203">
        <v>180</v>
      </c>
      <c r="L418" s="203">
        <v>1</v>
      </c>
      <c r="M418" s="203">
        <v>1</v>
      </c>
      <c r="N418" s="203">
        <v>1</v>
      </c>
    </row>
    <row r="419" spans="1:14" x14ac:dyDescent="0.2">
      <c r="A419" s="202">
        <f t="shared" si="6"/>
        <v>0</v>
      </c>
      <c r="C419" s="202">
        <f t="shared" si="5"/>
        <v>1</v>
      </c>
      <c r="F419" s="203">
        <v>181</v>
      </c>
      <c r="G419" s="203" t="b">
        <v>0</v>
      </c>
      <c r="H419" s="203" t="b">
        <v>0</v>
      </c>
      <c r="I419" s="203" t="b">
        <v>0</v>
      </c>
      <c r="K419" s="203">
        <v>181</v>
      </c>
      <c r="L419" s="203">
        <v>1</v>
      </c>
      <c r="M419" s="203">
        <v>1</v>
      </c>
      <c r="N419" s="203">
        <v>1</v>
      </c>
    </row>
    <row r="420" spans="1:14" x14ac:dyDescent="0.2">
      <c r="A420" s="202">
        <f t="shared" si="6"/>
        <v>0</v>
      </c>
      <c r="C420" s="202">
        <f t="shared" si="5"/>
        <v>1</v>
      </c>
      <c r="F420" s="203">
        <v>182</v>
      </c>
      <c r="G420" s="203" t="b">
        <v>0</v>
      </c>
      <c r="H420" s="203" t="b">
        <v>0</v>
      </c>
      <c r="I420" s="203" t="b">
        <v>0</v>
      </c>
      <c r="K420" s="203">
        <v>182</v>
      </c>
      <c r="L420" s="203">
        <v>1</v>
      </c>
      <c r="M420" s="203">
        <v>1</v>
      </c>
      <c r="N420" s="203">
        <v>1</v>
      </c>
    </row>
    <row r="421" spans="1:14" x14ac:dyDescent="0.2">
      <c r="A421" s="202">
        <f t="shared" si="6"/>
        <v>0</v>
      </c>
      <c r="C421" s="202">
        <f t="shared" si="5"/>
        <v>1</v>
      </c>
      <c r="F421" s="203">
        <v>183</v>
      </c>
      <c r="G421" s="203" t="b">
        <v>0</v>
      </c>
      <c r="H421" s="203" t="b">
        <v>0</v>
      </c>
      <c r="I421" s="203" t="b">
        <v>0</v>
      </c>
      <c r="K421" s="203">
        <v>183</v>
      </c>
      <c r="L421" s="203">
        <v>1</v>
      </c>
      <c r="M421" s="203">
        <v>1</v>
      </c>
      <c r="N421" s="203">
        <v>1</v>
      </c>
    </row>
    <row r="422" spans="1:14" x14ac:dyDescent="0.2">
      <c r="A422" s="202">
        <f t="shared" si="6"/>
        <v>0</v>
      </c>
      <c r="C422" s="202">
        <f t="shared" si="5"/>
        <v>1</v>
      </c>
      <c r="F422" s="203">
        <v>184</v>
      </c>
      <c r="G422" s="203" t="b">
        <v>0</v>
      </c>
      <c r="H422" s="203" t="b">
        <v>0</v>
      </c>
      <c r="I422" s="203" t="b">
        <v>0</v>
      </c>
      <c r="K422" s="203">
        <v>184</v>
      </c>
      <c r="L422" s="203">
        <v>1</v>
      </c>
      <c r="M422" s="203">
        <v>1</v>
      </c>
      <c r="N422" s="203">
        <v>1</v>
      </c>
    </row>
    <row r="423" spans="1:14" x14ac:dyDescent="0.2">
      <c r="A423" s="202">
        <f t="shared" si="6"/>
        <v>0</v>
      </c>
      <c r="C423" s="202">
        <f t="shared" si="5"/>
        <v>1</v>
      </c>
      <c r="F423" s="203">
        <v>185</v>
      </c>
      <c r="G423" s="203" t="b">
        <v>0</v>
      </c>
      <c r="H423" s="203" t="b">
        <v>0</v>
      </c>
      <c r="I423" s="203" t="b">
        <v>0</v>
      </c>
      <c r="K423" s="203">
        <v>185</v>
      </c>
      <c r="L423" s="203">
        <v>1</v>
      </c>
      <c r="M423" s="203">
        <v>1</v>
      </c>
      <c r="N423" s="203">
        <v>1</v>
      </c>
    </row>
    <row r="424" spans="1:14" x14ac:dyDescent="0.2">
      <c r="A424" s="202">
        <f t="shared" si="6"/>
        <v>0</v>
      </c>
      <c r="C424" s="202">
        <f t="shared" si="5"/>
        <v>1</v>
      </c>
      <c r="F424" s="203">
        <v>186</v>
      </c>
      <c r="G424" s="203" t="b">
        <v>0</v>
      </c>
      <c r="H424" s="203" t="b">
        <v>0</v>
      </c>
      <c r="I424" s="203" t="b">
        <v>0</v>
      </c>
      <c r="K424" s="203">
        <v>186</v>
      </c>
      <c r="L424" s="203">
        <v>1</v>
      </c>
      <c r="M424" s="203">
        <v>1</v>
      </c>
      <c r="N424" s="203">
        <v>1</v>
      </c>
    </row>
    <row r="425" spans="1:14" x14ac:dyDescent="0.2">
      <c r="A425" s="202">
        <f t="shared" si="6"/>
        <v>0</v>
      </c>
      <c r="C425" s="202">
        <f t="shared" si="5"/>
        <v>1</v>
      </c>
      <c r="F425" s="203">
        <v>187</v>
      </c>
      <c r="G425" s="203" t="b">
        <v>0</v>
      </c>
      <c r="H425" s="203" t="b">
        <v>0</v>
      </c>
      <c r="I425" s="203" t="b">
        <v>0</v>
      </c>
      <c r="K425" s="203">
        <v>187</v>
      </c>
      <c r="L425" s="203">
        <v>1</v>
      </c>
      <c r="M425" s="203">
        <v>1</v>
      </c>
      <c r="N425" s="203">
        <v>1</v>
      </c>
    </row>
    <row r="426" spans="1:14" x14ac:dyDescent="0.2">
      <c r="A426" s="202">
        <f t="shared" si="6"/>
        <v>0</v>
      </c>
      <c r="C426" s="202">
        <f t="shared" si="5"/>
        <v>1</v>
      </c>
      <c r="F426" s="203">
        <v>188</v>
      </c>
      <c r="G426" s="203" t="b">
        <v>0</v>
      </c>
      <c r="H426" s="203" t="b">
        <v>0</v>
      </c>
      <c r="I426" s="203" t="b">
        <v>0</v>
      </c>
      <c r="K426" s="203">
        <v>188</v>
      </c>
      <c r="L426" s="203">
        <v>1</v>
      </c>
      <c r="M426" s="203">
        <v>1</v>
      </c>
      <c r="N426" s="203">
        <v>1</v>
      </c>
    </row>
    <row r="427" spans="1:14" x14ac:dyDescent="0.2">
      <c r="A427" s="202">
        <f t="shared" si="6"/>
        <v>0</v>
      </c>
      <c r="C427" s="202">
        <f t="shared" si="5"/>
        <v>1</v>
      </c>
      <c r="F427" s="203">
        <v>189</v>
      </c>
      <c r="G427" s="203" t="b">
        <v>0</v>
      </c>
      <c r="H427" s="203" t="b">
        <v>0</v>
      </c>
      <c r="I427" s="203" t="b">
        <v>0</v>
      </c>
      <c r="K427" s="203">
        <v>189</v>
      </c>
      <c r="L427" s="203">
        <v>1</v>
      </c>
      <c r="M427" s="203">
        <v>1</v>
      </c>
      <c r="N427" s="203">
        <v>1</v>
      </c>
    </row>
    <row r="428" spans="1:14" x14ac:dyDescent="0.2">
      <c r="A428" s="202">
        <f t="shared" si="6"/>
        <v>0</v>
      </c>
      <c r="C428" s="202">
        <f t="shared" si="5"/>
        <v>1</v>
      </c>
      <c r="F428" s="203">
        <v>190</v>
      </c>
      <c r="G428" s="203" t="b">
        <v>0</v>
      </c>
      <c r="H428" s="203" t="b">
        <v>0</v>
      </c>
      <c r="I428" s="203" t="b">
        <v>0</v>
      </c>
      <c r="K428" s="203">
        <v>190</v>
      </c>
      <c r="L428" s="203">
        <v>1</v>
      </c>
      <c r="M428" s="203">
        <v>1</v>
      </c>
      <c r="N428" s="203">
        <v>1</v>
      </c>
    </row>
    <row r="429" spans="1:14" x14ac:dyDescent="0.2">
      <c r="A429" s="202">
        <f t="shared" si="6"/>
        <v>0</v>
      </c>
      <c r="C429" s="202">
        <f t="shared" si="5"/>
        <v>1</v>
      </c>
      <c r="F429" s="203">
        <v>191</v>
      </c>
      <c r="G429" s="203" t="b">
        <v>0</v>
      </c>
      <c r="H429" s="203" t="b">
        <v>0</v>
      </c>
      <c r="I429" s="203" t="b">
        <v>0</v>
      </c>
      <c r="K429" s="203">
        <v>191</v>
      </c>
      <c r="L429" s="203">
        <v>1</v>
      </c>
      <c r="M429" s="203">
        <v>1</v>
      </c>
      <c r="N429" s="203">
        <v>1</v>
      </c>
    </row>
    <row r="430" spans="1:14" x14ac:dyDescent="0.2">
      <c r="A430" s="202">
        <f t="shared" si="6"/>
        <v>0</v>
      </c>
      <c r="C430" s="202">
        <f t="shared" si="5"/>
        <v>1</v>
      </c>
      <c r="F430" s="203">
        <v>192</v>
      </c>
      <c r="G430" s="203" t="b">
        <v>0</v>
      </c>
      <c r="H430" s="203" t="b">
        <v>0</v>
      </c>
      <c r="I430" s="203" t="b">
        <v>0</v>
      </c>
      <c r="K430" s="203">
        <v>192</v>
      </c>
      <c r="L430" s="203">
        <v>1</v>
      </c>
      <c r="M430" s="203">
        <v>1</v>
      </c>
      <c r="N430" s="203">
        <v>1</v>
      </c>
    </row>
    <row r="431" spans="1:14" x14ac:dyDescent="0.2">
      <c r="A431" s="202">
        <f t="shared" si="6"/>
        <v>0</v>
      </c>
      <c r="C431" s="202">
        <f t="shared" si="5"/>
        <v>1</v>
      </c>
      <c r="F431" s="203">
        <v>193</v>
      </c>
      <c r="G431" s="203" t="b">
        <v>0</v>
      </c>
      <c r="H431" s="203" t="b">
        <v>0</v>
      </c>
      <c r="I431" s="203" t="b">
        <v>0</v>
      </c>
      <c r="K431" s="203">
        <v>193</v>
      </c>
      <c r="L431" s="203">
        <v>1</v>
      </c>
      <c r="M431" s="203">
        <v>1</v>
      </c>
      <c r="N431" s="203">
        <v>1</v>
      </c>
    </row>
    <row r="432" spans="1:14" x14ac:dyDescent="0.2">
      <c r="A432" s="202">
        <f t="shared" si="6"/>
        <v>0</v>
      </c>
      <c r="C432" s="202">
        <f t="shared" si="5"/>
        <v>1</v>
      </c>
      <c r="F432" s="203">
        <v>194</v>
      </c>
      <c r="G432" s="203" t="b">
        <v>0</v>
      </c>
      <c r="H432" s="203" t="b">
        <v>0</v>
      </c>
      <c r="I432" s="203" t="b">
        <v>0</v>
      </c>
      <c r="K432" s="203">
        <v>194</v>
      </c>
      <c r="L432" s="203">
        <v>1</v>
      </c>
      <c r="M432" s="203">
        <v>1</v>
      </c>
      <c r="N432" s="203">
        <v>1</v>
      </c>
    </row>
    <row r="433" spans="1:201" x14ac:dyDescent="0.2">
      <c r="A433" s="202">
        <f t="shared" si="6"/>
        <v>0</v>
      </c>
      <c r="C433" s="202">
        <f t="shared" si="5"/>
        <v>1</v>
      </c>
      <c r="F433" s="203">
        <v>195</v>
      </c>
      <c r="G433" s="203" t="b">
        <v>0</v>
      </c>
      <c r="H433" s="203" t="b">
        <v>0</v>
      </c>
      <c r="I433" s="203" t="b">
        <v>0</v>
      </c>
      <c r="K433" s="203">
        <v>195</v>
      </c>
      <c r="L433" s="203">
        <v>1</v>
      </c>
      <c r="M433" s="203">
        <v>1</v>
      </c>
      <c r="N433" s="203">
        <v>1</v>
      </c>
    </row>
    <row r="434" spans="1:201" x14ac:dyDescent="0.2">
      <c r="A434" s="202">
        <f t="shared" si="6"/>
        <v>0</v>
      </c>
      <c r="C434" s="202">
        <f t="shared" ref="C434:C438" si="7">IF($T$41,L434,1)</f>
        <v>1</v>
      </c>
      <c r="F434" s="203">
        <v>196</v>
      </c>
      <c r="G434" s="203" t="b">
        <v>0</v>
      </c>
      <c r="H434" s="203" t="b">
        <v>0</v>
      </c>
      <c r="I434" s="203" t="b">
        <v>0</v>
      </c>
      <c r="K434" s="203">
        <v>196</v>
      </c>
      <c r="L434" s="203">
        <v>1</v>
      </c>
      <c r="M434" s="203">
        <v>1</v>
      </c>
      <c r="N434" s="203">
        <v>1</v>
      </c>
    </row>
    <row r="435" spans="1:201" x14ac:dyDescent="0.2">
      <c r="A435" s="202">
        <f t="shared" ref="A435:A438" si="8">IF(G435,1,0)</f>
        <v>0</v>
      </c>
      <c r="C435" s="202">
        <f t="shared" si="7"/>
        <v>1</v>
      </c>
      <c r="F435" s="203">
        <v>197</v>
      </c>
      <c r="G435" s="203" t="b">
        <v>0</v>
      </c>
      <c r="H435" s="203" t="b">
        <v>0</v>
      </c>
      <c r="I435" s="203" t="b">
        <v>0</v>
      </c>
      <c r="K435" s="203">
        <v>197</v>
      </c>
      <c r="L435" s="203">
        <v>1</v>
      </c>
      <c r="M435" s="203">
        <v>1</v>
      </c>
      <c r="N435" s="203">
        <v>1</v>
      </c>
    </row>
    <row r="436" spans="1:201" x14ac:dyDescent="0.2">
      <c r="A436" s="202">
        <f t="shared" si="8"/>
        <v>0</v>
      </c>
      <c r="C436" s="202">
        <f t="shared" si="7"/>
        <v>1</v>
      </c>
      <c r="F436" s="203">
        <v>198</v>
      </c>
      <c r="G436" s="203" t="b">
        <v>0</v>
      </c>
      <c r="H436" s="203" t="b">
        <v>0</v>
      </c>
      <c r="I436" s="203" t="b">
        <v>0</v>
      </c>
      <c r="K436" s="203">
        <v>198</v>
      </c>
      <c r="L436" s="203">
        <v>1</v>
      </c>
      <c r="M436" s="203">
        <v>1</v>
      </c>
      <c r="N436" s="203">
        <v>1</v>
      </c>
    </row>
    <row r="437" spans="1:201" x14ac:dyDescent="0.2">
      <c r="A437" s="202">
        <f t="shared" si="8"/>
        <v>0</v>
      </c>
      <c r="C437" s="202">
        <f t="shared" si="7"/>
        <v>1</v>
      </c>
      <c r="F437" s="203">
        <v>199</v>
      </c>
      <c r="G437" s="203" t="b">
        <v>0</v>
      </c>
      <c r="H437" s="203" t="b">
        <v>0</v>
      </c>
      <c r="I437" s="203" t="b">
        <v>0</v>
      </c>
      <c r="K437" s="203">
        <v>199</v>
      </c>
      <c r="L437" s="203">
        <v>1</v>
      </c>
      <c r="M437" s="203">
        <v>1</v>
      </c>
      <c r="N437" s="203">
        <v>1</v>
      </c>
    </row>
    <row r="438" spans="1:201" x14ac:dyDescent="0.2">
      <c r="A438" s="202">
        <f t="shared" si="8"/>
        <v>0</v>
      </c>
      <c r="C438" s="202">
        <f t="shared" si="7"/>
        <v>1</v>
      </c>
      <c r="F438" s="203">
        <v>200</v>
      </c>
      <c r="G438" s="203" t="b">
        <v>0</v>
      </c>
      <c r="H438" s="203" t="b">
        <v>0</v>
      </c>
      <c r="I438" s="203" t="b">
        <v>0</v>
      </c>
      <c r="K438" s="203">
        <v>200</v>
      </c>
      <c r="L438" s="203">
        <v>1</v>
      </c>
      <c r="M438" s="203">
        <v>1</v>
      </c>
      <c r="N438" s="203">
        <v>1</v>
      </c>
    </row>
    <row r="440" spans="1:201" x14ac:dyDescent="0.2">
      <c r="A440" s="202" t="s">
        <v>133</v>
      </c>
      <c r="B440" s="202">
        <f>IF(G239,1,0)</f>
        <v>0</v>
      </c>
      <c r="C440" s="202">
        <f>IF(G240,1,0)</f>
        <v>0</v>
      </c>
      <c r="D440" s="202">
        <f>IF(G241,1,0)</f>
        <v>0</v>
      </c>
      <c r="E440" s="202">
        <f>IF(G242,1,0)</f>
        <v>0</v>
      </c>
      <c r="F440" s="202">
        <f>IF(G243,1,0)</f>
        <v>0</v>
      </c>
      <c r="G440" s="202">
        <f>IF(G244,1,0)</f>
        <v>0</v>
      </c>
      <c r="H440" s="202">
        <f>IF(G245,1,0)</f>
        <v>0</v>
      </c>
      <c r="I440" s="202">
        <f>IF(G246,1,0)</f>
        <v>0</v>
      </c>
      <c r="J440" s="202">
        <f>IF(G247,1,0)</f>
        <v>0</v>
      </c>
      <c r="K440" s="202">
        <f>IF(G248,1,0)</f>
        <v>0</v>
      </c>
      <c r="L440" s="202">
        <f>IF(G249,1,0)</f>
        <v>0</v>
      </c>
      <c r="M440" s="202">
        <f>IF(G250,1,0)</f>
        <v>0</v>
      </c>
      <c r="N440" s="202">
        <f>IF(G251,1,0)</f>
        <v>0</v>
      </c>
      <c r="O440" s="202">
        <f>IF(G252,1,0)</f>
        <v>0</v>
      </c>
      <c r="P440" s="202">
        <f>IF(G253,1,0)</f>
        <v>0</v>
      </c>
      <c r="Q440" s="202">
        <f>IF(G254,1,0)</f>
        <v>0</v>
      </c>
      <c r="R440" s="202">
        <f>IF(G255,1,0)</f>
        <v>0</v>
      </c>
      <c r="S440" s="202">
        <f>IF(G256,1,0)</f>
        <v>0</v>
      </c>
      <c r="T440" s="202">
        <f>IF(G257,1,0)</f>
        <v>0</v>
      </c>
      <c r="U440" s="202">
        <f>IF(G258,1,0)</f>
        <v>0</v>
      </c>
      <c r="V440" s="202">
        <f>IF(G259,1,0)</f>
        <v>0</v>
      </c>
      <c r="W440" s="202">
        <f>IF(G260,1,0)</f>
        <v>0</v>
      </c>
      <c r="X440" s="202">
        <f>IF(G261,1,0)</f>
        <v>0</v>
      </c>
      <c r="Y440" s="202">
        <f>IF(G262,1,0)</f>
        <v>0</v>
      </c>
      <c r="Z440" s="202">
        <f>IF(G263,1,0)</f>
        <v>0</v>
      </c>
      <c r="AA440" s="202">
        <f>IF(G264,1,0)</f>
        <v>0</v>
      </c>
      <c r="AB440" s="202">
        <f>IF(G265,1,0)</f>
        <v>0</v>
      </c>
      <c r="AC440" s="202">
        <f>IF(G266,1,0)</f>
        <v>0</v>
      </c>
      <c r="AD440" s="202">
        <f>IF(G267,1,0)</f>
        <v>0</v>
      </c>
      <c r="AE440" s="202">
        <f>IF(G268,1,0)</f>
        <v>0</v>
      </c>
      <c r="AF440" s="202">
        <f>IF(G269,1,0)</f>
        <v>0</v>
      </c>
      <c r="AG440" s="202">
        <f>IF(G270,1,0)</f>
        <v>0</v>
      </c>
      <c r="AH440" s="202">
        <f>IF(G271,1,0)</f>
        <v>0</v>
      </c>
      <c r="AI440" s="202">
        <f>IF(G272,1,0)</f>
        <v>0</v>
      </c>
      <c r="AJ440" s="202">
        <f>IF(G273,1,0)</f>
        <v>0</v>
      </c>
      <c r="AK440" s="202">
        <f>IF(G274,1,0)</f>
        <v>0</v>
      </c>
      <c r="AL440" s="202">
        <f>IF(G275,1,0)</f>
        <v>0</v>
      </c>
      <c r="AM440" s="202">
        <f>IF(G276,1,0)</f>
        <v>0</v>
      </c>
      <c r="AN440" s="202">
        <f>IF(G277,1,0)</f>
        <v>0</v>
      </c>
      <c r="AO440" s="202">
        <f>IF(G278,1,0)</f>
        <v>0</v>
      </c>
      <c r="AP440" s="202">
        <f>IF(G279,1,0)</f>
        <v>0</v>
      </c>
      <c r="AQ440" s="202">
        <f>IF(G280,1,0)</f>
        <v>0</v>
      </c>
      <c r="AR440" s="202">
        <f>IF(G281,1,0)</f>
        <v>0</v>
      </c>
      <c r="AS440" s="202">
        <f>IF(G282,1,0)</f>
        <v>0</v>
      </c>
      <c r="AT440" s="202">
        <f>IF(G283,1,0)</f>
        <v>0</v>
      </c>
      <c r="AU440" s="202">
        <f>IF(G284,1,0)</f>
        <v>0</v>
      </c>
      <c r="AV440" s="202">
        <f>IF(G285,1,0)</f>
        <v>0</v>
      </c>
      <c r="AW440" s="202">
        <f>IF(G286,1,0)</f>
        <v>0</v>
      </c>
      <c r="AX440" s="202">
        <f>IF(G287,1,0)</f>
        <v>0</v>
      </c>
      <c r="AY440" s="202">
        <f>IF(G288,1,0)</f>
        <v>0</v>
      </c>
      <c r="AZ440" s="202">
        <f>IF(G289,1,0)</f>
        <v>0</v>
      </c>
      <c r="BA440" s="202">
        <f>IF(G290,1,0)</f>
        <v>0</v>
      </c>
      <c r="BB440" s="202">
        <f>IF(G291,1,0)</f>
        <v>0</v>
      </c>
      <c r="BC440" s="202">
        <f>IF(G292,1,0)</f>
        <v>0</v>
      </c>
      <c r="BD440" s="202">
        <f>IF(G293,1,0)</f>
        <v>0</v>
      </c>
      <c r="BE440" s="202">
        <f>IF(G294,1,0)</f>
        <v>0</v>
      </c>
      <c r="BF440" s="202">
        <f>IF(G295,1,0)</f>
        <v>0</v>
      </c>
      <c r="BG440" s="202">
        <f>IF(G296,1,0)</f>
        <v>0</v>
      </c>
      <c r="BH440" s="202">
        <f>IF(G297,1,0)</f>
        <v>0</v>
      </c>
      <c r="BI440" s="202">
        <f>IF(G298,1,0)</f>
        <v>0</v>
      </c>
      <c r="BJ440" s="202">
        <f>IF(G299,1,0)</f>
        <v>0</v>
      </c>
      <c r="BK440" s="202">
        <f>IF(G300,1,0)</f>
        <v>0</v>
      </c>
      <c r="BL440" s="202">
        <f>IF(G301,1,0)</f>
        <v>0</v>
      </c>
      <c r="BM440" s="202">
        <f>IF(G302,1,0)</f>
        <v>0</v>
      </c>
      <c r="BN440" s="202">
        <f>IF(G303,1,0)</f>
        <v>0</v>
      </c>
      <c r="BO440" s="202">
        <f>IF(G304,1,0)</f>
        <v>0</v>
      </c>
      <c r="BP440" s="202">
        <f>IF(G305,1,0)</f>
        <v>0</v>
      </c>
      <c r="BQ440" s="202">
        <f>IF(G306,1,0)</f>
        <v>0</v>
      </c>
      <c r="BR440" s="202">
        <f>IF(G307,1,0)</f>
        <v>0</v>
      </c>
      <c r="BS440" s="202">
        <f>IF(G308,1,0)</f>
        <v>0</v>
      </c>
      <c r="BT440" s="202">
        <f>IF(G309,1,0)</f>
        <v>0</v>
      </c>
      <c r="BU440" s="202">
        <f>IF(G310,1,0)</f>
        <v>0</v>
      </c>
      <c r="BV440" s="202">
        <f>IF(G311,1,0)</f>
        <v>0</v>
      </c>
      <c r="BW440" s="202">
        <f>IF(G312,1,0)</f>
        <v>0</v>
      </c>
      <c r="BX440" s="202">
        <f>IF(G313,1,0)</f>
        <v>0</v>
      </c>
      <c r="BY440" s="202">
        <f>IF(G314,1,0)</f>
        <v>0</v>
      </c>
      <c r="BZ440" s="202">
        <f>IF(G315,1,0)</f>
        <v>0</v>
      </c>
      <c r="CA440" s="202">
        <f>IF(G316,1,0)</f>
        <v>0</v>
      </c>
      <c r="CB440" s="202">
        <f>IF(G317,1,0)</f>
        <v>0</v>
      </c>
      <c r="CC440" s="202">
        <f>IF(G318,1,0)</f>
        <v>0</v>
      </c>
      <c r="CD440" s="202">
        <f>IF(G319,1,0)</f>
        <v>0</v>
      </c>
      <c r="CE440" s="202">
        <f>IF(G320,1,0)</f>
        <v>0</v>
      </c>
      <c r="CF440" s="202">
        <f>IF(G321,1,0)</f>
        <v>0</v>
      </c>
      <c r="CG440" s="202">
        <f>IF(G322,1,0)</f>
        <v>0</v>
      </c>
      <c r="CH440" s="202">
        <f>IF(G323,1,0)</f>
        <v>0</v>
      </c>
      <c r="CI440" s="202">
        <f>IF(G324,1,0)</f>
        <v>0</v>
      </c>
      <c r="CJ440" s="202">
        <f>IF(G325,1,0)</f>
        <v>0</v>
      </c>
      <c r="CK440" s="202">
        <f>IF(G326,1,0)</f>
        <v>0</v>
      </c>
      <c r="CL440" s="202">
        <f>IF(G327,1,0)</f>
        <v>0</v>
      </c>
      <c r="CM440" s="202">
        <f>IF(G328,1,0)</f>
        <v>0</v>
      </c>
      <c r="CN440" s="202">
        <f>IF(G329,1,0)</f>
        <v>0</v>
      </c>
      <c r="CO440" s="202">
        <f>IF(G330,1,0)</f>
        <v>0</v>
      </c>
      <c r="CP440" s="202">
        <f>IF(G331,1,0)</f>
        <v>0</v>
      </c>
      <c r="CQ440" s="202">
        <f>IF(G332,1,0)</f>
        <v>0</v>
      </c>
      <c r="CR440" s="202">
        <f>IF(G333,1,0)</f>
        <v>0</v>
      </c>
      <c r="CS440" s="202">
        <f>IF(G334,1,0)</f>
        <v>0</v>
      </c>
      <c r="CT440" s="202">
        <f>IF(G335,1,0)</f>
        <v>0</v>
      </c>
      <c r="CU440" s="202">
        <f>IF(G336,1,0)</f>
        <v>0</v>
      </c>
      <c r="CV440" s="202">
        <f>IF(G337,1,0)</f>
        <v>0</v>
      </c>
      <c r="CW440" s="202">
        <f>IF(G338,1,0)</f>
        <v>0</v>
      </c>
      <c r="CX440" s="202">
        <f>IF(G339,1,0)</f>
        <v>0</v>
      </c>
      <c r="CY440" s="202">
        <f>IF(G340,1,0)</f>
        <v>0</v>
      </c>
      <c r="CZ440" s="202">
        <f>IF(G341,1,0)</f>
        <v>0</v>
      </c>
      <c r="DA440" s="202">
        <f>IF(G342,1,0)</f>
        <v>0</v>
      </c>
      <c r="DB440" s="202">
        <f>IF(G343,1,0)</f>
        <v>0</v>
      </c>
      <c r="DC440" s="202">
        <f>IF(G344,1,0)</f>
        <v>0</v>
      </c>
      <c r="DD440" s="202">
        <f>IF(G345,1,0)</f>
        <v>0</v>
      </c>
      <c r="DE440" s="202">
        <f>IF(G346,1,0)</f>
        <v>0</v>
      </c>
      <c r="DF440" s="202">
        <f>IF(G347,1,0)</f>
        <v>0</v>
      </c>
      <c r="DG440" s="202">
        <f>IF(G348,1,0)</f>
        <v>0</v>
      </c>
      <c r="DH440" s="202">
        <f>IF(G349,1,0)</f>
        <v>0</v>
      </c>
      <c r="DI440" s="202">
        <f>IF(G350,1,0)</f>
        <v>0</v>
      </c>
      <c r="DJ440" s="202">
        <f>IF(G351,1,0)</f>
        <v>0</v>
      </c>
      <c r="DK440" s="202">
        <f>IF(G352,1,0)</f>
        <v>0</v>
      </c>
      <c r="DL440" s="202">
        <f>IF(G353,1,0)</f>
        <v>0</v>
      </c>
      <c r="DM440" s="202">
        <f>IF(G354,1,0)</f>
        <v>0</v>
      </c>
      <c r="DN440" s="202">
        <f>IF(G355,1,0)</f>
        <v>0</v>
      </c>
      <c r="DO440" s="202">
        <f>IF(G356,1,0)</f>
        <v>0</v>
      </c>
      <c r="DP440" s="202">
        <f>IF(G357,1,0)</f>
        <v>0</v>
      </c>
      <c r="DQ440" s="202">
        <f>IF(G358,1,0)</f>
        <v>0</v>
      </c>
      <c r="DR440" s="202">
        <f>IF(G359,1,0)</f>
        <v>0</v>
      </c>
      <c r="DS440" s="202">
        <f>IF(G360,1,0)</f>
        <v>0</v>
      </c>
      <c r="DT440" s="202">
        <f>IF(G361,1,0)</f>
        <v>0</v>
      </c>
      <c r="DU440" s="202">
        <f>IF(G362,1,0)</f>
        <v>0</v>
      </c>
      <c r="DV440" s="202">
        <f>IF(G363,1,0)</f>
        <v>0</v>
      </c>
      <c r="DW440" s="202">
        <f>IF(G364,1,0)</f>
        <v>0</v>
      </c>
      <c r="DX440" s="202">
        <f>IF(G365,1,0)</f>
        <v>0</v>
      </c>
      <c r="DY440" s="202">
        <f>IF(G366,1,0)</f>
        <v>0</v>
      </c>
      <c r="DZ440" s="202">
        <f>IF(G367,1,0)</f>
        <v>0</v>
      </c>
      <c r="EA440" s="202">
        <f>IF(G368,1,0)</f>
        <v>0</v>
      </c>
      <c r="EB440" s="202">
        <f>IF(G369,1,0)</f>
        <v>0</v>
      </c>
      <c r="EC440" s="202">
        <f>IF(G370,1,0)</f>
        <v>0</v>
      </c>
      <c r="ED440" s="202">
        <f>IF(G371,1,0)</f>
        <v>0</v>
      </c>
      <c r="EE440" s="202">
        <f>IF(G372,1,0)</f>
        <v>0</v>
      </c>
      <c r="EF440" s="202">
        <f>IF(G373,1,0)</f>
        <v>0</v>
      </c>
      <c r="EG440" s="202">
        <f>IF(G374,1,0)</f>
        <v>0</v>
      </c>
      <c r="EH440" s="202">
        <f>IF(G375,1,0)</f>
        <v>0</v>
      </c>
      <c r="EI440" s="202">
        <f>IF(G376,1,0)</f>
        <v>0</v>
      </c>
      <c r="EJ440" s="202">
        <f>IF(G377,1,0)</f>
        <v>0</v>
      </c>
      <c r="EK440" s="202">
        <f>IF(G378,1,0)</f>
        <v>0</v>
      </c>
      <c r="EL440" s="202">
        <f>IF(G379,1,0)</f>
        <v>0</v>
      </c>
      <c r="EM440" s="202">
        <f>IF(G380,1,0)</f>
        <v>0</v>
      </c>
      <c r="EN440" s="202">
        <f>IF(G381,1,0)</f>
        <v>0</v>
      </c>
      <c r="EO440" s="202">
        <f>IF(G382,1,0)</f>
        <v>0</v>
      </c>
      <c r="EP440" s="202">
        <f>IF(G383,1,0)</f>
        <v>0</v>
      </c>
      <c r="EQ440" s="202">
        <f>IF(G384,1,0)</f>
        <v>0</v>
      </c>
      <c r="ER440" s="202">
        <f>IF(G385,1,0)</f>
        <v>0</v>
      </c>
      <c r="ES440" s="202">
        <f>IF(G386,1,0)</f>
        <v>0</v>
      </c>
      <c r="ET440" s="202">
        <f>IF(G387,1,0)</f>
        <v>0</v>
      </c>
      <c r="EU440" s="202">
        <f>IF(G388,1,0)</f>
        <v>0</v>
      </c>
      <c r="EV440" s="202">
        <f>IF(G389,1,0)</f>
        <v>0</v>
      </c>
      <c r="EW440" s="202">
        <f>IF(G390,1,0)</f>
        <v>0</v>
      </c>
      <c r="EX440" s="202">
        <f>IF(G391,1,0)</f>
        <v>0</v>
      </c>
      <c r="EY440" s="202">
        <f>IF(G392,1,0)</f>
        <v>0</v>
      </c>
      <c r="EZ440" s="202">
        <f>IF(G393,1,0)</f>
        <v>0</v>
      </c>
      <c r="FA440" s="202">
        <f>IF(G394,1,0)</f>
        <v>0</v>
      </c>
      <c r="FB440" s="202">
        <f>IF(G395,1,0)</f>
        <v>0</v>
      </c>
      <c r="FC440" s="202">
        <f>IF(G396,1,0)</f>
        <v>0</v>
      </c>
      <c r="FD440" s="202">
        <f>IF(G397,1,0)</f>
        <v>0</v>
      </c>
      <c r="FE440" s="202">
        <f>IF(G398,1,0)</f>
        <v>0</v>
      </c>
      <c r="FF440" s="202">
        <f>IF(G399,1,0)</f>
        <v>0</v>
      </c>
      <c r="FG440" s="202">
        <f>IF(G400,1,0)</f>
        <v>0</v>
      </c>
      <c r="FH440" s="202">
        <f>IF(G401,1,0)</f>
        <v>0</v>
      </c>
      <c r="FI440" s="202">
        <f>IF(G402,1,0)</f>
        <v>0</v>
      </c>
      <c r="FJ440" s="202">
        <f>IF(G403,1,0)</f>
        <v>0</v>
      </c>
      <c r="FK440" s="202">
        <f>IF(G404,1,0)</f>
        <v>0</v>
      </c>
      <c r="FL440" s="202">
        <f>IF(G405,1,0)</f>
        <v>0</v>
      </c>
      <c r="FM440" s="202">
        <f>IF(G406,1,0)</f>
        <v>0</v>
      </c>
      <c r="FN440" s="202">
        <f>IF(G407,1,0)</f>
        <v>0</v>
      </c>
      <c r="FO440" s="202">
        <f>IF(G408,1,0)</f>
        <v>0</v>
      </c>
      <c r="FP440" s="202">
        <f>IF(G409,1,0)</f>
        <v>0</v>
      </c>
      <c r="FQ440" s="202">
        <f>IF(G410,1,0)</f>
        <v>0</v>
      </c>
      <c r="FR440" s="202">
        <f>IF(G411,1,0)</f>
        <v>0</v>
      </c>
      <c r="FS440" s="202">
        <f>IF(G412,1,0)</f>
        <v>0</v>
      </c>
      <c r="FT440" s="202">
        <f>IF(G413,1,0)</f>
        <v>0</v>
      </c>
      <c r="FU440" s="202">
        <f>IF(G414,1,0)</f>
        <v>0</v>
      </c>
      <c r="FV440" s="202">
        <f>IF(G415,1,0)</f>
        <v>0</v>
      </c>
      <c r="FW440" s="202">
        <f>IF(G416,1,0)</f>
        <v>0</v>
      </c>
      <c r="FX440" s="202">
        <f>IF(G417,1,0)</f>
        <v>0</v>
      </c>
      <c r="FY440" s="202">
        <f>IF(G418,1,0)</f>
        <v>0</v>
      </c>
      <c r="FZ440" s="202">
        <f>IF(G419,1,0)</f>
        <v>0</v>
      </c>
      <c r="GA440" s="202">
        <f>IF(G420,1,0)</f>
        <v>0</v>
      </c>
      <c r="GB440" s="202">
        <f>IF(G421,1,0)</f>
        <v>0</v>
      </c>
      <c r="GC440" s="202">
        <f>IF(G422,1,0)</f>
        <v>0</v>
      </c>
      <c r="GD440" s="202">
        <f>IF(G423,1,0)</f>
        <v>0</v>
      </c>
      <c r="GE440" s="202">
        <f>IF(G424,1,0)</f>
        <v>0</v>
      </c>
      <c r="GF440" s="202">
        <f>IF(G425,1,0)</f>
        <v>0</v>
      </c>
      <c r="GG440" s="202">
        <f>IF(G426,1,0)</f>
        <v>0</v>
      </c>
      <c r="GH440" s="202">
        <f>IF(G427,1,0)</f>
        <v>0</v>
      </c>
      <c r="GI440" s="202">
        <f>IF(G428,1,0)</f>
        <v>0</v>
      </c>
      <c r="GJ440" s="202">
        <f>IF(G429,1,0)</f>
        <v>0</v>
      </c>
      <c r="GK440" s="202">
        <f>IF(G430,1,0)</f>
        <v>0</v>
      </c>
      <c r="GL440" s="202">
        <f>IF(G431,1,0)</f>
        <v>0</v>
      </c>
      <c r="GM440" s="202">
        <f>IF(G432,1,0)</f>
        <v>0</v>
      </c>
      <c r="GN440" s="202">
        <f>IF(G433,1,0)</f>
        <v>0</v>
      </c>
      <c r="GO440" s="202">
        <f>IF(G434,1,0)</f>
        <v>0</v>
      </c>
      <c r="GP440" s="202">
        <f>IF(G435,1,0)</f>
        <v>0</v>
      </c>
      <c r="GQ440" s="202">
        <f>IF(G436,1,0)</f>
        <v>0</v>
      </c>
      <c r="GR440" s="202">
        <f>IF(G437,1,0)</f>
        <v>0</v>
      </c>
      <c r="GS440" s="202">
        <f>IF(G438,1,0)</f>
        <v>0</v>
      </c>
    </row>
    <row r="442" spans="1:201" x14ac:dyDescent="0.2">
      <c r="A442" s="202" t="s">
        <v>131</v>
      </c>
      <c r="B442" s="202">
        <f>IF($T$41,L239,1)</f>
        <v>1</v>
      </c>
      <c r="C442" s="202">
        <f>IF($T$41,L240,1)</f>
        <v>1</v>
      </c>
      <c r="D442" s="202">
        <f>IF($T$41,L241,1)</f>
        <v>1</v>
      </c>
      <c r="E442" s="202">
        <f>IF($T$41,L242,1)</f>
        <v>1</v>
      </c>
      <c r="F442" s="202">
        <f>IF($T$41,L243,1)</f>
        <v>1</v>
      </c>
      <c r="G442" s="202">
        <f>IF($T$41,L244,1)</f>
        <v>1</v>
      </c>
      <c r="H442" s="202">
        <f>IF($T$41,L245,1)</f>
        <v>1</v>
      </c>
      <c r="I442" s="202">
        <f>IF($T$41,L246,1)</f>
        <v>1</v>
      </c>
      <c r="J442" s="202">
        <f>IF($T$41,L247,1)</f>
        <v>1</v>
      </c>
      <c r="K442" s="202">
        <f>IF($T$41,L248,1)</f>
        <v>1</v>
      </c>
      <c r="L442" s="202">
        <f>IF($T$41,L249,1)</f>
        <v>1</v>
      </c>
      <c r="M442" s="202">
        <f>IF($T$41,L250,1)</f>
        <v>1</v>
      </c>
      <c r="N442" s="202">
        <f>IF($T$41,L251,1)</f>
        <v>1</v>
      </c>
      <c r="O442" s="202">
        <f>IF($T$41,L252,1)</f>
        <v>1</v>
      </c>
      <c r="P442" s="202">
        <f>IF($T$41,L253,1)</f>
        <v>1</v>
      </c>
      <c r="Q442" s="202">
        <f>IF($T$41,L254,1)</f>
        <v>1</v>
      </c>
      <c r="R442" s="202">
        <f>IF($T$41,L255,1)</f>
        <v>1</v>
      </c>
      <c r="S442" s="202">
        <f>IF($T$41,L256,1)</f>
        <v>1</v>
      </c>
      <c r="T442" s="202">
        <f>IF($T$41,L257,1)</f>
        <v>1</v>
      </c>
      <c r="U442" s="202">
        <f>IF($T$41,L258,1)</f>
        <v>1</v>
      </c>
      <c r="V442" s="202">
        <f>IF($T$41,L259,1)</f>
        <v>1</v>
      </c>
      <c r="W442" s="202">
        <f>IF($T$41,L260,1)</f>
        <v>1</v>
      </c>
      <c r="X442" s="202">
        <f>IF($T$41,L261,1)</f>
        <v>1</v>
      </c>
      <c r="Y442" s="202">
        <f>IF($T$41,L262,1)</f>
        <v>1</v>
      </c>
      <c r="Z442" s="202">
        <f>IF($T$41,L263,1)</f>
        <v>1</v>
      </c>
      <c r="AA442" s="202">
        <f>IF($T$41,L264,1)</f>
        <v>1</v>
      </c>
      <c r="AB442" s="202">
        <f>IF($T$41,L265,1)</f>
        <v>1</v>
      </c>
      <c r="AC442" s="202">
        <f>IF($T$41,L266,1)</f>
        <v>1</v>
      </c>
      <c r="AD442" s="202">
        <f>IF($T$41,L267,1)</f>
        <v>1</v>
      </c>
      <c r="AE442" s="202">
        <f>IF($T$41,L268,1)</f>
        <v>1</v>
      </c>
      <c r="AF442" s="202">
        <f>IF($T$41,L269,1)</f>
        <v>1</v>
      </c>
      <c r="AG442" s="202">
        <f>IF($T$41,L270,1)</f>
        <v>1</v>
      </c>
      <c r="AH442" s="202">
        <f>IF($T$41,L271,1)</f>
        <v>1</v>
      </c>
      <c r="AI442" s="202">
        <f>IF($T$41,L272,1)</f>
        <v>1</v>
      </c>
      <c r="AJ442" s="202">
        <f>IF($T$41,L273,1)</f>
        <v>1</v>
      </c>
      <c r="AK442" s="202">
        <f>IF($T$41,L274,1)</f>
        <v>1</v>
      </c>
      <c r="AL442" s="202">
        <f>IF($T$41,L275,1)</f>
        <v>1</v>
      </c>
      <c r="AM442" s="202">
        <f>IF($T$41,L276,1)</f>
        <v>1</v>
      </c>
      <c r="AN442" s="202">
        <f>IF($T$41,L277,1)</f>
        <v>1</v>
      </c>
      <c r="AO442" s="202">
        <f>IF($T$41,L278,1)</f>
        <v>1</v>
      </c>
      <c r="AP442" s="202">
        <f>IF($T$41,L279,1)</f>
        <v>1</v>
      </c>
      <c r="AQ442" s="202">
        <f>IF($T$41,L280,1)</f>
        <v>1</v>
      </c>
      <c r="AR442" s="202">
        <f>IF($T$41,L281,1)</f>
        <v>1</v>
      </c>
      <c r="AS442" s="202">
        <f>IF($T$41,L282,1)</f>
        <v>1</v>
      </c>
      <c r="AT442" s="202">
        <f>IF($T$41,L283,1)</f>
        <v>1</v>
      </c>
      <c r="AU442" s="202">
        <f>IF($T$41,L284,1)</f>
        <v>1</v>
      </c>
      <c r="AV442" s="202">
        <f>IF($T$41,L285,1)</f>
        <v>1</v>
      </c>
      <c r="AW442" s="202">
        <f>IF($T$41,L286,1)</f>
        <v>1</v>
      </c>
      <c r="AX442" s="202">
        <f>IF($T$41,L287,1)</f>
        <v>1</v>
      </c>
      <c r="AY442" s="202">
        <f>IF($T$41,L288,1)</f>
        <v>1</v>
      </c>
      <c r="AZ442" s="202">
        <f>IF($T$41,L289,1)</f>
        <v>1</v>
      </c>
      <c r="BA442" s="202">
        <f>IF($T$41,L290,1)</f>
        <v>1</v>
      </c>
      <c r="BB442" s="202">
        <f>IF($T$41,L291,1)</f>
        <v>1</v>
      </c>
      <c r="BC442" s="202">
        <f>IF($T$41,L292,1)</f>
        <v>1</v>
      </c>
      <c r="BD442" s="202">
        <f>IF($T$41,L293,1)</f>
        <v>1</v>
      </c>
      <c r="BE442" s="202">
        <f>IF($T$41,L294,1)</f>
        <v>1</v>
      </c>
      <c r="BF442" s="202">
        <f>IF($T$41,L295,1)</f>
        <v>1</v>
      </c>
      <c r="BG442" s="202">
        <f>IF($T$41,L296,1)</f>
        <v>1</v>
      </c>
      <c r="BH442" s="202">
        <f>IF($T$41,L297,1)</f>
        <v>1</v>
      </c>
      <c r="BI442" s="202">
        <f>IF($T$41,L298,1)</f>
        <v>1</v>
      </c>
      <c r="BJ442" s="202">
        <f>IF($T$41,L299,1)</f>
        <v>1</v>
      </c>
      <c r="BK442" s="202">
        <f>IF($T$41,L300,1)</f>
        <v>1</v>
      </c>
      <c r="BL442" s="202">
        <f>IF($T$41,L301,1)</f>
        <v>1</v>
      </c>
      <c r="BM442" s="202">
        <f>IF($T$41,L302,1)</f>
        <v>1</v>
      </c>
      <c r="BN442" s="202">
        <f>IF($T$41,L303,1)</f>
        <v>1</v>
      </c>
      <c r="BO442" s="202">
        <f>IF($T$41,L304,1)</f>
        <v>1</v>
      </c>
      <c r="BP442" s="202">
        <f>IF($T$41,L305,1)</f>
        <v>1</v>
      </c>
      <c r="BQ442" s="202">
        <f>IF($T$41,L306,1)</f>
        <v>1</v>
      </c>
      <c r="BR442" s="202">
        <f>IF($T$41,L307,1)</f>
        <v>1</v>
      </c>
      <c r="BS442" s="202">
        <f>IF($T$41,L308,1)</f>
        <v>1</v>
      </c>
      <c r="BT442" s="202">
        <f>IF($T$41,L309,1)</f>
        <v>1</v>
      </c>
      <c r="BU442" s="202">
        <f>IF($T$41,L310,1)</f>
        <v>1</v>
      </c>
      <c r="BV442" s="202">
        <f>IF($T$41,L311,1)</f>
        <v>1</v>
      </c>
      <c r="BW442" s="202">
        <f>IF($T$41,L312,1)</f>
        <v>1</v>
      </c>
      <c r="BX442" s="202">
        <f>IF($T$41,L313,1)</f>
        <v>1</v>
      </c>
      <c r="BY442" s="202">
        <f>IF($T$41,L314,1)</f>
        <v>1</v>
      </c>
      <c r="BZ442" s="202">
        <f>IF($T$41,L315,1)</f>
        <v>1</v>
      </c>
      <c r="CA442" s="202">
        <f>IF($T$41,L316,1)</f>
        <v>1</v>
      </c>
      <c r="CB442" s="202">
        <f>IF($T$41,L317,1)</f>
        <v>1</v>
      </c>
      <c r="CC442" s="202">
        <f>IF($T$41,L318,1)</f>
        <v>1</v>
      </c>
      <c r="CD442" s="202">
        <f>IF($T$41,L319,1)</f>
        <v>1</v>
      </c>
      <c r="CE442" s="202">
        <f>IF($T$41,L320,1)</f>
        <v>1</v>
      </c>
      <c r="CF442" s="202">
        <f>IF($T$41,L321,1)</f>
        <v>1</v>
      </c>
      <c r="CG442" s="202">
        <f>IF($T$41,L322,1)</f>
        <v>1</v>
      </c>
      <c r="CH442" s="202">
        <f>IF($T$41,L323,1)</f>
        <v>1</v>
      </c>
      <c r="CI442" s="202">
        <f>IF($T$41,L324,1)</f>
        <v>1</v>
      </c>
      <c r="CJ442" s="202">
        <f>IF($T$41,L325,1)</f>
        <v>1</v>
      </c>
      <c r="CK442" s="202">
        <f>IF($T$41,L326,1)</f>
        <v>1</v>
      </c>
      <c r="CL442" s="202">
        <f>IF($T$41,L327,1)</f>
        <v>1</v>
      </c>
      <c r="CM442" s="202">
        <f>IF($T$41,L328,1)</f>
        <v>1</v>
      </c>
      <c r="CN442" s="202">
        <f>IF($T$41,L329,1)</f>
        <v>1</v>
      </c>
      <c r="CO442" s="202">
        <f>IF($T$41,L330,1)</f>
        <v>1</v>
      </c>
      <c r="CP442" s="202">
        <f>IF($T$41,L331,1)</f>
        <v>1</v>
      </c>
      <c r="CQ442" s="202">
        <f>IF($T$41,L332,1)</f>
        <v>1</v>
      </c>
      <c r="CR442" s="202">
        <f>IF($T$41,L333,1)</f>
        <v>1</v>
      </c>
      <c r="CS442" s="202">
        <f>IF($T$41,L334,1)</f>
        <v>1</v>
      </c>
      <c r="CT442" s="202">
        <f>IF($T$41,L335,1)</f>
        <v>1</v>
      </c>
      <c r="CU442" s="202">
        <f>IF($T$41,L336,1)</f>
        <v>1</v>
      </c>
      <c r="CV442" s="202">
        <f>IF($T$41,L337,1)</f>
        <v>1</v>
      </c>
      <c r="CW442" s="202">
        <f>IF($T$41,L338,1)</f>
        <v>1</v>
      </c>
      <c r="CX442" s="202">
        <f>IF($T$41,L339,1)</f>
        <v>1</v>
      </c>
      <c r="CY442" s="202">
        <f>IF($T$41,L340,1)</f>
        <v>1</v>
      </c>
      <c r="CZ442" s="202">
        <f>IF($T$41,L341,1)</f>
        <v>1</v>
      </c>
      <c r="DA442" s="202">
        <f>IF($T$41,L342,1)</f>
        <v>1</v>
      </c>
      <c r="DB442" s="202">
        <f>IF($T$41,L343,1)</f>
        <v>1</v>
      </c>
      <c r="DC442" s="202">
        <f>IF($T$41,L344,1)</f>
        <v>1</v>
      </c>
      <c r="DD442" s="202">
        <f>IF($T$41,L345,1)</f>
        <v>1</v>
      </c>
      <c r="DE442" s="202">
        <f>IF($T$41,L346,1)</f>
        <v>1</v>
      </c>
      <c r="DF442" s="202">
        <f>IF($T$41,L347,1)</f>
        <v>1</v>
      </c>
      <c r="DG442" s="202">
        <f>IF($T$41,L348,1)</f>
        <v>1</v>
      </c>
      <c r="DH442" s="202">
        <f>IF($T$41,L349,1)</f>
        <v>1</v>
      </c>
      <c r="DI442" s="202">
        <f>IF($T$41,L350,1)</f>
        <v>1</v>
      </c>
      <c r="DJ442" s="202">
        <f>IF($T$41,L351,1)</f>
        <v>1</v>
      </c>
      <c r="DK442" s="202">
        <f>IF($T$41,L352,1)</f>
        <v>1</v>
      </c>
      <c r="DL442" s="202">
        <f>IF($T$41,L353,1)</f>
        <v>1</v>
      </c>
      <c r="DM442" s="202">
        <f>IF($T$41,L354,1)</f>
        <v>1</v>
      </c>
      <c r="DN442" s="202">
        <f>IF($T$41,L355,1)</f>
        <v>1</v>
      </c>
      <c r="DO442" s="202">
        <f>IF($T$41,L356,1)</f>
        <v>1</v>
      </c>
      <c r="DP442" s="202">
        <f>IF($T$41,L357,1)</f>
        <v>1</v>
      </c>
      <c r="DQ442" s="202">
        <f>IF($T$41,L358,1)</f>
        <v>1</v>
      </c>
      <c r="DR442" s="202">
        <f>IF($T$41,L359,1)</f>
        <v>1</v>
      </c>
      <c r="DS442" s="202">
        <f>IF($T$41,L360,1)</f>
        <v>1</v>
      </c>
      <c r="DT442" s="202">
        <f>IF($T$41,L361,1)</f>
        <v>1</v>
      </c>
      <c r="DU442" s="202">
        <f>IF($T$41,L362,1)</f>
        <v>1</v>
      </c>
      <c r="DV442" s="202">
        <f>IF($T$41,L363,1)</f>
        <v>1</v>
      </c>
      <c r="DW442" s="202">
        <f>IF($T$41,L364,1)</f>
        <v>1</v>
      </c>
      <c r="DX442" s="202">
        <f>IF($T$41,L365,1)</f>
        <v>1</v>
      </c>
      <c r="DY442" s="202">
        <f>IF($T$41,L366,1)</f>
        <v>1</v>
      </c>
      <c r="DZ442" s="202">
        <f>IF($T$41,L367,1)</f>
        <v>1</v>
      </c>
      <c r="EA442" s="202">
        <f>IF($T$41,L368,1)</f>
        <v>1</v>
      </c>
      <c r="EB442" s="202">
        <f>IF($T$41,L369,1)</f>
        <v>1</v>
      </c>
      <c r="EC442" s="202">
        <f>IF($T$41,L370,1)</f>
        <v>1</v>
      </c>
      <c r="ED442" s="202">
        <f>IF($T$41,L371,1)</f>
        <v>1</v>
      </c>
      <c r="EE442" s="202">
        <f>IF($T$41,L372,1)</f>
        <v>1</v>
      </c>
      <c r="EF442" s="202">
        <f>IF($T$41,L373,1)</f>
        <v>1</v>
      </c>
      <c r="EG442" s="202">
        <f>IF($T$41,L374,1)</f>
        <v>1</v>
      </c>
      <c r="EH442" s="202">
        <f>IF($T$41,L375,1)</f>
        <v>1</v>
      </c>
      <c r="EI442" s="202">
        <f>IF($T$41,L376,1)</f>
        <v>1</v>
      </c>
      <c r="EJ442" s="202">
        <f>IF($T$41,L377,1)</f>
        <v>1</v>
      </c>
      <c r="EK442" s="202">
        <f>IF($T$41,L378,1)</f>
        <v>1</v>
      </c>
      <c r="EL442" s="202">
        <f>IF($T$41,L379,1)</f>
        <v>1</v>
      </c>
      <c r="EM442" s="202">
        <f>IF($T$41,L380,1)</f>
        <v>1</v>
      </c>
      <c r="EN442" s="202">
        <f>IF($T$41,L381,1)</f>
        <v>1</v>
      </c>
      <c r="EO442" s="202">
        <f>IF($T$41,L382,1)</f>
        <v>1</v>
      </c>
      <c r="EP442" s="202">
        <f>IF($T$41,L383,1)</f>
        <v>1</v>
      </c>
      <c r="EQ442" s="202">
        <f>IF($T$41,L384,1)</f>
        <v>1</v>
      </c>
      <c r="ER442" s="202">
        <f>IF($T$41,L385,1)</f>
        <v>1</v>
      </c>
      <c r="ES442" s="202">
        <f>IF($T$41,L386,1)</f>
        <v>1</v>
      </c>
      <c r="ET442" s="202">
        <f>IF($T$41,L387,1)</f>
        <v>1</v>
      </c>
      <c r="EU442" s="202">
        <f>IF($T$41,L388,1)</f>
        <v>1</v>
      </c>
      <c r="EV442" s="202">
        <f>IF($T$41,L389,1)</f>
        <v>1</v>
      </c>
      <c r="EW442" s="202">
        <f>IF($T$41,L390,1)</f>
        <v>1</v>
      </c>
      <c r="EX442" s="202">
        <f>IF($T$41,L391,1)</f>
        <v>1</v>
      </c>
      <c r="EY442" s="202">
        <f>IF($T$41,L392,1)</f>
        <v>1</v>
      </c>
      <c r="EZ442" s="202">
        <f>IF($T$41,L393,1)</f>
        <v>1</v>
      </c>
      <c r="FA442" s="202">
        <f>IF($T$41,L394,1)</f>
        <v>1</v>
      </c>
      <c r="FB442" s="202">
        <f>IF($T$41,L395,1)</f>
        <v>1</v>
      </c>
      <c r="FC442" s="202">
        <f>IF($T$41,L396,1)</f>
        <v>1</v>
      </c>
      <c r="FD442" s="202">
        <f>IF($T$41,L397,1)</f>
        <v>1</v>
      </c>
      <c r="FE442" s="202">
        <f>IF($T$41,L398,1)</f>
        <v>1</v>
      </c>
      <c r="FF442" s="202">
        <f>IF($T$41,L399,1)</f>
        <v>1</v>
      </c>
      <c r="FG442" s="202">
        <f>IF($T$41,L400,1)</f>
        <v>1</v>
      </c>
      <c r="FH442" s="202">
        <f>IF($T$41,L401,1)</f>
        <v>1</v>
      </c>
      <c r="FI442" s="202">
        <f>IF($T$41,L402,1)</f>
        <v>1</v>
      </c>
      <c r="FJ442" s="202">
        <f>IF($T$41,L403,1)</f>
        <v>1</v>
      </c>
      <c r="FK442" s="202">
        <f>IF($T$41,L404,1)</f>
        <v>1</v>
      </c>
      <c r="FL442" s="202">
        <f>IF($T$41,L405,1)</f>
        <v>1</v>
      </c>
      <c r="FM442" s="202">
        <f>IF($T$41,L406,1)</f>
        <v>1</v>
      </c>
      <c r="FN442" s="202">
        <f>IF($T$41,L407,1)</f>
        <v>1</v>
      </c>
      <c r="FO442" s="202">
        <f>IF($T$41,L408,1)</f>
        <v>1</v>
      </c>
      <c r="FP442" s="202">
        <f>IF($T$41,L409,1)</f>
        <v>1</v>
      </c>
      <c r="FQ442" s="202">
        <f>IF($T$41,L410,1)</f>
        <v>1</v>
      </c>
      <c r="FR442" s="202">
        <f>IF($T$41,L411,1)</f>
        <v>1</v>
      </c>
      <c r="FS442" s="202">
        <f>IF($T$41,L412,1)</f>
        <v>1</v>
      </c>
      <c r="FT442" s="202">
        <f>IF($T$41,L413,1)</f>
        <v>1</v>
      </c>
      <c r="FU442" s="202">
        <f>IF($T$41,L414,1)</f>
        <v>1</v>
      </c>
      <c r="FV442" s="202">
        <f>IF($T$41,L415,1)</f>
        <v>1</v>
      </c>
      <c r="FW442" s="202">
        <f>IF($T$41,L416,1)</f>
        <v>1</v>
      </c>
      <c r="FX442" s="202">
        <f>IF($T$41,L417,1)</f>
        <v>1</v>
      </c>
      <c r="FY442" s="202">
        <f>IF($T$41,L418,1)</f>
        <v>1</v>
      </c>
      <c r="FZ442" s="202">
        <f>IF($T$41,L419,1)</f>
        <v>1</v>
      </c>
      <c r="GA442" s="202">
        <f>IF($T$41,L420,1)</f>
        <v>1</v>
      </c>
      <c r="GB442" s="202">
        <f>IF($T$41,L421,1)</f>
        <v>1</v>
      </c>
      <c r="GC442" s="202">
        <f>IF($T$41,L422,1)</f>
        <v>1</v>
      </c>
      <c r="GD442" s="202">
        <f>IF($T$41,L423,1)</f>
        <v>1</v>
      </c>
      <c r="GE442" s="202">
        <f>IF($T$41,L424,1)</f>
        <v>1</v>
      </c>
      <c r="GF442" s="202">
        <f>IF($T$41,L425,1)</f>
        <v>1</v>
      </c>
      <c r="GG442" s="202">
        <f>IF($T$41,L426,1)</f>
        <v>1</v>
      </c>
      <c r="GH442" s="202">
        <f>IF($T$41,L427,1)</f>
        <v>1</v>
      </c>
      <c r="GI442" s="202">
        <f>IF($T$41,L428,1)</f>
        <v>1</v>
      </c>
      <c r="GJ442" s="202">
        <f>IF($T$41,L429,1)</f>
        <v>1</v>
      </c>
      <c r="GK442" s="202">
        <f>IF($T$41,L430,1)</f>
        <v>1</v>
      </c>
      <c r="GL442" s="202">
        <f>IF($T$41,L431,1)</f>
        <v>1</v>
      </c>
      <c r="GM442" s="202">
        <f>IF($T$41,L432,1)</f>
        <v>1</v>
      </c>
      <c r="GN442" s="202">
        <f>IF($T$41,L433,1)</f>
        <v>1</v>
      </c>
      <c r="GO442" s="202">
        <f>IF($T$41,L434,1)</f>
        <v>1</v>
      </c>
      <c r="GP442" s="202">
        <f>IF($T$41,L435,1)</f>
        <v>1</v>
      </c>
      <c r="GQ442" s="202">
        <f>IF($T$41,L436,1)</f>
        <v>1</v>
      </c>
      <c r="GR442" s="202">
        <f>IF($T$41,L437,1)</f>
        <v>1</v>
      </c>
      <c r="GS442" s="202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D21" sqref="D21"/>
    </sheetView>
  </sheetViews>
  <sheetFormatPr defaultRowHeight="12" x14ac:dyDescent="0.2"/>
  <cols>
    <col min="1" max="1" width="4.5" style="181" bestFit="1" customWidth="1"/>
    <col min="2" max="2" width="9" style="180"/>
    <col min="3" max="3" width="3.875" style="181" customWidth="1"/>
    <col min="4" max="4" width="37.375" style="180" customWidth="1"/>
    <col min="5" max="5" width="16.625" style="180" customWidth="1"/>
    <col min="6" max="6" width="4.875" style="180" customWidth="1"/>
    <col min="7" max="7" width="15.625" style="180" customWidth="1"/>
    <col min="8" max="8" width="9.375" style="180" customWidth="1"/>
    <col min="9" max="9" width="9.375" style="220" customWidth="1"/>
    <col min="10" max="10" width="9" style="180"/>
    <col min="11" max="11" width="9.25" style="218" customWidth="1"/>
    <col min="12" max="16384" width="9" style="180"/>
  </cols>
  <sheetData>
    <row r="1" spans="1:14" x14ac:dyDescent="0.2">
      <c r="A1" s="178" t="s">
        <v>10</v>
      </c>
      <c r="B1" s="179" t="s">
        <v>112</v>
      </c>
      <c r="C1" s="178"/>
      <c r="D1" s="179"/>
      <c r="E1" s="178" t="s">
        <v>113</v>
      </c>
      <c r="F1" s="178"/>
      <c r="G1" s="178" t="s">
        <v>114</v>
      </c>
      <c r="H1" s="178"/>
      <c r="I1" s="219"/>
      <c r="J1" s="221"/>
      <c r="K1" s="222"/>
      <c r="L1" s="181"/>
      <c r="N1" s="181"/>
    </row>
    <row r="2" spans="1:14" x14ac:dyDescent="0.2">
      <c r="A2" s="180"/>
      <c r="B2" s="190"/>
      <c r="C2" s="180"/>
      <c r="G2" s="188"/>
      <c r="J2" s="180" t="s">
        <v>29</v>
      </c>
      <c r="K2" s="218">
        <v>2.1282051282051282</v>
      </c>
    </row>
    <row r="3" spans="1:14" x14ac:dyDescent="0.2">
      <c r="A3" s="180"/>
      <c r="B3" s="190"/>
      <c r="C3" s="180"/>
      <c r="G3" s="188"/>
      <c r="J3" s="180" t="s">
        <v>30</v>
      </c>
      <c r="K3" s="218">
        <v>0.88636363636363635</v>
      </c>
    </row>
    <row r="4" spans="1:14" x14ac:dyDescent="0.2">
      <c r="A4" s="180"/>
      <c r="B4" s="190"/>
      <c r="C4" s="180"/>
      <c r="G4" s="188"/>
      <c r="J4" s="180" t="s">
        <v>31</v>
      </c>
      <c r="K4" s="218">
        <v>15.6</v>
      </c>
    </row>
    <row r="5" spans="1:14" x14ac:dyDescent="0.2">
      <c r="A5" s="180"/>
      <c r="C5" s="180"/>
      <c r="G5" s="188"/>
      <c r="J5" s="180" t="s">
        <v>19</v>
      </c>
      <c r="K5" s="218">
        <v>0.13642340565417488</v>
      </c>
    </row>
    <row r="6" spans="1:14" x14ac:dyDescent="0.2">
      <c r="A6" s="180"/>
      <c r="C6" s="180"/>
    </row>
    <row r="7" spans="1:14" x14ac:dyDescent="0.2">
      <c r="A7" s="180"/>
      <c r="B7" s="190"/>
      <c r="C7" s="180"/>
      <c r="G7" s="188"/>
      <c r="J7" s="180" t="s">
        <v>29</v>
      </c>
      <c r="K7" s="218">
        <v>6.8096885813148793</v>
      </c>
    </row>
    <row r="8" spans="1:14" x14ac:dyDescent="0.2">
      <c r="A8" s="180"/>
      <c r="B8" s="190"/>
      <c r="C8" s="180"/>
      <c r="G8" s="188"/>
      <c r="J8" s="180" t="s">
        <v>30</v>
      </c>
      <c r="K8" s="218">
        <v>0.17212626563430614</v>
      </c>
    </row>
    <row r="9" spans="1:14" x14ac:dyDescent="0.2">
      <c r="A9" s="180"/>
      <c r="B9" s="190"/>
      <c r="C9" s="180"/>
      <c r="G9" s="188"/>
      <c r="J9" s="180" t="s">
        <v>31</v>
      </c>
      <c r="K9" s="218">
        <v>0.29218647406434667</v>
      </c>
    </row>
    <row r="10" spans="1:14" x14ac:dyDescent="0.2">
      <c r="A10" s="180"/>
      <c r="C10" s="180"/>
      <c r="G10" s="188"/>
      <c r="J10" s="180" t="s">
        <v>19</v>
      </c>
      <c r="K10" s="218">
        <v>23.30596788616306</v>
      </c>
    </row>
    <row r="11" spans="1:14" x14ac:dyDescent="0.2">
      <c r="A11" s="180"/>
      <c r="C11" s="180"/>
    </row>
    <row r="12" spans="1:14" x14ac:dyDescent="0.2">
      <c r="A12" s="180"/>
      <c r="B12" s="190"/>
      <c r="C12" s="180"/>
      <c r="G12" s="188"/>
      <c r="J12" s="180" t="s">
        <v>29</v>
      </c>
      <c r="K12" s="218">
        <v>11.286384976525822</v>
      </c>
    </row>
    <row r="13" spans="1:14" x14ac:dyDescent="0.2">
      <c r="A13" s="180"/>
      <c r="B13" s="190"/>
      <c r="C13" s="180"/>
      <c r="G13" s="188"/>
      <c r="J13" s="180" t="s">
        <v>30</v>
      </c>
      <c r="K13" s="218">
        <v>9.7215883158375177E-2</v>
      </c>
    </row>
    <row r="14" spans="1:14" x14ac:dyDescent="0.2">
      <c r="A14" s="180"/>
      <c r="B14" s="190"/>
      <c r="C14" s="180"/>
      <c r="G14" s="188"/>
      <c r="J14" s="180" t="s">
        <v>31</v>
      </c>
      <c r="K14" s="218">
        <v>91.461538461538467</v>
      </c>
    </row>
    <row r="15" spans="1:14" x14ac:dyDescent="0.2">
      <c r="A15" s="180"/>
      <c r="C15" s="180"/>
      <c r="G15" s="188"/>
      <c r="J15" s="180" t="s">
        <v>19</v>
      </c>
      <c r="K15" s="218">
        <v>0.12340034036571546</v>
      </c>
    </row>
    <row r="16" spans="1:14" x14ac:dyDescent="0.2">
      <c r="A16" s="180"/>
      <c r="C16" s="180"/>
    </row>
    <row r="17" spans="1:7" x14ac:dyDescent="0.2">
      <c r="A17" s="180"/>
      <c r="B17" s="190"/>
      <c r="C17" s="180"/>
      <c r="G17" s="188"/>
    </row>
    <row r="18" spans="1:7" x14ac:dyDescent="0.2">
      <c r="A18" s="180"/>
      <c r="B18" s="190"/>
      <c r="C18" s="180"/>
      <c r="G18" s="188"/>
    </row>
    <row r="19" spans="1:7" x14ac:dyDescent="0.2">
      <c r="A19" s="180"/>
      <c r="B19" s="190"/>
      <c r="C19" s="180"/>
      <c r="G19" s="188"/>
    </row>
    <row r="20" spans="1:7" x14ac:dyDescent="0.2">
      <c r="A20" s="180"/>
      <c r="C20" s="180"/>
      <c r="G20" s="188"/>
    </row>
    <row r="21" spans="1:7" x14ac:dyDescent="0.2">
      <c r="A21" s="180"/>
      <c r="C21" s="180"/>
    </row>
    <row r="22" spans="1:7" x14ac:dyDescent="0.2">
      <c r="A22" s="180"/>
      <c r="B22" s="190"/>
      <c r="C22" s="180"/>
      <c r="G22" s="188"/>
    </row>
    <row r="23" spans="1:7" x14ac:dyDescent="0.2">
      <c r="A23" s="180"/>
      <c r="B23" s="190"/>
      <c r="C23" s="180"/>
      <c r="G23" s="188"/>
    </row>
    <row r="24" spans="1:7" x14ac:dyDescent="0.2">
      <c r="A24" s="180"/>
      <c r="B24" s="190"/>
      <c r="C24" s="180"/>
      <c r="G24" s="188"/>
    </row>
    <row r="25" spans="1:7" x14ac:dyDescent="0.2">
      <c r="A25" s="180"/>
      <c r="C25" s="180"/>
      <c r="G25" s="188"/>
    </row>
    <row r="26" spans="1:7" x14ac:dyDescent="0.2">
      <c r="A26" s="180"/>
      <c r="C26" s="180"/>
    </row>
    <row r="27" spans="1:7" x14ac:dyDescent="0.2">
      <c r="A27" s="180"/>
      <c r="B27" s="190"/>
      <c r="C27" s="180"/>
      <c r="G27" s="188"/>
    </row>
    <row r="28" spans="1:7" x14ac:dyDescent="0.2">
      <c r="A28" s="180"/>
      <c r="B28" s="190"/>
      <c r="C28" s="180"/>
      <c r="G28" s="188"/>
    </row>
    <row r="29" spans="1:7" x14ac:dyDescent="0.2">
      <c r="A29" s="180"/>
      <c r="B29" s="190"/>
      <c r="C29" s="180"/>
      <c r="G29" s="188"/>
    </row>
    <row r="30" spans="1:7" x14ac:dyDescent="0.2">
      <c r="A30" s="180"/>
      <c r="C30" s="180"/>
      <c r="G30" s="188"/>
    </row>
    <row r="31" spans="1:7" x14ac:dyDescent="0.2">
      <c r="A31" s="180"/>
      <c r="C31" s="180"/>
    </row>
    <row r="32" spans="1:7" x14ac:dyDescent="0.2">
      <c r="A32" s="180"/>
      <c r="B32" s="190"/>
      <c r="C32" s="180"/>
      <c r="G32" s="188"/>
    </row>
    <row r="33" spans="1:7" x14ac:dyDescent="0.2">
      <c r="A33" s="180"/>
      <c r="B33" s="190"/>
      <c r="C33" s="180"/>
      <c r="G33" s="188"/>
    </row>
    <row r="34" spans="1:7" x14ac:dyDescent="0.2">
      <c r="A34" s="180"/>
      <c r="B34" s="190"/>
      <c r="C34" s="180"/>
      <c r="G34" s="188"/>
    </row>
    <row r="35" spans="1:7" x14ac:dyDescent="0.2">
      <c r="A35" s="180"/>
      <c r="C35" s="180"/>
      <c r="G35" s="188"/>
    </row>
    <row r="36" spans="1:7" x14ac:dyDescent="0.2">
      <c r="A36" s="180"/>
      <c r="C36" s="180"/>
    </row>
    <row r="37" spans="1:7" x14ac:dyDescent="0.2">
      <c r="A37" s="180"/>
      <c r="B37" s="190"/>
      <c r="C37" s="180"/>
      <c r="G37" s="188"/>
    </row>
    <row r="38" spans="1:7" x14ac:dyDescent="0.2">
      <c r="A38" s="180"/>
      <c r="B38" s="190"/>
      <c r="C38" s="180"/>
      <c r="G38" s="188"/>
    </row>
    <row r="39" spans="1:7" x14ac:dyDescent="0.2">
      <c r="A39" s="180"/>
      <c r="B39" s="190"/>
      <c r="C39" s="180"/>
      <c r="G39" s="188"/>
    </row>
    <row r="40" spans="1:7" x14ac:dyDescent="0.2">
      <c r="A40" s="180"/>
      <c r="C40" s="180"/>
      <c r="G40" s="188"/>
    </row>
    <row r="41" spans="1:7" x14ac:dyDescent="0.2">
      <c r="A41" s="180"/>
      <c r="C41" s="180"/>
    </row>
    <row r="42" spans="1:7" x14ac:dyDescent="0.2">
      <c r="A42" s="180"/>
      <c r="B42" s="190"/>
      <c r="C42" s="180"/>
      <c r="G42" s="188"/>
    </row>
    <row r="43" spans="1:7" x14ac:dyDescent="0.2">
      <c r="A43" s="180"/>
      <c r="B43" s="190"/>
      <c r="C43" s="180"/>
      <c r="G43" s="188"/>
    </row>
    <row r="44" spans="1:7" x14ac:dyDescent="0.2">
      <c r="A44" s="180"/>
      <c r="B44" s="190"/>
      <c r="C44" s="180"/>
      <c r="G44" s="188"/>
    </row>
    <row r="45" spans="1:7" x14ac:dyDescent="0.2">
      <c r="A45" s="180"/>
      <c r="C45" s="180"/>
      <c r="G45" s="188"/>
    </row>
    <row r="46" spans="1:7" x14ac:dyDescent="0.2">
      <c r="A46" s="180"/>
      <c r="C46" s="180"/>
    </row>
    <row r="47" spans="1:7" x14ac:dyDescent="0.2">
      <c r="A47" s="180"/>
      <c r="B47" s="190"/>
      <c r="C47" s="180"/>
      <c r="G47" s="188"/>
    </row>
    <row r="48" spans="1:7" x14ac:dyDescent="0.2">
      <c r="A48" s="180"/>
      <c r="B48" s="190"/>
      <c r="C48" s="180"/>
      <c r="G48" s="188"/>
    </row>
    <row r="49" spans="1:7" x14ac:dyDescent="0.2">
      <c r="A49" s="180"/>
      <c r="B49" s="190"/>
      <c r="C49" s="180"/>
      <c r="G49" s="188"/>
    </row>
    <row r="50" spans="1:7" x14ac:dyDescent="0.2">
      <c r="A50" s="180"/>
      <c r="C50" s="180"/>
      <c r="G50" s="188"/>
    </row>
    <row r="51" spans="1:7" x14ac:dyDescent="0.2">
      <c r="A51" s="180"/>
      <c r="C51" s="180"/>
    </row>
    <row r="52" spans="1:7" x14ac:dyDescent="0.2">
      <c r="A52" s="180"/>
      <c r="B52" s="190"/>
      <c r="C52" s="180"/>
      <c r="G52" s="188"/>
    </row>
    <row r="53" spans="1:7" x14ac:dyDescent="0.2">
      <c r="A53" s="180"/>
      <c r="B53" s="190"/>
      <c r="C53" s="180"/>
      <c r="G53" s="188"/>
    </row>
    <row r="54" spans="1:7" x14ac:dyDescent="0.2">
      <c r="A54" s="180"/>
      <c r="B54" s="190"/>
      <c r="C54" s="180"/>
      <c r="G54" s="188"/>
    </row>
    <row r="55" spans="1:7" x14ac:dyDescent="0.2">
      <c r="A55" s="180"/>
      <c r="C55" s="180"/>
      <c r="G55" s="188"/>
    </row>
    <row r="56" spans="1:7" x14ac:dyDescent="0.2">
      <c r="A56" s="180"/>
      <c r="C56" s="180"/>
    </row>
    <row r="57" spans="1:7" x14ac:dyDescent="0.2">
      <c r="A57" s="180"/>
      <c r="B57" s="190"/>
      <c r="C57" s="180"/>
      <c r="G57" s="188"/>
    </row>
    <row r="58" spans="1:7" x14ac:dyDescent="0.2">
      <c r="A58" s="180"/>
      <c r="B58" s="190"/>
      <c r="C58" s="180"/>
      <c r="G58" s="188"/>
    </row>
    <row r="59" spans="1:7" x14ac:dyDescent="0.2">
      <c r="A59" s="180"/>
      <c r="B59" s="190"/>
      <c r="C59" s="180"/>
      <c r="G59" s="188"/>
    </row>
    <row r="60" spans="1:7" x14ac:dyDescent="0.2">
      <c r="A60" s="180"/>
      <c r="C60" s="180"/>
      <c r="G60" s="188"/>
    </row>
    <row r="61" spans="1:7" x14ac:dyDescent="0.2">
      <c r="A61" s="180"/>
      <c r="C61" s="180"/>
    </row>
    <row r="62" spans="1:7" x14ac:dyDescent="0.2">
      <c r="A62" s="180"/>
      <c r="B62" s="190"/>
      <c r="C62" s="180"/>
      <c r="G62" s="188"/>
    </row>
    <row r="63" spans="1:7" x14ac:dyDescent="0.2">
      <c r="A63" s="180"/>
      <c r="B63" s="190"/>
      <c r="C63" s="180"/>
      <c r="G63" s="188"/>
    </row>
    <row r="64" spans="1:7" x14ac:dyDescent="0.2">
      <c r="A64" s="180"/>
      <c r="B64" s="190"/>
      <c r="C64" s="180"/>
      <c r="G64" s="188"/>
    </row>
    <row r="65" spans="1:7" x14ac:dyDescent="0.2">
      <c r="A65" s="180"/>
      <c r="C65" s="180"/>
      <c r="G65" s="188"/>
    </row>
    <row r="66" spans="1:7" x14ac:dyDescent="0.2">
      <c r="A66" s="180"/>
      <c r="C66" s="180"/>
    </row>
    <row r="67" spans="1:7" x14ac:dyDescent="0.2">
      <c r="A67" s="180"/>
      <c r="B67" s="190"/>
      <c r="C67" s="180"/>
      <c r="G67" s="188"/>
    </row>
    <row r="68" spans="1:7" x14ac:dyDescent="0.2">
      <c r="A68" s="180"/>
      <c r="B68" s="190"/>
      <c r="C68" s="180"/>
      <c r="G68" s="188"/>
    </row>
    <row r="69" spans="1:7" x14ac:dyDescent="0.2">
      <c r="A69" s="180"/>
      <c r="B69" s="190"/>
      <c r="C69" s="180"/>
      <c r="G69" s="188"/>
    </row>
    <row r="70" spans="1:7" x14ac:dyDescent="0.2">
      <c r="A70" s="180"/>
      <c r="C70" s="180"/>
      <c r="G70" s="188"/>
    </row>
    <row r="71" spans="1:7" x14ac:dyDescent="0.2">
      <c r="A71" s="180"/>
      <c r="C71" s="180"/>
    </row>
    <row r="72" spans="1:7" x14ac:dyDescent="0.2">
      <c r="A72" s="180"/>
      <c r="B72" s="190"/>
      <c r="C72" s="180"/>
      <c r="G72" s="188"/>
    </row>
    <row r="73" spans="1:7" x14ac:dyDescent="0.2">
      <c r="A73" s="180"/>
      <c r="B73" s="190"/>
      <c r="C73" s="180"/>
      <c r="G73" s="188"/>
    </row>
    <row r="74" spans="1:7" x14ac:dyDescent="0.2">
      <c r="A74" s="180"/>
      <c r="B74" s="190"/>
      <c r="C74" s="180"/>
      <c r="G74" s="188"/>
    </row>
    <row r="75" spans="1:7" x14ac:dyDescent="0.2">
      <c r="A75" s="180"/>
      <c r="C75" s="180"/>
      <c r="G75" s="188"/>
    </row>
    <row r="76" spans="1:7" x14ac:dyDescent="0.2">
      <c r="A76" s="180"/>
      <c r="C76" s="180"/>
    </row>
    <row r="77" spans="1:7" ht="16.5" customHeight="1" x14ac:dyDescent="0.2">
      <c r="A77" s="180"/>
      <c r="B77" s="190"/>
      <c r="C77" s="180"/>
      <c r="G77" s="188"/>
    </row>
    <row r="78" spans="1:7" x14ac:dyDescent="0.2">
      <c r="A78" s="180"/>
      <c r="B78" s="190"/>
      <c r="C78" s="180"/>
      <c r="G78" s="188"/>
    </row>
    <row r="79" spans="1:7" x14ac:dyDescent="0.2">
      <c r="A79" s="180"/>
      <c r="B79" s="190"/>
      <c r="C79" s="180"/>
      <c r="G79" s="188"/>
    </row>
    <row r="80" spans="1:7" x14ac:dyDescent="0.2">
      <c r="A80" s="180"/>
      <c r="C80" s="180"/>
      <c r="G80" s="188"/>
    </row>
    <row r="81" spans="1:7" x14ac:dyDescent="0.2">
      <c r="A81" s="180"/>
      <c r="C81" s="180"/>
    </row>
    <row r="82" spans="1:7" x14ac:dyDescent="0.2">
      <c r="A82" s="180"/>
      <c r="B82" s="190"/>
      <c r="C82" s="180"/>
      <c r="G82" s="188"/>
    </row>
    <row r="83" spans="1:7" x14ac:dyDescent="0.2">
      <c r="A83" s="180"/>
      <c r="B83" s="190"/>
      <c r="C83" s="180"/>
      <c r="G83" s="188"/>
    </row>
    <row r="84" spans="1:7" x14ac:dyDescent="0.2">
      <c r="A84" s="180"/>
      <c r="B84" s="190"/>
      <c r="C84" s="180"/>
      <c r="G84" s="188"/>
    </row>
    <row r="85" spans="1:7" x14ac:dyDescent="0.2">
      <c r="A85" s="180"/>
      <c r="C85" s="180"/>
      <c r="G85" s="188"/>
    </row>
    <row r="86" spans="1:7" x14ac:dyDescent="0.2">
      <c r="A86" s="180"/>
      <c r="C86" s="180"/>
    </row>
    <row r="87" spans="1:7" x14ac:dyDescent="0.2">
      <c r="A87" s="180"/>
      <c r="B87" s="190"/>
      <c r="C87" s="180"/>
      <c r="G87" s="188"/>
    </row>
    <row r="88" spans="1:7" x14ac:dyDescent="0.2">
      <c r="A88" s="180"/>
      <c r="B88" s="190"/>
      <c r="C88" s="180"/>
      <c r="G88" s="188"/>
    </row>
    <row r="89" spans="1:7" x14ac:dyDescent="0.2">
      <c r="A89" s="180"/>
      <c r="B89" s="190"/>
      <c r="C89" s="180"/>
      <c r="G89" s="188"/>
    </row>
    <row r="90" spans="1:7" x14ac:dyDescent="0.2">
      <c r="A90" s="180"/>
      <c r="C90" s="180"/>
      <c r="G90" s="188"/>
    </row>
    <row r="91" spans="1:7" x14ac:dyDescent="0.2">
      <c r="A91" s="180"/>
      <c r="C91" s="180"/>
    </row>
    <row r="92" spans="1:7" x14ac:dyDescent="0.2">
      <c r="A92" s="180"/>
      <c r="B92" s="190"/>
      <c r="C92" s="180"/>
      <c r="G92" s="188"/>
    </row>
    <row r="93" spans="1:7" x14ac:dyDescent="0.2">
      <c r="A93" s="180"/>
      <c r="B93" s="190"/>
      <c r="C93" s="180"/>
      <c r="G93" s="188"/>
    </row>
    <row r="94" spans="1:7" x14ac:dyDescent="0.2">
      <c r="A94" s="180"/>
      <c r="B94" s="190"/>
      <c r="C94" s="180"/>
      <c r="G94" s="188"/>
    </row>
    <row r="95" spans="1:7" x14ac:dyDescent="0.2">
      <c r="A95" s="180"/>
      <c r="C95" s="180"/>
      <c r="G95" s="188"/>
    </row>
    <row r="96" spans="1:7" x14ac:dyDescent="0.2">
      <c r="A96" s="180"/>
      <c r="C96" s="180"/>
    </row>
    <row r="97" spans="1:7" x14ac:dyDescent="0.2">
      <c r="A97" s="180"/>
      <c r="B97" s="190"/>
      <c r="C97" s="180"/>
      <c r="G97" s="188"/>
    </row>
    <row r="98" spans="1:7" x14ac:dyDescent="0.2">
      <c r="A98" s="180"/>
      <c r="B98" s="190"/>
      <c r="C98" s="180"/>
      <c r="G98" s="188"/>
    </row>
    <row r="99" spans="1:7" x14ac:dyDescent="0.2">
      <c r="A99" s="180"/>
      <c r="B99" s="190"/>
      <c r="C99" s="180"/>
      <c r="G99" s="188"/>
    </row>
    <row r="100" spans="1:7" x14ac:dyDescent="0.2">
      <c r="A100" s="180"/>
      <c r="C100" s="180"/>
      <c r="G100" s="188"/>
    </row>
    <row r="101" spans="1:7" x14ac:dyDescent="0.2">
      <c r="A101" s="180"/>
      <c r="C101" s="180"/>
    </row>
    <row r="102" spans="1:7" x14ac:dyDescent="0.2">
      <c r="A102" s="180"/>
      <c r="B102" s="190"/>
      <c r="C102" s="180"/>
      <c r="G102" s="188"/>
    </row>
    <row r="103" spans="1:7" x14ac:dyDescent="0.2">
      <c r="A103" s="180"/>
      <c r="B103" s="190"/>
      <c r="C103" s="180"/>
      <c r="G103" s="188"/>
    </row>
    <row r="104" spans="1:7" x14ac:dyDescent="0.2">
      <c r="A104" s="180"/>
      <c r="B104" s="190"/>
      <c r="C104" s="180"/>
      <c r="G104" s="188"/>
    </row>
    <row r="105" spans="1:7" x14ac:dyDescent="0.2">
      <c r="A105" s="180"/>
      <c r="C105" s="180"/>
      <c r="G105" s="188"/>
    </row>
    <row r="106" spans="1:7" x14ac:dyDescent="0.2">
      <c r="A106" s="180"/>
      <c r="C106" s="180"/>
    </row>
    <row r="107" spans="1:7" x14ac:dyDescent="0.2">
      <c r="A107" s="180"/>
      <c r="B107" s="190"/>
      <c r="C107" s="180"/>
      <c r="G107" s="188"/>
    </row>
    <row r="108" spans="1:7" x14ac:dyDescent="0.2">
      <c r="A108" s="180"/>
      <c r="B108" s="190"/>
      <c r="C108" s="180"/>
      <c r="G108" s="188"/>
    </row>
    <row r="109" spans="1:7" x14ac:dyDescent="0.2">
      <c r="A109" s="180"/>
      <c r="B109" s="190"/>
      <c r="C109" s="180"/>
      <c r="G109" s="188"/>
    </row>
    <row r="110" spans="1:7" x14ac:dyDescent="0.2">
      <c r="A110" s="180"/>
      <c r="C110" s="180"/>
      <c r="G110" s="188"/>
    </row>
    <row r="111" spans="1:7" x14ac:dyDescent="0.2">
      <c r="A111" s="180"/>
      <c r="C111" s="180"/>
    </row>
    <row r="112" spans="1:7" x14ac:dyDescent="0.2">
      <c r="A112" s="180"/>
      <c r="B112" s="190"/>
      <c r="C112" s="180"/>
      <c r="G112" s="188"/>
    </row>
    <row r="113" spans="1:7" x14ac:dyDescent="0.2">
      <c r="A113" s="180"/>
      <c r="B113" s="190"/>
      <c r="C113" s="180"/>
      <c r="G113" s="188"/>
    </row>
    <row r="114" spans="1:7" x14ac:dyDescent="0.2">
      <c r="A114" s="180"/>
      <c r="B114" s="190"/>
      <c r="C114" s="180"/>
      <c r="G114" s="188"/>
    </row>
    <row r="115" spans="1:7" x14ac:dyDescent="0.2">
      <c r="A115" s="180"/>
      <c r="C115" s="180"/>
      <c r="G115" s="188"/>
    </row>
    <row r="116" spans="1:7" x14ac:dyDescent="0.2">
      <c r="A116" s="180"/>
      <c r="C116" s="180"/>
    </row>
    <row r="117" spans="1:7" x14ac:dyDescent="0.2">
      <c r="A117" s="180"/>
      <c r="B117" s="190"/>
      <c r="C117" s="180"/>
      <c r="G117" s="188"/>
    </row>
    <row r="118" spans="1:7" x14ac:dyDescent="0.2">
      <c r="A118" s="180"/>
      <c r="B118" s="190"/>
      <c r="C118" s="180"/>
      <c r="G118" s="188"/>
    </row>
    <row r="119" spans="1:7" x14ac:dyDescent="0.2">
      <c r="A119" s="180"/>
      <c r="B119" s="190"/>
      <c r="C119" s="180"/>
      <c r="G119" s="188"/>
    </row>
    <row r="120" spans="1:7" x14ac:dyDescent="0.2">
      <c r="A120" s="180"/>
      <c r="C120" s="180"/>
      <c r="G120" s="188"/>
    </row>
    <row r="121" spans="1:7" x14ac:dyDescent="0.2">
      <c r="A121" s="180"/>
      <c r="C121" s="180"/>
    </row>
    <row r="122" spans="1:7" x14ac:dyDescent="0.2">
      <c r="A122" s="180"/>
      <c r="B122" s="190"/>
      <c r="C122" s="180"/>
      <c r="G122" s="188"/>
    </row>
    <row r="123" spans="1:7" x14ac:dyDescent="0.2">
      <c r="A123" s="180"/>
      <c r="B123" s="190"/>
      <c r="C123" s="180"/>
      <c r="G123" s="188"/>
    </row>
    <row r="124" spans="1:7" x14ac:dyDescent="0.2">
      <c r="A124" s="180"/>
      <c r="B124" s="190"/>
      <c r="C124" s="180"/>
      <c r="G124" s="188"/>
    </row>
    <row r="125" spans="1:7" x14ac:dyDescent="0.2">
      <c r="A125" s="180"/>
      <c r="C125" s="180"/>
      <c r="G125" s="188"/>
    </row>
    <row r="126" spans="1:7" x14ac:dyDescent="0.2">
      <c r="A126" s="180"/>
      <c r="C126" s="180"/>
    </row>
    <row r="127" spans="1:7" x14ac:dyDescent="0.2">
      <c r="A127" s="180"/>
      <c r="B127" s="190"/>
      <c r="C127" s="180"/>
      <c r="G127" s="188"/>
    </row>
    <row r="128" spans="1:7" x14ac:dyDescent="0.2">
      <c r="A128" s="180"/>
      <c r="B128" s="190"/>
      <c r="C128" s="180"/>
      <c r="G128" s="188"/>
    </row>
    <row r="129" spans="1:7" x14ac:dyDescent="0.2">
      <c r="A129" s="180"/>
      <c r="B129" s="190"/>
      <c r="C129" s="180"/>
      <c r="G129" s="188"/>
    </row>
    <row r="130" spans="1:7" x14ac:dyDescent="0.2">
      <c r="A130" s="180"/>
      <c r="C130" s="180"/>
      <c r="G130" s="188"/>
    </row>
    <row r="131" spans="1:7" x14ac:dyDescent="0.2">
      <c r="A131" s="180"/>
      <c r="C131" s="180"/>
    </row>
    <row r="132" spans="1:7" x14ac:dyDescent="0.2">
      <c r="A132" s="180"/>
      <c r="B132" s="190"/>
      <c r="C132" s="180"/>
      <c r="G132" s="188"/>
    </row>
    <row r="133" spans="1:7" x14ac:dyDescent="0.2">
      <c r="A133" s="180"/>
      <c r="B133" s="190"/>
      <c r="C133" s="180"/>
      <c r="G133" s="188"/>
    </row>
    <row r="134" spans="1:7" x14ac:dyDescent="0.2">
      <c r="A134" s="180"/>
      <c r="B134" s="190"/>
      <c r="C134" s="180"/>
      <c r="G134" s="188"/>
    </row>
    <row r="135" spans="1:7" x14ac:dyDescent="0.2">
      <c r="A135" s="180"/>
      <c r="C135" s="180"/>
      <c r="G135" s="188"/>
    </row>
    <row r="136" spans="1:7" x14ac:dyDescent="0.2">
      <c r="A136" s="180"/>
      <c r="C136" s="180"/>
    </row>
    <row r="137" spans="1:7" x14ac:dyDescent="0.2">
      <c r="A137" s="180"/>
      <c r="B137" s="190"/>
      <c r="C137" s="180"/>
      <c r="G137" s="188"/>
    </row>
    <row r="138" spans="1:7" x14ac:dyDescent="0.2">
      <c r="A138" s="180"/>
      <c r="B138" s="190"/>
      <c r="C138" s="180"/>
      <c r="G138" s="188"/>
    </row>
    <row r="139" spans="1:7" x14ac:dyDescent="0.2">
      <c r="A139" s="180"/>
      <c r="B139" s="190"/>
      <c r="C139" s="180"/>
      <c r="G139" s="188"/>
    </row>
    <row r="140" spans="1:7" x14ac:dyDescent="0.2">
      <c r="A140" s="180"/>
      <c r="C140" s="180"/>
      <c r="G140" s="188"/>
    </row>
    <row r="141" spans="1:7" x14ac:dyDescent="0.2">
      <c r="A141" s="180"/>
      <c r="C141" s="180"/>
    </row>
    <row r="142" spans="1:7" x14ac:dyDescent="0.2">
      <c r="A142" s="180"/>
      <c r="B142" s="190"/>
      <c r="C142" s="180"/>
      <c r="G142" s="188"/>
    </row>
    <row r="143" spans="1:7" x14ac:dyDescent="0.2">
      <c r="A143" s="180"/>
      <c r="B143" s="190"/>
      <c r="C143" s="180"/>
      <c r="G143" s="188"/>
    </row>
    <row r="144" spans="1:7" x14ac:dyDescent="0.2">
      <c r="A144" s="180"/>
      <c r="B144" s="190"/>
      <c r="C144" s="180"/>
      <c r="G144" s="188"/>
    </row>
    <row r="145" spans="1:7" x14ac:dyDescent="0.2">
      <c r="A145" s="180"/>
      <c r="C145" s="180"/>
      <c r="G145" s="188"/>
    </row>
    <row r="146" spans="1:7" x14ac:dyDescent="0.2">
      <c r="A146" s="180"/>
      <c r="C146" s="180"/>
    </row>
    <row r="147" spans="1:7" x14ac:dyDescent="0.2">
      <c r="A147" s="180"/>
      <c r="B147" s="190"/>
      <c r="C147" s="180"/>
      <c r="G147" s="188"/>
    </row>
    <row r="148" spans="1:7" x14ac:dyDescent="0.2">
      <c r="A148" s="180"/>
      <c r="B148" s="190"/>
      <c r="C148" s="180"/>
      <c r="G148" s="188"/>
    </row>
    <row r="149" spans="1:7" x14ac:dyDescent="0.2">
      <c r="A149" s="180"/>
      <c r="B149" s="190"/>
      <c r="C149" s="180"/>
      <c r="G149" s="188"/>
    </row>
    <row r="150" spans="1:7" x14ac:dyDescent="0.2">
      <c r="A150" s="180"/>
      <c r="C150" s="180"/>
      <c r="G150" s="188"/>
    </row>
    <row r="151" spans="1:7" x14ac:dyDescent="0.2">
      <c r="A151" s="180"/>
      <c r="C151" s="180"/>
    </row>
    <row r="152" spans="1:7" x14ac:dyDescent="0.2">
      <c r="A152" s="180"/>
      <c r="B152" s="190"/>
      <c r="C152" s="180"/>
      <c r="G152" s="188"/>
    </row>
    <row r="153" spans="1:7" x14ac:dyDescent="0.2">
      <c r="A153" s="180"/>
      <c r="B153" s="190"/>
      <c r="C153" s="180"/>
      <c r="G153" s="188"/>
    </row>
    <row r="154" spans="1:7" x14ac:dyDescent="0.2">
      <c r="A154" s="180"/>
      <c r="B154" s="190"/>
      <c r="C154" s="180"/>
      <c r="G154" s="188"/>
    </row>
    <row r="155" spans="1:7" x14ac:dyDescent="0.2">
      <c r="A155" s="180"/>
      <c r="C155" s="180"/>
      <c r="G155" s="188"/>
    </row>
    <row r="156" spans="1:7" x14ac:dyDescent="0.2">
      <c r="A156" s="180"/>
      <c r="C156" s="180"/>
    </row>
    <row r="157" spans="1:7" x14ac:dyDescent="0.2">
      <c r="A157" s="180"/>
      <c r="B157" s="190"/>
      <c r="C157" s="180"/>
      <c r="G157" s="188"/>
    </row>
    <row r="158" spans="1:7" x14ac:dyDescent="0.2">
      <c r="A158" s="180"/>
      <c r="B158" s="190"/>
      <c r="C158" s="180"/>
      <c r="G158" s="188"/>
    </row>
    <row r="159" spans="1:7" x14ac:dyDescent="0.2">
      <c r="A159" s="180"/>
      <c r="B159" s="190"/>
      <c r="C159" s="180"/>
      <c r="G159" s="188"/>
    </row>
    <row r="160" spans="1:7" x14ac:dyDescent="0.2">
      <c r="A160" s="180"/>
      <c r="C160" s="180"/>
      <c r="G160" s="188"/>
    </row>
    <row r="161" spans="1:7" x14ac:dyDescent="0.2">
      <c r="A161" s="180"/>
      <c r="C161" s="180"/>
    </row>
    <row r="162" spans="1:7" x14ac:dyDescent="0.2">
      <c r="A162" s="180"/>
      <c r="B162" s="190"/>
      <c r="C162" s="180"/>
      <c r="G162" s="188"/>
    </row>
    <row r="163" spans="1:7" x14ac:dyDescent="0.2">
      <c r="A163" s="180"/>
      <c r="B163" s="190"/>
      <c r="C163" s="180"/>
      <c r="G163" s="188"/>
    </row>
    <row r="164" spans="1:7" x14ac:dyDescent="0.2">
      <c r="A164" s="180"/>
      <c r="B164" s="190"/>
      <c r="C164" s="180"/>
      <c r="G164" s="188"/>
    </row>
    <row r="165" spans="1:7" x14ac:dyDescent="0.2">
      <c r="A165" s="180"/>
      <c r="C165" s="180"/>
      <c r="G165" s="188"/>
    </row>
    <row r="166" spans="1:7" x14ac:dyDescent="0.2">
      <c r="A166" s="180"/>
      <c r="C166" s="180"/>
    </row>
    <row r="167" spans="1:7" x14ac:dyDescent="0.2">
      <c r="A167" s="180"/>
      <c r="B167" s="190"/>
      <c r="C167" s="180"/>
      <c r="G167" s="188"/>
    </row>
    <row r="168" spans="1:7" x14ac:dyDescent="0.2">
      <c r="A168" s="180"/>
      <c r="B168" s="190"/>
      <c r="C168" s="180"/>
      <c r="G168" s="188"/>
    </row>
    <row r="169" spans="1:7" x14ac:dyDescent="0.2">
      <c r="A169" s="180"/>
      <c r="B169" s="190"/>
      <c r="C169" s="180"/>
      <c r="G169" s="188"/>
    </row>
    <row r="170" spans="1:7" x14ac:dyDescent="0.2">
      <c r="A170" s="180"/>
      <c r="C170" s="180"/>
      <c r="G170" s="188"/>
    </row>
    <row r="171" spans="1:7" x14ac:dyDescent="0.2">
      <c r="A171" s="180"/>
      <c r="C171" s="180"/>
    </row>
    <row r="172" spans="1:7" x14ac:dyDescent="0.2">
      <c r="A172" s="180"/>
      <c r="B172" s="190"/>
      <c r="C172" s="180"/>
      <c r="G172" s="188"/>
    </row>
    <row r="173" spans="1:7" x14ac:dyDescent="0.2">
      <c r="A173" s="180"/>
      <c r="B173" s="190"/>
      <c r="C173" s="180"/>
      <c r="G173" s="188"/>
    </row>
    <row r="174" spans="1:7" x14ac:dyDescent="0.2">
      <c r="A174" s="180"/>
      <c r="B174" s="190"/>
      <c r="C174" s="180"/>
      <c r="G174" s="188"/>
    </row>
    <row r="175" spans="1:7" x14ac:dyDescent="0.2">
      <c r="A175" s="180"/>
      <c r="C175" s="180"/>
      <c r="G175" s="188"/>
    </row>
    <row r="176" spans="1:7" x14ac:dyDescent="0.2">
      <c r="A176" s="180"/>
      <c r="C176" s="180"/>
    </row>
    <row r="177" spans="1:7" x14ac:dyDescent="0.2">
      <c r="A177" s="180"/>
      <c r="B177" s="190"/>
      <c r="C177" s="180"/>
      <c r="G177" s="188"/>
    </row>
    <row r="178" spans="1:7" x14ac:dyDescent="0.2">
      <c r="A178" s="180"/>
      <c r="B178" s="190"/>
      <c r="C178" s="180"/>
      <c r="G178" s="188"/>
    </row>
    <row r="179" spans="1:7" x14ac:dyDescent="0.2">
      <c r="A179" s="180"/>
      <c r="B179" s="190"/>
      <c r="C179" s="180"/>
      <c r="G179" s="188"/>
    </row>
    <row r="180" spans="1:7" x14ac:dyDescent="0.2">
      <c r="A180" s="180"/>
      <c r="C180" s="180"/>
      <c r="G180" s="188"/>
    </row>
    <row r="181" spans="1:7" x14ac:dyDescent="0.2">
      <c r="A181" s="180"/>
      <c r="C181" s="180"/>
    </row>
    <row r="182" spans="1:7" x14ac:dyDescent="0.2">
      <c r="A182" s="180"/>
      <c r="B182" s="190"/>
      <c r="C182" s="180"/>
      <c r="G182" s="188"/>
    </row>
    <row r="183" spans="1:7" x14ac:dyDescent="0.2">
      <c r="A183" s="180"/>
      <c r="B183" s="190"/>
      <c r="C183" s="180"/>
      <c r="G183" s="188"/>
    </row>
    <row r="184" spans="1:7" x14ac:dyDescent="0.2">
      <c r="A184" s="180"/>
      <c r="B184" s="190"/>
      <c r="C184" s="180"/>
      <c r="G184" s="188"/>
    </row>
    <row r="185" spans="1:7" x14ac:dyDescent="0.2">
      <c r="A185" s="180"/>
      <c r="C185" s="180"/>
      <c r="G185" s="188"/>
    </row>
    <row r="186" spans="1:7" x14ac:dyDescent="0.2">
      <c r="A186" s="180"/>
      <c r="C186" s="180"/>
    </row>
    <row r="187" spans="1:7" x14ac:dyDescent="0.2">
      <c r="A187" s="180"/>
      <c r="B187" s="190"/>
      <c r="C187" s="180"/>
      <c r="G187" s="188"/>
    </row>
    <row r="188" spans="1:7" x14ac:dyDescent="0.2">
      <c r="A188" s="180"/>
      <c r="B188" s="190"/>
      <c r="C188" s="180"/>
      <c r="G188" s="188"/>
    </row>
    <row r="189" spans="1:7" x14ac:dyDescent="0.2">
      <c r="A189" s="180"/>
      <c r="B189" s="190"/>
      <c r="C189" s="180"/>
      <c r="G189" s="188"/>
    </row>
    <row r="190" spans="1:7" x14ac:dyDescent="0.2">
      <c r="A190" s="180"/>
      <c r="C190" s="180"/>
      <c r="G190" s="188"/>
    </row>
    <row r="191" spans="1:7" x14ac:dyDescent="0.2">
      <c r="A191" s="180"/>
      <c r="C191" s="180"/>
    </row>
    <row r="192" spans="1:7" x14ac:dyDescent="0.2">
      <c r="A192" s="180"/>
      <c r="B192" s="190"/>
      <c r="C192" s="180"/>
      <c r="G192" s="188"/>
    </row>
    <row r="193" spans="1:7" x14ac:dyDescent="0.2">
      <c r="A193" s="180"/>
      <c r="B193" s="190"/>
      <c r="C193" s="180"/>
      <c r="G193" s="188"/>
    </row>
    <row r="194" spans="1:7" x14ac:dyDescent="0.2">
      <c r="A194" s="180"/>
      <c r="B194" s="190"/>
      <c r="C194" s="180"/>
      <c r="G194" s="188"/>
    </row>
    <row r="195" spans="1:7" x14ac:dyDescent="0.2">
      <c r="A195" s="180"/>
      <c r="C195" s="180"/>
      <c r="G195" s="188"/>
    </row>
    <row r="196" spans="1:7" x14ac:dyDescent="0.2">
      <c r="A196" s="180"/>
      <c r="C196" s="180"/>
    </row>
    <row r="197" spans="1:7" x14ac:dyDescent="0.2">
      <c r="A197" s="180"/>
      <c r="B197" s="190"/>
      <c r="C197" s="180"/>
      <c r="G197" s="188"/>
    </row>
    <row r="198" spans="1:7" x14ac:dyDescent="0.2">
      <c r="A198" s="180"/>
      <c r="B198" s="190"/>
      <c r="C198" s="180"/>
      <c r="G198" s="188"/>
    </row>
    <row r="199" spans="1:7" x14ac:dyDescent="0.2">
      <c r="A199" s="180"/>
      <c r="B199" s="190"/>
      <c r="C199" s="180"/>
      <c r="G199" s="188"/>
    </row>
    <row r="200" spans="1:7" x14ac:dyDescent="0.2">
      <c r="A200" s="180"/>
      <c r="C200" s="180"/>
      <c r="G200" s="188"/>
    </row>
    <row r="201" spans="1:7" x14ac:dyDescent="0.2">
      <c r="A201" s="180"/>
      <c r="C201" s="180"/>
    </row>
    <row r="202" spans="1:7" x14ac:dyDescent="0.2">
      <c r="A202" s="180"/>
      <c r="B202" s="190"/>
      <c r="C202" s="180"/>
      <c r="G202" s="188"/>
    </row>
    <row r="203" spans="1:7" x14ac:dyDescent="0.2">
      <c r="A203" s="180"/>
      <c r="B203" s="190"/>
      <c r="C203" s="180"/>
      <c r="G203" s="188"/>
    </row>
    <row r="204" spans="1:7" x14ac:dyDescent="0.2">
      <c r="A204" s="180"/>
      <c r="B204" s="190"/>
      <c r="C204" s="180"/>
      <c r="G204" s="188"/>
    </row>
    <row r="205" spans="1:7" x14ac:dyDescent="0.2">
      <c r="A205" s="180"/>
      <c r="C205" s="180"/>
      <c r="G205" s="188"/>
    </row>
    <row r="206" spans="1:7" x14ac:dyDescent="0.2">
      <c r="A206" s="180"/>
      <c r="C206" s="180"/>
    </row>
    <row r="207" spans="1:7" x14ac:dyDescent="0.2">
      <c r="A207" s="180"/>
      <c r="B207" s="190"/>
      <c r="C207" s="180"/>
      <c r="G207" s="188"/>
    </row>
    <row r="208" spans="1:7" x14ac:dyDescent="0.2">
      <c r="A208" s="180"/>
      <c r="B208" s="190"/>
      <c r="C208" s="180"/>
      <c r="G208" s="188"/>
    </row>
    <row r="209" spans="1:7" x14ac:dyDescent="0.2">
      <c r="A209" s="180"/>
      <c r="B209" s="190"/>
      <c r="C209" s="180"/>
      <c r="G209" s="188"/>
    </row>
    <row r="210" spans="1:7" x14ac:dyDescent="0.2">
      <c r="A210" s="180"/>
      <c r="C210" s="180"/>
      <c r="G210" s="188"/>
    </row>
    <row r="211" spans="1:7" x14ac:dyDescent="0.2">
      <c r="A211" s="180"/>
      <c r="C211" s="180"/>
    </row>
    <row r="212" spans="1:7" x14ac:dyDescent="0.2">
      <c r="A212" s="180"/>
      <c r="B212" s="190"/>
      <c r="C212" s="180"/>
      <c r="G212" s="188"/>
    </row>
    <row r="213" spans="1:7" x14ac:dyDescent="0.2">
      <c r="A213" s="180"/>
      <c r="B213" s="190"/>
      <c r="C213" s="180"/>
      <c r="G213" s="188"/>
    </row>
    <row r="214" spans="1:7" x14ac:dyDescent="0.2">
      <c r="A214" s="180"/>
      <c r="B214" s="190"/>
      <c r="C214" s="180"/>
      <c r="G214" s="188"/>
    </row>
    <row r="215" spans="1:7" x14ac:dyDescent="0.2">
      <c r="A215" s="180"/>
      <c r="C215" s="180"/>
      <c r="G215" s="188"/>
    </row>
    <row r="216" spans="1:7" x14ac:dyDescent="0.2">
      <c r="A216" s="180"/>
      <c r="C216" s="180"/>
    </row>
    <row r="217" spans="1:7" x14ac:dyDescent="0.2">
      <c r="A217" s="180"/>
      <c r="B217" s="190"/>
      <c r="C217" s="180"/>
      <c r="G217" s="188"/>
    </row>
    <row r="218" spans="1:7" x14ac:dyDescent="0.2">
      <c r="A218" s="180"/>
      <c r="B218" s="190"/>
      <c r="C218" s="180"/>
      <c r="G218" s="188"/>
    </row>
    <row r="219" spans="1:7" x14ac:dyDescent="0.2">
      <c r="A219" s="180"/>
      <c r="B219" s="190"/>
      <c r="C219" s="180"/>
      <c r="G219" s="188"/>
    </row>
    <row r="220" spans="1:7" x14ac:dyDescent="0.2">
      <c r="A220" s="180"/>
      <c r="C220" s="180"/>
      <c r="G220" s="188"/>
    </row>
    <row r="221" spans="1:7" x14ac:dyDescent="0.2">
      <c r="A221" s="180"/>
      <c r="C221" s="180"/>
    </row>
    <row r="222" spans="1:7" x14ac:dyDescent="0.2">
      <c r="A222" s="180"/>
      <c r="B222" s="190"/>
      <c r="C222" s="180"/>
      <c r="G222" s="188"/>
    </row>
    <row r="223" spans="1:7" x14ac:dyDescent="0.2">
      <c r="A223" s="180"/>
      <c r="B223" s="190"/>
      <c r="C223" s="180"/>
      <c r="G223" s="188"/>
    </row>
    <row r="224" spans="1:7" x14ac:dyDescent="0.2">
      <c r="A224" s="180"/>
      <c r="B224" s="190"/>
      <c r="C224" s="180"/>
      <c r="G224" s="188"/>
    </row>
    <row r="225" spans="1:7" x14ac:dyDescent="0.2">
      <c r="A225" s="180"/>
      <c r="C225" s="180"/>
      <c r="G225" s="188"/>
    </row>
    <row r="226" spans="1:7" x14ac:dyDescent="0.2">
      <c r="A226" s="180"/>
      <c r="C226" s="180"/>
    </row>
    <row r="227" spans="1:7" x14ac:dyDescent="0.2">
      <c r="A227" s="180"/>
      <c r="B227" s="190"/>
      <c r="C227" s="180"/>
      <c r="G227" s="188"/>
    </row>
    <row r="228" spans="1:7" x14ac:dyDescent="0.2">
      <c r="A228" s="180"/>
      <c r="B228" s="190"/>
      <c r="C228" s="180"/>
      <c r="G228" s="188"/>
    </row>
    <row r="229" spans="1:7" x14ac:dyDescent="0.2">
      <c r="A229" s="180"/>
      <c r="B229" s="190"/>
      <c r="C229" s="180"/>
      <c r="G229" s="188"/>
    </row>
    <row r="230" spans="1:7" x14ac:dyDescent="0.2">
      <c r="A230" s="180"/>
      <c r="C230" s="180"/>
      <c r="G230" s="188"/>
    </row>
    <row r="231" spans="1:7" x14ac:dyDescent="0.2">
      <c r="A231" s="180"/>
      <c r="C231" s="180"/>
    </row>
    <row r="232" spans="1:7" x14ac:dyDescent="0.2">
      <c r="A232" s="180"/>
      <c r="B232" s="190"/>
      <c r="C232" s="180"/>
      <c r="G232" s="188"/>
    </row>
    <row r="233" spans="1:7" x14ac:dyDescent="0.2">
      <c r="A233" s="180"/>
      <c r="B233" s="190"/>
      <c r="C233" s="180"/>
      <c r="G233" s="188"/>
    </row>
    <row r="234" spans="1:7" x14ac:dyDescent="0.2">
      <c r="A234" s="180"/>
      <c r="B234" s="190"/>
      <c r="C234" s="180"/>
      <c r="G234" s="188"/>
    </row>
    <row r="235" spans="1:7" x14ac:dyDescent="0.2">
      <c r="A235" s="180"/>
      <c r="C235" s="180"/>
      <c r="G235" s="188"/>
    </row>
    <row r="236" spans="1:7" x14ac:dyDescent="0.2">
      <c r="A236" s="180"/>
      <c r="C236" s="180"/>
    </row>
    <row r="237" spans="1:7" x14ac:dyDescent="0.2">
      <c r="A237" s="180"/>
      <c r="B237" s="190"/>
      <c r="C237" s="180"/>
      <c r="G237" s="188"/>
    </row>
    <row r="238" spans="1:7" x14ac:dyDescent="0.2">
      <c r="A238" s="180"/>
      <c r="B238" s="190"/>
      <c r="C238" s="180"/>
      <c r="G238" s="188"/>
    </row>
    <row r="239" spans="1:7" x14ac:dyDescent="0.2">
      <c r="A239" s="180"/>
      <c r="B239" s="190"/>
      <c r="C239" s="180"/>
      <c r="G239" s="188"/>
    </row>
    <row r="240" spans="1:7" x14ac:dyDescent="0.2">
      <c r="A240" s="180"/>
      <c r="C240" s="180"/>
      <c r="G240" s="188"/>
    </row>
    <row r="241" spans="1:7" x14ac:dyDescent="0.2">
      <c r="A241" s="180"/>
      <c r="C241" s="180"/>
    </row>
    <row r="242" spans="1:7" x14ac:dyDescent="0.2">
      <c r="A242" s="180"/>
      <c r="B242" s="190"/>
      <c r="C242" s="180"/>
      <c r="G242" s="188"/>
    </row>
    <row r="243" spans="1:7" x14ac:dyDescent="0.2">
      <c r="A243" s="180"/>
      <c r="B243" s="190"/>
      <c r="C243" s="180"/>
      <c r="G243" s="188"/>
    </row>
    <row r="244" spans="1:7" x14ac:dyDescent="0.2">
      <c r="A244" s="180"/>
      <c r="B244" s="190"/>
      <c r="C244" s="180"/>
      <c r="G244" s="188"/>
    </row>
    <row r="245" spans="1:7" x14ac:dyDescent="0.2">
      <c r="A245" s="180"/>
      <c r="C245" s="180"/>
      <c r="G245" s="188"/>
    </row>
    <row r="246" spans="1:7" x14ac:dyDescent="0.2">
      <c r="A246" s="180"/>
      <c r="C246" s="180"/>
    </row>
    <row r="247" spans="1:7" x14ac:dyDescent="0.2">
      <c r="A247" s="180"/>
      <c r="B247" s="190"/>
      <c r="C247" s="180"/>
      <c r="G247" s="188"/>
    </row>
    <row r="248" spans="1:7" x14ac:dyDescent="0.2">
      <c r="A248" s="180"/>
      <c r="B248" s="190"/>
      <c r="C248" s="180"/>
      <c r="G248" s="188"/>
    </row>
    <row r="249" spans="1:7" x14ac:dyDescent="0.2">
      <c r="A249" s="180"/>
      <c r="B249" s="190"/>
      <c r="C249" s="180"/>
      <c r="G249" s="188"/>
    </row>
    <row r="250" spans="1:7" x14ac:dyDescent="0.2">
      <c r="A250" s="180"/>
      <c r="C250" s="180"/>
      <c r="G250" s="188"/>
    </row>
    <row r="251" spans="1:7" x14ac:dyDescent="0.2">
      <c r="A251" s="180"/>
      <c r="C251" s="180"/>
    </row>
    <row r="252" spans="1:7" x14ac:dyDescent="0.2">
      <c r="A252" s="180"/>
      <c r="B252" s="190"/>
      <c r="C252" s="180"/>
      <c r="G252" s="188"/>
    </row>
    <row r="253" spans="1:7" x14ac:dyDescent="0.2">
      <c r="A253" s="180"/>
      <c r="B253" s="190"/>
      <c r="C253" s="180"/>
      <c r="G253" s="188"/>
    </row>
    <row r="254" spans="1:7" x14ac:dyDescent="0.2">
      <c r="A254" s="180"/>
      <c r="B254" s="190"/>
      <c r="C254" s="180"/>
      <c r="G254" s="188"/>
    </row>
    <row r="255" spans="1:7" x14ac:dyDescent="0.2">
      <c r="A255" s="180"/>
      <c r="C255" s="180"/>
      <c r="G255" s="188"/>
    </row>
    <row r="256" spans="1:7" x14ac:dyDescent="0.2">
      <c r="A256" s="180"/>
      <c r="C256" s="180"/>
    </row>
    <row r="257" spans="1:7" x14ac:dyDescent="0.2">
      <c r="A257" s="180"/>
      <c r="B257" s="190"/>
      <c r="C257" s="180"/>
      <c r="G257" s="188"/>
    </row>
    <row r="258" spans="1:7" x14ac:dyDescent="0.2">
      <c r="A258" s="180"/>
      <c r="B258" s="190"/>
      <c r="C258" s="180"/>
      <c r="G258" s="188"/>
    </row>
    <row r="259" spans="1:7" x14ac:dyDescent="0.2">
      <c r="A259" s="180"/>
      <c r="B259" s="190"/>
      <c r="C259" s="180"/>
      <c r="G259" s="188"/>
    </row>
    <row r="260" spans="1:7" x14ac:dyDescent="0.2">
      <c r="A260" s="180"/>
      <c r="C260" s="180"/>
      <c r="G260" s="188"/>
    </row>
    <row r="261" spans="1:7" x14ac:dyDescent="0.2">
      <c r="A261" s="180"/>
      <c r="C261" s="180"/>
    </row>
    <row r="262" spans="1:7" x14ac:dyDescent="0.2">
      <c r="A262" s="180"/>
      <c r="B262" s="190"/>
      <c r="C262" s="180"/>
      <c r="G262" s="188"/>
    </row>
    <row r="263" spans="1:7" x14ac:dyDescent="0.2">
      <c r="A263" s="180"/>
      <c r="B263" s="190"/>
      <c r="C263" s="180"/>
      <c r="G263" s="188"/>
    </row>
    <row r="264" spans="1:7" x14ac:dyDescent="0.2">
      <c r="A264" s="180"/>
      <c r="B264" s="190"/>
      <c r="C264" s="180"/>
      <c r="G264" s="188"/>
    </row>
    <row r="265" spans="1:7" x14ac:dyDescent="0.2">
      <c r="A265" s="180"/>
      <c r="C265" s="180"/>
      <c r="G265" s="188"/>
    </row>
    <row r="266" spans="1:7" x14ac:dyDescent="0.2">
      <c r="A266" s="180"/>
      <c r="C266" s="180"/>
    </row>
    <row r="267" spans="1:7" x14ac:dyDescent="0.2">
      <c r="A267" s="180"/>
      <c r="B267" s="190"/>
      <c r="C267" s="180"/>
      <c r="G267" s="188"/>
    </row>
    <row r="268" spans="1:7" x14ac:dyDescent="0.2">
      <c r="A268" s="180"/>
      <c r="B268" s="190"/>
      <c r="C268" s="180"/>
      <c r="G268" s="188"/>
    </row>
    <row r="269" spans="1:7" x14ac:dyDescent="0.2">
      <c r="A269" s="180"/>
      <c r="B269" s="190"/>
      <c r="C269" s="180"/>
      <c r="G269" s="188"/>
    </row>
    <row r="270" spans="1:7" x14ac:dyDescent="0.2">
      <c r="A270" s="180"/>
      <c r="C270" s="180"/>
      <c r="G270" s="188"/>
    </row>
    <row r="271" spans="1:7" x14ac:dyDescent="0.2">
      <c r="A271" s="180"/>
      <c r="C271" s="180"/>
    </row>
    <row r="272" spans="1:7" x14ac:dyDescent="0.2">
      <c r="A272" s="180"/>
      <c r="B272" s="190"/>
      <c r="C272" s="180"/>
      <c r="G272" s="188"/>
    </row>
    <row r="273" spans="1:7" x14ac:dyDescent="0.2">
      <c r="A273" s="180"/>
      <c r="B273" s="190"/>
      <c r="C273" s="180"/>
      <c r="G273" s="188"/>
    </row>
    <row r="274" spans="1:7" x14ac:dyDescent="0.2">
      <c r="A274" s="180"/>
      <c r="B274" s="190"/>
      <c r="C274" s="180"/>
      <c r="G274" s="188"/>
    </row>
    <row r="275" spans="1:7" x14ac:dyDescent="0.2">
      <c r="A275" s="180"/>
      <c r="C275" s="180"/>
      <c r="G275" s="188"/>
    </row>
    <row r="276" spans="1:7" x14ac:dyDescent="0.2">
      <c r="A276" s="180"/>
      <c r="C276" s="180"/>
    </row>
    <row r="277" spans="1:7" x14ac:dyDescent="0.2">
      <c r="A277" s="180"/>
      <c r="B277" s="190"/>
      <c r="C277" s="180"/>
      <c r="G277" s="188"/>
    </row>
    <row r="278" spans="1:7" x14ac:dyDescent="0.2">
      <c r="A278" s="180"/>
      <c r="B278" s="190"/>
      <c r="C278" s="180"/>
      <c r="G278" s="188"/>
    </row>
    <row r="279" spans="1:7" x14ac:dyDescent="0.2">
      <c r="A279" s="180"/>
      <c r="B279" s="190"/>
      <c r="C279" s="180"/>
      <c r="G279" s="188"/>
    </row>
    <row r="280" spans="1:7" x14ac:dyDescent="0.2">
      <c r="A280" s="180"/>
      <c r="C280" s="180"/>
      <c r="G280" s="188"/>
    </row>
    <row r="281" spans="1:7" x14ac:dyDescent="0.2">
      <c r="A281" s="180"/>
      <c r="C281" s="180"/>
    </row>
    <row r="282" spans="1:7" x14ac:dyDescent="0.2">
      <c r="A282" s="180"/>
      <c r="B282" s="190"/>
      <c r="C282" s="180"/>
      <c r="G282" s="188"/>
    </row>
    <row r="283" spans="1:7" x14ac:dyDescent="0.2">
      <c r="A283" s="180"/>
      <c r="B283" s="190"/>
      <c r="C283" s="180"/>
      <c r="G283" s="188"/>
    </row>
    <row r="284" spans="1:7" x14ac:dyDescent="0.2">
      <c r="A284" s="180"/>
      <c r="B284" s="190"/>
      <c r="C284" s="180"/>
      <c r="G284" s="188"/>
    </row>
    <row r="285" spans="1:7" x14ac:dyDescent="0.2">
      <c r="A285" s="180"/>
      <c r="C285" s="180"/>
      <c r="G285" s="188"/>
    </row>
    <row r="286" spans="1:7" x14ac:dyDescent="0.2">
      <c r="A286" s="180"/>
      <c r="C286" s="180"/>
    </row>
    <row r="287" spans="1:7" x14ac:dyDescent="0.2">
      <c r="A287" s="180"/>
      <c r="B287" s="190"/>
      <c r="C287" s="180"/>
      <c r="G287" s="188"/>
    </row>
    <row r="288" spans="1:7" x14ac:dyDescent="0.2">
      <c r="A288" s="180"/>
      <c r="B288" s="189"/>
      <c r="C288" s="180"/>
      <c r="G288" s="188"/>
    </row>
    <row r="289" spans="1:7" x14ac:dyDescent="0.2">
      <c r="A289" s="180"/>
      <c r="B289" s="189"/>
      <c r="C289" s="180"/>
      <c r="G289" s="188"/>
    </row>
    <row r="290" spans="1:7" x14ac:dyDescent="0.2">
      <c r="A290" s="180"/>
      <c r="C290" s="180"/>
      <c r="G290" s="188"/>
    </row>
    <row r="291" spans="1:7" x14ac:dyDescent="0.2">
      <c r="A291" s="180"/>
      <c r="C291" s="180"/>
    </row>
    <row r="292" spans="1:7" x14ac:dyDescent="0.2">
      <c r="A292" s="180"/>
      <c r="B292" s="190"/>
      <c r="C292" s="180"/>
      <c r="G292" s="188"/>
    </row>
    <row r="293" spans="1:7" x14ac:dyDescent="0.2">
      <c r="A293" s="180"/>
      <c r="B293" s="189"/>
      <c r="C293" s="180"/>
      <c r="G293" s="188"/>
    </row>
    <row r="294" spans="1:7" x14ac:dyDescent="0.2">
      <c r="A294" s="180"/>
      <c r="B294" s="189"/>
      <c r="C294" s="180"/>
      <c r="G294" s="188"/>
    </row>
    <row r="295" spans="1:7" x14ac:dyDescent="0.2">
      <c r="A295" s="180"/>
      <c r="C295" s="180"/>
      <c r="G295" s="188"/>
    </row>
    <row r="296" spans="1:7" x14ac:dyDescent="0.2">
      <c r="A296" s="180"/>
      <c r="C296" s="180"/>
    </row>
    <row r="297" spans="1:7" x14ac:dyDescent="0.2">
      <c r="A297" s="180"/>
      <c r="B297" s="190"/>
      <c r="C297" s="180"/>
      <c r="G297" s="188"/>
    </row>
    <row r="298" spans="1:7" x14ac:dyDescent="0.2">
      <c r="A298" s="180"/>
      <c r="B298" s="189"/>
      <c r="C298" s="180"/>
      <c r="G298" s="188"/>
    </row>
    <row r="299" spans="1:7" x14ac:dyDescent="0.2">
      <c r="A299" s="180"/>
      <c r="B299" s="189"/>
      <c r="C299" s="180"/>
      <c r="G299" s="188"/>
    </row>
    <row r="300" spans="1:7" x14ac:dyDescent="0.2">
      <c r="A300" s="180"/>
      <c r="C300" s="180"/>
      <c r="G300" s="188"/>
    </row>
    <row r="301" spans="1:7" x14ac:dyDescent="0.2">
      <c r="A301" s="180"/>
      <c r="C301" s="180"/>
    </row>
    <row r="302" spans="1:7" x14ac:dyDescent="0.2">
      <c r="A302" s="180"/>
      <c r="B302" s="190"/>
      <c r="C302" s="180"/>
      <c r="G302" s="188"/>
    </row>
    <row r="303" spans="1:7" x14ac:dyDescent="0.2">
      <c r="A303" s="180"/>
      <c r="B303" s="189"/>
      <c r="C303" s="180"/>
      <c r="G303" s="188"/>
    </row>
    <row r="304" spans="1:7" x14ac:dyDescent="0.2">
      <c r="A304" s="180"/>
      <c r="B304" s="189"/>
      <c r="C304" s="180"/>
      <c r="G304" s="188"/>
    </row>
    <row r="305" spans="1:7" x14ac:dyDescent="0.2">
      <c r="A305" s="180"/>
      <c r="C305" s="180"/>
      <c r="G305" s="188"/>
    </row>
    <row r="306" spans="1:7" x14ac:dyDescent="0.2">
      <c r="A306" s="180"/>
      <c r="C306" s="180"/>
    </row>
    <row r="307" spans="1:7" x14ac:dyDescent="0.2">
      <c r="A307" s="180"/>
      <c r="B307" s="190"/>
      <c r="C307" s="180"/>
      <c r="G307" s="188"/>
    </row>
    <row r="308" spans="1:7" x14ac:dyDescent="0.2">
      <c r="A308" s="180"/>
      <c r="B308" s="189"/>
      <c r="C308" s="180"/>
      <c r="G308" s="188"/>
    </row>
    <row r="309" spans="1:7" x14ac:dyDescent="0.2">
      <c r="A309" s="180"/>
      <c r="B309" s="189"/>
      <c r="C309" s="180"/>
      <c r="G309" s="188"/>
    </row>
    <row r="310" spans="1:7" x14ac:dyDescent="0.2">
      <c r="A310" s="180"/>
      <c r="C310" s="180"/>
      <c r="G310" s="188"/>
    </row>
    <row r="311" spans="1:7" x14ac:dyDescent="0.2">
      <c r="A311" s="180"/>
      <c r="C311" s="180"/>
    </row>
    <row r="312" spans="1:7" x14ac:dyDescent="0.2">
      <c r="A312" s="180"/>
      <c r="B312" s="190"/>
      <c r="C312" s="180"/>
      <c r="G312" s="188"/>
    </row>
    <row r="313" spans="1:7" x14ac:dyDescent="0.2">
      <c r="A313" s="180"/>
      <c r="B313" s="189"/>
      <c r="C313" s="180"/>
      <c r="G313" s="188"/>
    </row>
    <row r="314" spans="1:7" x14ac:dyDescent="0.2">
      <c r="A314" s="180"/>
      <c r="B314" s="189"/>
      <c r="C314" s="180"/>
      <c r="G314" s="188"/>
    </row>
    <row r="315" spans="1:7" x14ac:dyDescent="0.2">
      <c r="A315" s="180"/>
      <c r="C315" s="180"/>
      <c r="G315" s="188"/>
    </row>
    <row r="316" spans="1:7" x14ac:dyDescent="0.2">
      <c r="A316" s="180"/>
      <c r="C316" s="180"/>
    </row>
    <row r="317" spans="1:7" x14ac:dyDescent="0.2">
      <c r="A317" s="180"/>
      <c r="B317" s="190"/>
      <c r="C317" s="180"/>
      <c r="G317" s="188"/>
    </row>
    <row r="318" spans="1:7" x14ac:dyDescent="0.2">
      <c r="A318" s="180"/>
      <c r="B318" s="189"/>
      <c r="C318" s="180"/>
      <c r="G318" s="188"/>
    </row>
    <row r="319" spans="1:7" x14ac:dyDescent="0.2">
      <c r="A319" s="180"/>
      <c r="B319" s="189"/>
      <c r="C319" s="180"/>
      <c r="G319" s="188"/>
    </row>
    <row r="320" spans="1:7" x14ac:dyDescent="0.2">
      <c r="A320" s="180"/>
      <c r="C320" s="180"/>
      <c r="G320" s="188"/>
    </row>
    <row r="321" spans="1:7" x14ac:dyDescent="0.2">
      <c r="A321" s="180"/>
      <c r="C321" s="180"/>
    </row>
    <row r="322" spans="1:7" x14ac:dyDescent="0.2">
      <c r="A322" s="180"/>
      <c r="B322" s="190"/>
      <c r="C322" s="180"/>
      <c r="G322" s="188"/>
    </row>
    <row r="323" spans="1:7" x14ac:dyDescent="0.2">
      <c r="A323" s="180"/>
      <c r="B323" s="189"/>
      <c r="C323" s="180"/>
      <c r="G323" s="188"/>
    </row>
    <row r="324" spans="1:7" x14ac:dyDescent="0.2">
      <c r="A324" s="180"/>
      <c r="B324" s="189"/>
      <c r="C324" s="180"/>
      <c r="G324" s="188"/>
    </row>
    <row r="325" spans="1:7" x14ac:dyDescent="0.2">
      <c r="A325" s="180"/>
      <c r="C325" s="180"/>
      <c r="G325" s="188"/>
    </row>
    <row r="326" spans="1:7" x14ac:dyDescent="0.2">
      <c r="A326" s="180"/>
      <c r="C326" s="180"/>
    </row>
    <row r="327" spans="1:7" x14ac:dyDescent="0.2">
      <c r="A327" s="180"/>
      <c r="B327" s="190"/>
      <c r="C327" s="180"/>
      <c r="G327" s="188"/>
    </row>
    <row r="328" spans="1:7" x14ac:dyDescent="0.2">
      <c r="A328" s="180"/>
      <c r="B328" s="189"/>
      <c r="C328" s="180"/>
      <c r="G328" s="188"/>
    </row>
    <row r="329" spans="1:7" x14ac:dyDescent="0.2">
      <c r="A329" s="180"/>
      <c r="B329" s="189"/>
      <c r="C329" s="180"/>
      <c r="G329" s="188"/>
    </row>
    <row r="330" spans="1:7" x14ac:dyDescent="0.2">
      <c r="A330" s="180"/>
      <c r="C330" s="180"/>
      <c r="G330" s="188"/>
    </row>
    <row r="331" spans="1:7" x14ac:dyDescent="0.2">
      <c r="A331" s="180"/>
      <c r="C331" s="180"/>
    </row>
    <row r="332" spans="1:7" x14ac:dyDescent="0.2">
      <c r="A332" s="180"/>
      <c r="B332" s="190"/>
      <c r="C332" s="180"/>
      <c r="G332" s="188"/>
    </row>
    <row r="333" spans="1:7" x14ac:dyDescent="0.2">
      <c r="A333" s="180"/>
      <c r="B333" s="189"/>
      <c r="C333" s="180"/>
      <c r="G333" s="188"/>
    </row>
    <row r="334" spans="1:7" x14ac:dyDescent="0.2">
      <c r="A334" s="180"/>
      <c r="B334" s="189"/>
      <c r="C334" s="180"/>
      <c r="G334" s="188"/>
    </row>
    <row r="335" spans="1:7" x14ac:dyDescent="0.2">
      <c r="A335" s="180"/>
      <c r="C335" s="180"/>
      <c r="G335" s="188"/>
    </row>
    <row r="336" spans="1:7" x14ac:dyDescent="0.2">
      <c r="A336" s="180"/>
      <c r="C336" s="180"/>
    </row>
    <row r="337" spans="1:7" x14ac:dyDescent="0.2">
      <c r="A337" s="180"/>
      <c r="B337" s="190"/>
      <c r="C337" s="180"/>
      <c r="G337" s="188"/>
    </row>
    <row r="338" spans="1:7" x14ac:dyDescent="0.2">
      <c r="A338" s="180"/>
      <c r="B338" s="189"/>
      <c r="C338" s="180"/>
      <c r="G338" s="188"/>
    </row>
    <row r="339" spans="1:7" x14ac:dyDescent="0.2">
      <c r="A339" s="180"/>
      <c r="B339" s="189"/>
      <c r="C339" s="180"/>
      <c r="G339" s="188"/>
    </row>
    <row r="340" spans="1:7" x14ac:dyDescent="0.2">
      <c r="A340" s="180"/>
      <c r="C340" s="180"/>
      <c r="G340" s="188"/>
    </row>
    <row r="341" spans="1:7" x14ac:dyDescent="0.2">
      <c r="A341" s="180"/>
      <c r="C341" s="180"/>
    </row>
    <row r="342" spans="1:7" x14ac:dyDescent="0.2">
      <c r="A342" s="180"/>
      <c r="B342" s="190"/>
      <c r="C342" s="180"/>
      <c r="G342" s="188"/>
    </row>
    <row r="343" spans="1:7" x14ac:dyDescent="0.2">
      <c r="A343" s="180"/>
      <c r="B343" s="189"/>
      <c r="C343" s="180"/>
      <c r="G343" s="188"/>
    </row>
    <row r="344" spans="1:7" x14ac:dyDescent="0.2">
      <c r="A344" s="180"/>
      <c r="B344" s="189"/>
      <c r="C344" s="180"/>
      <c r="G344" s="188"/>
    </row>
    <row r="345" spans="1:7" x14ac:dyDescent="0.2">
      <c r="A345" s="180"/>
      <c r="C345" s="180"/>
      <c r="G345" s="188"/>
    </row>
    <row r="346" spans="1:7" x14ac:dyDescent="0.2">
      <c r="A346" s="180"/>
      <c r="C346" s="180"/>
    </row>
    <row r="347" spans="1:7" x14ac:dyDescent="0.2">
      <c r="A347" s="180"/>
      <c r="B347" s="190"/>
      <c r="C347" s="180"/>
      <c r="G347" s="188"/>
    </row>
    <row r="348" spans="1:7" x14ac:dyDescent="0.2">
      <c r="A348" s="180"/>
      <c r="B348" s="189"/>
      <c r="C348" s="180"/>
      <c r="G348" s="188"/>
    </row>
    <row r="349" spans="1:7" x14ac:dyDescent="0.2">
      <c r="A349" s="180"/>
      <c r="B349" s="189"/>
      <c r="C349" s="180"/>
      <c r="G349" s="188"/>
    </row>
    <row r="350" spans="1:7" x14ac:dyDescent="0.2">
      <c r="A350" s="180"/>
      <c r="C350" s="180"/>
      <c r="G350" s="188"/>
    </row>
    <row r="351" spans="1:7" x14ac:dyDescent="0.2">
      <c r="A351" s="180"/>
      <c r="C351" s="180"/>
    </row>
    <row r="352" spans="1:7" x14ac:dyDescent="0.2">
      <c r="A352" s="180"/>
      <c r="B352" s="190"/>
      <c r="C352" s="180"/>
      <c r="G352" s="188"/>
    </row>
    <row r="353" spans="1:7" x14ac:dyDescent="0.2">
      <c r="A353" s="180"/>
      <c r="B353" s="189"/>
      <c r="C353" s="180"/>
      <c r="G353" s="188"/>
    </row>
    <row r="354" spans="1:7" x14ac:dyDescent="0.2">
      <c r="A354" s="180"/>
      <c r="B354" s="189"/>
      <c r="C354" s="180"/>
      <c r="G354" s="188"/>
    </row>
    <row r="355" spans="1:7" x14ac:dyDescent="0.2">
      <c r="A355" s="180"/>
      <c r="C355" s="180"/>
      <c r="G355" s="188"/>
    </row>
    <row r="356" spans="1:7" x14ac:dyDescent="0.2">
      <c r="A356" s="180"/>
      <c r="C356" s="180"/>
    </row>
    <row r="357" spans="1:7" x14ac:dyDescent="0.2">
      <c r="A357" s="180"/>
      <c r="B357" s="190"/>
      <c r="C357" s="180"/>
      <c r="G357" s="188"/>
    </row>
    <row r="358" spans="1:7" x14ac:dyDescent="0.2">
      <c r="A358" s="180"/>
      <c r="B358" s="189"/>
      <c r="C358" s="180"/>
      <c r="G358" s="188"/>
    </row>
    <row r="359" spans="1:7" x14ac:dyDescent="0.2">
      <c r="A359" s="180"/>
      <c r="B359" s="189"/>
      <c r="C359" s="180"/>
      <c r="G359" s="188"/>
    </row>
    <row r="360" spans="1:7" x14ac:dyDescent="0.2">
      <c r="A360" s="180"/>
      <c r="C360" s="180"/>
      <c r="G360" s="188"/>
    </row>
    <row r="361" spans="1:7" x14ac:dyDescent="0.2">
      <c r="A361" s="180"/>
      <c r="C361" s="180"/>
    </row>
    <row r="362" spans="1:7" x14ac:dyDescent="0.2">
      <c r="A362" s="180"/>
      <c r="B362" s="190"/>
      <c r="C362" s="180"/>
      <c r="G362" s="188"/>
    </row>
    <row r="363" spans="1:7" x14ac:dyDescent="0.2">
      <c r="A363" s="180"/>
      <c r="B363" s="189"/>
      <c r="C363" s="180"/>
      <c r="G363" s="188"/>
    </row>
    <row r="364" spans="1:7" x14ac:dyDescent="0.2">
      <c r="A364" s="180"/>
      <c r="B364" s="189"/>
      <c r="C364" s="180"/>
      <c r="G364" s="188"/>
    </row>
    <row r="365" spans="1:7" x14ac:dyDescent="0.2">
      <c r="A365" s="180"/>
      <c r="C365" s="180"/>
      <c r="G365" s="188"/>
    </row>
    <row r="366" spans="1:7" x14ac:dyDescent="0.2">
      <c r="A366" s="180"/>
      <c r="C366" s="180"/>
    </row>
    <row r="367" spans="1:7" x14ac:dyDescent="0.2">
      <c r="A367" s="180"/>
      <c r="B367" s="190"/>
      <c r="C367" s="180"/>
      <c r="G367" s="188"/>
    </row>
    <row r="368" spans="1:7" x14ac:dyDescent="0.2">
      <c r="A368" s="180"/>
      <c r="B368" s="189"/>
      <c r="C368" s="180"/>
      <c r="G368" s="188"/>
    </row>
    <row r="369" spans="1:7" x14ac:dyDescent="0.2">
      <c r="A369" s="180"/>
      <c r="B369" s="189"/>
      <c r="C369" s="180"/>
      <c r="G369" s="188"/>
    </row>
    <row r="370" spans="1:7" x14ac:dyDescent="0.2">
      <c r="A370" s="180"/>
      <c r="C370" s="180"/>
      <c r="G370" s="188"/>
    </row>
    <row r="371" spans="1:7" x14ac:dyDescent="0.2">
      <c r="A371" s="180"/>
      <c r="C371" s="180"/>
    </row>
    <row r="372" spans="1:7" x14ac:dyDescent="0.2">
      <c r="A372" s="180"/>
      <c r="B372" s="190"/>
      <c r="C372" s="180"/>
      <c r="G372" s="188"/>
    </row>
    <row r="373" spans="1:7" x14ac:dyDescent="0.2">
      <c r="A373" s="180"/>
      <c r="B373" s="189"/>
      <c r="C373" s="180"/>
      <c r="G373" s="188"/>
    </row>
    <row r="374" spans="1:7" x14ac:dyDescent="0.2">
      <c r="A374" s="180"/>
      <c r="B374" s="189"/>
      <c r="C374" s="180"/>
      <c r="G374" s="188"/>
    </row>
    <row r="375" spans="1:7" x14ac:dyDescent="0.2">
      <c r="A375" s="180"/>
      <c r="C375" s="180"/>
      <c r="G375" s="188"/>
    </row>
    <row r="376" spans="1:7" x14ac:dyDescent="0.2">
      <c r="A376" s="180"/>
      <c r="C376" s="180"/>
    </row>
    <row r="377" spans="1:7" x14ac:dyDescent="0.2">
      <c r="A377" s="180"/>
      <c r="B377" s="190"/>
      <c r="C377" s="180"/>
      <c r="G377" s="188"/>
    </row>
    <row r="378" spans="1:7" x14ac:dyDescent="0.2">
      <c r="A378" s="180"/>
      <c r="B378" s="189"/>
      <c r="C378" s="180"/>
      <c r="G378" s="188"/>
    </row>
    <row r="379" spans="1:7" x14ac:dyDescent="0.2">
      <c r="A379" s="180"/>
      <c r="B379" s="189"/>
      <c r="C379" s="180"/>
      <c r="G379" s="188"/>
    </row>
    <row r="380" spans="1:7" x14ac:dyDescent="0.2">
      <c r="A380" s="180"/>
      <c r="C380" s="180"/>
      <c r="G380" s="188"/>
    </row>
    <row r="381" spans="1:7" x14ac:dyDescent="0.2">
      <c r="A381" s="180"/>
      <c r="C381" s="180"/>
    </row>
    <row r="382" spans="1:7" x14ac:dyDescent="0.2">
      <c r="A382" s="180"/>
      <c r="B382" s="190"/>
      <c r="C382" s="180"/>
      <c r="G382" s="188"/>
    </row>
    <row r="383" spans="1:7" x14ac:dyDescent="0.2">
      <c r="A383" s="180"/>
      <c r="B383" s="189"/>
      <c r="C383" s="180"/>
      <c r="G383" s="188"/>
    </row>
    <row r="384" spans="1:7" x14ac:dyDescent="0.2">
      <c r="A384" s="180"/>
      <c r="B384" s="189"/>
      <c r="C384" s="180"/>
      <c r="G384" s="188"/>
    </row>
    <row r="385" spans="1:7" x14ac:dyDescent="0.2">
      <c r="A385" s="180"/>
      <c r="C385" s="180"/>
      <c r="G385" s="188"/>
    </row>
    <row r="386" spans="1:7" x14ac:dyDescent="0.2">
      <c r="A386" s="180"/>
      <c r="C386" s="180"/>
    </row>
    <row r="387" spans="1:7" x14ac:dyDescent="0.2">
      <c r="A387" s="180"/>
      <c r="B387" s="190"/>
      <c r="C387" s="180"/>
      <c r="G387" s="188"/>
    </row>
    <row r="388" spans="1:7" x14ac:dyDescent="0.2">
      <c r="A388" s="180"/>
      <c r="B388" s="189"/>
      <c r="C388" s="180"/>
      <c r="G388" s="188"/>
    </row>
    <row r="389" spans="1:7" x14ac:dyDescent="0.2">
      <c r="A389" s="180"/>
      <c r="B389" s="189"/>
      <c r="C389" s="180"/>
      <c r="G389" s="188"/>
    </row>
    <row r="390" spans="1:7" x14ac:dyDescent="0.2">
      <c r="A390" s="180"/>
      <c r="C390" s="180"/>
      <c r="G390" s="188"/>
    </row>
    <row r="391" spans="1:7" x14ac:dyDescent="0.2">
      <c r="A391" s="180"/>
      <c r="C391" s="180"/>
    </row>
    <row r="392" spans="1:7" x14ac:dyDescent="0.2">
      <c r="A392" s="180"/>
      <c r="B392" s="190"/>
      <c r="C392" s="180"/>
      <c r="G392" s="188"/>
    </row>
    <row r="393" spans="1:7" x14ac:dyDescent="0.2">
      <c r="A393" s="180"/>
      <c r="B393" s="189"/>
      <c r="C393" s="180"/>
      <c r="G393" s="188"/>
    </row>
    <row r="394" spans="1:7" x14ac:dyDescent="0.2">
      <c r="A394" s="180"/>
      <c r="B394" s="189"/>
      <c r="C394" s="180"/>
      <c r="G394" s="188"/>
    </row>
    <row r="395" spans="1:7" x14ac:dyDescent="0.2">
      <c r="A395" s="180"/>
      <c r="C395" s="180"/>
      <c r="G395" s="188"/>
    </row>
    <row r="396" spans="1:7" x14ac:dyDescent="0.2">
      <c r="A396" s="180"/>
      <c r="C396" s="180"/>
    </row>
    <row r="397" spans="1:7" x14ac:dyDescent="0.2">
      <c r="A397" s="180"/>
      <c r="B397" s="190"/>
      <c r="C397" s="180"/>
      <c r="G397" s="188"/>
    </row>
    <row r="398" spans="1:7" x14ac:dyDescent="0.2">
      <c r="A398" s="180"/>
      <c r="B398" s="189"/>
      <c r="C398" s="180"/>
      <c r="G398" s="188"/>
    </row>
    <row r="399" spans="1:7" x14ac:dyDescent="0.2">
      <c r="A399" s="180"/>
      <c r="B399" s="189"/>
      <c r="C399" s="180"/>
      <c r="G399" s="188"/>
    </row>
    <row r="400" spans="1:7" x14ac:dyDescent="0.2">
      <c r="A400" s="180"/>
      <c r="C400" s="180"/>
      <c r="G400" s="188"/>
    </row>
    <row r="401" spans="1:7" x14ac:dyDescent="0.2">
      <c r="A401" s="180"/>
      <c r="C401" s="180"/>
    </row>
    <row r="402" spans="1:7" x14ac:dyDescent="0.2">
      <c r="A402" s="180"/>
      <c r="B402" s="190"/>
      <c r="C402" s="180"/>
      <c r="G402" s="188"/>
    </row>
    <row r="403" spans="1:7" x14ac:dyDescent="0.2">
      <c r="A403" s="180"/>
      <c r="B403" s="189"/>
      <c r="C403" s="180"/>
      <c r="G403" s="188"/>
    </row>
    <row r="404" spans="1:7" x14ac:dyDescent="0.2">
      <c r="A404" s="180"/>
      <c r="B404" s="189"/>
      <c r="C404" s="180"/>
      <c r="G404" s="188"/>
    </row>
    <row r="405" spans="1:7" x14ac:dyDescent="0.2">
      <c r="A405" s="180"/>
      <c r="C405" s="180"/>
      <c r="G405" s="188"/>
    </row>
    <row r="406" spans="1:7" x14ac:dyDescent="0.2">
      <c r="A406" s="180"/>
      <c r="C406" s="180"/>
    </row>
    <row r="407" spans="1:7" x14ac:dyDescent="0.2">
      <c r="A407" s="180"/>
      <c r="B407" s="190"/>
      <c r="C407" s="180"/>
      <c r="G407" s="188"/>
    </row>
    <row r="408" spans="1:7" x14ac:dyDescent="0.2">
      <c r="A408" s="180"/>
      <c r="B408" s="189"/>
      <c r="C408" s="180"/>
      <c r="G408" s="188"/>
    </row>
    <row r="409" spans="1:7" x14ac:dyDescent="0.2">
      <c r="A409" s="180"/>
      <c r="B409" s="189"/>
      <c r="C409" s="180"/>
      <c r="G409" s="188"/>
    </row>
    <row r="410" spans="1:7" x14ac:dyDescent="0.2">
      <c r="A410" s="180"/>
      <c r="C410" s="180"/>
      <c r="G410" s="188"/>
    </row>
    <row r="411" spans="1:7" x14ac:dyDescent="0.2">
      <c r="A411" s="180"/>
      <c r="C411" s="180"/>
    </row>
    <row r="412" spans="1:7" x14ac:dyDescent="0.2">
      <c r="A412" s="180"/>
      <c r="B412" s="190"/>
      <c r="C412" s="180"/>
      <c r="G412" s="188"/>
    </row>
    <row r="413" spans="1:7" x14ac:dyDescent="0.2">
      <c r="A413" s="180"/>
      <c r="B413" s="189"/>
      <c r="C413" s="180"/>
      <c r="G413" s="188"/>
    </row>
    <row r="414" spans="1:7" x14ac:dyDescent="0.2">
      <c r="A414" s="180"/>
      <c r="B414" s="189"/>
      <c r="C414" s="180"/>
      <c r="G414" s="188"/>
    </row>
    <row r="415" spans="1:7" x14ac:dyDescent="0.2">
      <c r="A415" s="180"/>
      <c r="C415" s="180"/>
      <c r="G415" s="188"/>
    </row>
    <row r="416" spans="1:7" x14ac:dyDescent="0.2">
      <c r="A416" s="180"/>
      <c r="C416" s="180"/>
    </row>
    <row r="417" spans="1:7" x14ac:dyDescent="0.2">
      <c r="A417" s="180"/>
      <c r="B417" s="190"/>
      <c r="C417" s="180"/>
      <c r="G417" s="188"/>
    </row>
    <row r="418" spans="1:7" x14ac:dyDescent="0.2">
      <c r="A418" s="180"/>
      <c r="B418" s="189"/>
      <c r="C418" s="180"/>
      <c r="G418" s="188"/>
    </row>
    <row r="419" spans="1:7" x14ac:dyDescent="0.2">
      <c r="A419" s="180"/>
      <c r="B419" s="189"/>
      <c r="C419" s="180"/>
      <c r="G419" s="188"/>
    </row>
    <row r="420" spans="1:7" x14ac:dyDescent="0.2">
      <c r="A420" s="180"/>
      <c r="C420" s="180"/>
      <c r="G420" s="188"/>
    </row>
    <row r="421" spans="1:7" x14ac:dyDescent="0.2">
      <c r="A421" s="180"/>
      <c r="C421" s="180"/>
    </row>
    <row r="422" spans="1:7" x14ac:dyDescent="0.2">
      <c r="A422" s="180"/>
      <c r="B422" s="190"/>
      <c r="C422" s="180"/>
      <c r="G422" s="188"/>
    </row>
    <row r="423" spans="1:7" x14ac:dyDescent="0.2">
      <c r="A423" s="180"/>
      <c r="B423" s="189"/>
      <c r="C423" s="180"/>
      <c r="G423" s="188"/>
    </row>
    <row r="424" spans="1:7" x14ac:dyDescent="0.2">
      <c r="A424" s="180"/>
      <c r="B424" s="189"/>
      <c r="C424" s="180"/>
      <c r="G424" s="188"/>
    </row>
    <row r="425" spans="1:7" x14ac:dyDescent="0.2">
      <c r="A425" s="180"/>
      <c r="C425" s="180"/>
      <c r="G425" s="188"/>
    </row>
    <row r="426" spans="1:7" x14ac:dyDescent="0.2">
      <c r="A426" s="180"/>
      <c r="C426" s="180"/>
    </row>
    <row r="427" spans="1:7" x14ac:dyDescent="0.2">
      <c r="A427" s="180"/>
      <c r="B427" s="190"/>
      <c r="C427" s="180"/>
      <c r="G427" s="188"/>
    </row>
    <row r="428" spans="1:7" x14ac:dyDescent="0.2">
      <c r="A428" s="180"/>
      <c r="B428" s="189"/>
      <c r="C428" s="180"/>
      <c r="G428" s="188"/>
    </row>
    <row r="429" spans="1:7" x14ac:dyDescent="0.2">
      <c r="A429" s="180"/>
      <c r="B429" s="189"/>
      <c r="C429" s="180"/>
      <c r="G429" s="188"/>
    </row>
    <row r="430" spans="1:7" x14ac:dyDescent="0.2">
      <c r="A430" s="180"/>
      <c r="C430" s="180"/>
      <c r="G430" s="188"/>
    </row>
    <row r="431" spans="1:7" x14ac:dyDescent="0.2">
      <c r="A431" s="180"/>
      <c r="C431" s="180"/>
    </row>
    <row r="432" spans="1:7" x14ac:dyDescent="0.2">
      <c r="A432" s="180"/>
      <c r="B432" s="190"/>
      <c r="C432" s="180"/>
      <c r="G432" s="188"/>
    </row>
    <row r="433" spans="1:7" x14ac:dyDescent="0.2">
      <c r="A433" s="180"/>
      <c r="B433" s="189"/>
      <c r="C433" s="180"/>
      <c r="G433" s="188"/>
    </row>
    <row r="434" spans="1:7" x14ac:dyDescent="0.2">
      <c r="A434" s="180"/>
      <c r="B434" s="189"/>
      <c r="C434" s="180"/>
      <c r="G434" s="188"/>
    </row>
    <row r="435" spans="1:7" x14ac:dyDescent="0.2">
      <c r="A435" s="180"/>
      <c r="C435" s="180"/>
      <c r="G435" s="188"/>
    </row>
    <row r="436" spans="1:7" x14ac:dyDescent="0.2">
      <c r="A436" s="180"/>
      <c r="C436" s="180"/>
    </row>
    <row r="437" spans="1:7" x14ac:dyDescent="0.2">
      <c r="A437" s="180"/>
      <c r="B437" s="190"/>
      <c r="C437" s="180"/>
      <c r="G437" s="188"/>
    </row>
    <row r="438" spans="1:7" x14ac:dyDescent="0.2">
      <c r="A438" s="180"/>
      <c r="B438" s="189"/>
      <c r="C438" s="180"/>
      <c r="G438" s="188"/>
    </row>
    <row r="439" spans="1:7" x14ac:dyDescent="0.2">
      <c r="A439" s="180"/>
      <c r="B439" s="189"/>
      <c r="C439" s="180"/>
      <c r="G439" s="188"/>
    </row>
    <row r="440" spans="1:7" x14ac:dyDescent="0.2">
      <c r="A440" s="180"/>
      <c r="C440" s="180"/>
      <c r="G440" s="188"/>
    </row>
    <row r="441" spans="1:7" x14ac:dyDescent="0.2">
      <c r="A441" s="180"/>
      <c r="C441" s="180"/>
    </row>
    <row r="442" spans="1:7" x14ac:dyDescent="0.2">
      <c r="A442" s="180"/>
      <c r="B442" s="190"/>
      <c r="C442" s="180"/>
      <c r="G442" s="188"/>
    </row>
    <row r="443" spans="1:7" x14ac:dyDescent="0.2">
      <c r="A443" s="180"/>
      <c r="B443" s="189"/>
      <c r="C443" s="180"/>
      <c r="G443" s="188"/>
    </row>
    <row r="444" spans="1:7" x14ac:dyDescent="0.2">
      <c r="A444" s="180"/>
      <c r="B444" s="189"/>
      <c r="C444" s="180"/>
      <c r="G444" s="188"/>
    </row>
    <row r="445" spans="1:7" x14ac:dyDescent="0.2">
      <c r="A445" s="180"/>
      <c r="C445" s="180"/>
      <c r="G445" s="188"/>
    </row>
    <row r="446" spans="1:7" x14ac:dyDescent="0.2">
      <c r="A446" s="180"/>
      <c r="C446" s="180"/>
    </row>
    <row r="447" spans="1:7" x14ac:dyDescent="0.2">
      <c r="A447" s="180"/>
      <c r="B447" s="190"/>
      <c r="C447" s="180"/>
      <c r="G447" s="188"/>
    </row>
    <row r="448" spans="1:7" x14ac:dyDescent="0.2">
      <c r="A448" s="180"/>
      <c r="B448" s="189"/>
      <c r="C448" s="180"/>
      <c r="G448" s="188"/>
    </row>
    <row r="449" spans="1:7" x14ac:dyDescent="0.2">
      <c r="A449" s="180"/>
      <c r="B449" s="189"/>
      <c r="C449" s="180"/>
      <c r="G449" s="188"/>
    </row>
    <row r="450" spans="1:7" x14ac:dyDescent="0.2">
      <c r="A450" s="180"/>
      <c r="C450" s="180"/>
      <c r="G450" s="188"/>
    </row>
    <row r="451" spans="1:7" x14ac:dyDescent="0.2">
      <c r="A451" s="180"/>
      <c r="C451" s="180"/>
    </row>
    <row r="452" spans="1:7" x14ac:dyDescent="0.2">
      <c r="A452" s="180"/>
      <c r="B452" s="190"/>
      <c r="C452" s="180"/>
      <c r="G452" s="188"/>
    </row>
    <row r="453" spans="1:7" x14ac:dyDescent="0.2">
      <c r="A453" s="180"/>
      <c r="B453" s="189"/>
      <c r="C453" s="180"/>
      <c r="G453" s="188"/>
    </row>
    <row r="454" spans="1:7" x14ac:dyDescent="0.2">
      <c r="A454" s="180"/>
      <c r="B454" s="189"/>
      <c r="C454" s="180"/>
      <c r="G454" s="188"/>
    </row>
    <row r="455" spans="1:7" x14ac:dyDescent="0.2">
      <c r="A455" s="180"/>
      <c r="C455" s="180"/>
      <c r="G455" s="188"/>
    </row>
    <row r="456" spans="1:7" x14ac:dyDescent="0.2">
      <c r="A456" s="180"/>
      <c r="C456" s="180"/>
    </row>
    <row r="457" spans="1:7" x14ac:dyDescent="0.2">
      <c r="A457" s="180"/>
      <c r="B457" s="190"/>
      <c r="C457" s="180"/>
      <c r="G457" s="188"/>
    </row>
    <row r="458" spans="1:7" x14ac:dyDescent="0.2">
      <c r="A458" s="180"/>
      <c r="B458" s="189"/>
      <c r="C458" s="180"/>
      <c r="G458" s="188"/>
    </row>
    <row r="459" spans="1:7" x14ac:dyDescent="0.2">
      <c r="A459" s="180"/>
      <c r="B459" s="189"/>
      <c r="C459" s="180"/>
      <c r="G459" s="188"/>
    </row>
    <row r="460" spans="1:7" x14ac:dyDescent="0.2">
      <c r="A460" s="180"/>
      <c r="C460" s="180"/>
      <c r="G460" s="188"/>
    </row>
    <row r="461" spans="1:7" x14ac:dyDescent="0.2">
      <c r="A461" s="180"/>
      <c r="C461" s="180"/>
    </row>
    <row r="462" spans="1:7" x14ac:dyDescent="0.2">
      <c r="A462" s="180"/>
      <c r="B462" s="190"/>
      <c r="C462" s="180"/>
      <c r="G462" s="188"/>
    </row>
    <row r="463" spans="1:7" x14ac:dyDescent="0.2">
      <c r="A463" s="180"/>
      <c r="B463" s="189"/>
      <c r="C463" s="180"/>
      <c r="G463" s="188"/>
    </row>
    <row r="464" spans="1:7" x14ac:dyDescent="0.2">
      <c r="A464" s="180"/>
      <c r="B464" s="189"/>
      <c r="C464" s="180"/>
      <c r="G464" s="188"/>
    </row>
    <row r="465" spans="1:7" x14ac:dyDescent="0.2">
      <c r="A465" s="180"/>
      <c r="C465" s="180"/>
      <c r="G465" s="188"/>
    </row>
    <row r="466" spans="1:7" x14ac:dyDescent="0.2">
      <c r="A466" s="180"/>
      <c r="C466" s="180"/>
    </row>
    <row r="467" spans="1:7" x14ac:dyDescent="0.2">
      <c r="A467" s="180"/>
      <c r="B467" s="190"/>
      <c r="C467" s="180"/>
      <c r="G467" s="188"/>
    </row>
    <row r="468" spans="1:7" x14ac:dyDescent="0.2">
      <c r="A468" s="180"/>
      <c r="B468" s="189"/>
      <c r="C468" s="180"/>
      <c r="G468" s="188"/>
    </row>
    <row r="469" spans="1:7" x14ac:dyDescent="0.2">
      <c r="A469" s="180"/>
      <c r="B469" s="189"/>
      <c r="C469" s="180"/>
      <c r="G469" s="188"/>
    </row>
    <row r="470" spans="1:7" x14ac:dyDescent="0.2">
      <c r="A470" s="180"/>
      <c r="C470" s="180"/>
      <c r="G470" s="188"/>
    </row>
    <row r="471" spans="1:7" x14ac:dyDescent="0.2">
      <c r="A471" s="180"/>
      <c r="C471" s="180"/>
    </row>
    <row r="472" spans="1:7" x14ac:dyDescent="0.2">
      <c r="A472" s="180"/>
      <c r="B472" s="190"/>
      <c r="C472" s="180"/>
      <c r="G472" s="188"/>
    </row>
    <row r="473" spans="1:7" x14ac:dyDescent="0.2">
      <c r="A473" s="180"/>
      <c r="B473" s="189"/>
      <c r="C473" s="180"/>
      <c r="G473" s="188"/>
    </row>
    <row r="474" spans="1:7" x14ac:dyDescent="0.2">
      <c r="A474" s="180"/>
      <c r="B474" s="189"/>
      <c r="C474" s="180"/>
      <c r="G474" s="188"/>
    </row>
    <row r="475" spans="1:7" x14ac:dyDescent="0.2">
      <c r="A475" s="180"/>
      <c r="C475" s="180"/>
      <c r="G475" s="188"/>
    </row>
    <row r="476" spans="1:7" x14ac:dyDescent="0.2">
      <c r="A476" s="180"/>
      <c r="C476" s="180"/>
    </row>
    <row r="477" spans="1:7" x14ac:dyDescent="0.2">
      <c r="A477" s="180"/>
      <c r="B477" s="190"/>
      <c r="C477" s="180"/>
      <c r="G477" s="188"/>
    </row>
    <row r="478" spans="1:7" x14ac:dyDescent="0.2">
      <c r="A478" s="180"/>
      <c r="B478" s="189"/>
      <c r="C478" s="180"/>
      <c r="G478" s="188"/>
    </row>
    <row r="479" spans="1:7" x14ac:dyDescent="0.2">
      <c r="A479" s="180"/>
      <c r="B479" s="189"/>
      <c r="C479" s="180"/>
      <c r="G479" s="188"/>
    </row>
    <row r="480" spans="1:7" x14ac:dyDescent="0.2">
      <c r="A480" s="180"/>
      <c r="C480" s="180"/>
      <c r="G480" s="188"/>
    </row>
    <row r="481" spans="1:7" x14ac:dyDescent="0.2">
      <c r="A481" s="180"/>
      <c r="C481" s="180"/>
    </row>
    <row r="482" spans="1:7" x14ac:dyDescent="0.2">
      <c r="A482" s="180"/>
      <c r="B482" s="190"/>
      <c r="C482" s="180"/>
      <c r="G482" s="188"/>
    </row>
    <row r="483" spans="1:7" x14ac:dyDescent="0.2">
      <c r="A483" s="180"/>
      <c r="B483" s="189"/>
      <c r="C483" s="180"/>
      <c r="G483" s="188"/>
    </row>
    <row r="484" spans="1:7" x14ac:dyDescent="0.2">
      <c r="A484" s="180"/>
      <c r="B484" s="189"/>
      <c r="C484" s="180"/>
      <c r="G484" s="188"/>
    </row>
    <row r="485" spans="1:7" x14ac:dyDescent="0.2">
      <c r="A485" s="180"/>
      <c r="C485" s="180"/>
      <c r="G485" s="188"/>
    </row>
    <row r="486" spans="1:7" x14ac:dyDescent="0.2">
      <c r="A486" s="180"/>
      <c r="C486" s="180"/>
    </row>
    <row r="487" spans="1:7" x14ac:dyDescent="0.2">
      <c r="A487" s="180"/>
      <c r="B487" s="190"/>
      <c r="C487" s="180"/>
      <c r="G487" s="188"/>
    </row>
    <row r="488" spans="1:7" x14ac:dyDescent="0.2">
      <c r="A488" s="180"/>
      <c r="B488" s="189"/>
      <c r="C488" s="180"/>
      <c r="G488" s="188"/>
    </row>
    <row r="489" spans="1:7" x14ac:dyDescent="0.2">
      <c r="A489" s="180"/>
      <c r="B489" s="189"/>
      <c r="C489" s="180"/>
      <c r="G489" s="188"/>
    </row>
    <row r="490" spans="1:7" x14ac:dyDescent="0.2">
      <c r="A490" s="180"/>
      <c r="C490" s="180"/>
      <c r="G490" s="188"/>
    </row>
    <row r="491" spans="1:7" x14ac:dyDescent="0.2">
      <c r="A491" s="180"/>
      <c r="C491" s="180"/>
    </row>
    <row r="492" spans="1:7" x14ac:dyDescent="0.2">
      <c r="A492" s="180"/>
      <c r="B492" s="190"/>
      <c r="C492" s="180"/>
      <c r="G492" s="188"/>
    </row>
    <row r="493" spans="1:7" x14ac:dyDescent="0.2">
      <c r="A493" s="180"/>
      <c r="B493" s="189"/>
      <c r="C493" s="180"/>
      <c r="G493" s="188"/>
    </row>
    <row r="494" spans="1:7" x14ac:dyDescent="0.2">
      <c r="A494" s="180"/>
      <c r="B494" s="189"/>
      <c r="C494" s="180"/>
      <c r="G494" s="188"/>
    </row>
    <row r="495" spans="1:7" x14ac:dyDescent="0.2">
      <c r="A495" s="180"/>
      <c r="C495" s="180"/>
      <c r="G495" s="188"/>
    </row>
    <row r="496" spans="1:7" x14ac:dyDescent="0.2">
      <c r="A496" s="180"/>
      <c r="C496" s="180"/>
    </row>
    <row r="497" spans="1:7" x14ac:dyDescent="0.2">
      <c r="A497" s="180"/>
      <c r="B497" s="190"/>
      <c r="C497" s="180"/>
      <c r="G497" s="188"/>
    </row>
    <row r="498" spans="1:7" x14ac:dyDescent="0.2">
      <c r="A498" s="180"/>
      <c r="B498" s="189"/>
      <c r="C498" s="180"/>
      <c r="G498" s="188"/>
    </row>
    <row r="499" spans="1:7" x14ac:dyDescent="0.2">
      <c r="A499" s="180"/>
      <c r="B499" s="189"/>
      <c r="C499" s="180"/>
      <c r="G499" s="188"/>
    </row>
    <row r="500" spans="1:7" x14ac:dyDescent="0.2">
      <c r="A500" s="180"/>
      <c r="C500" s="180"/>
      <c r="G500" s="188"/>
    </row>
    <row r="501" spans="1:7" x14ac:dyDescent="0.2">
      <c r="A501" s="180"/>
      <c r="C501" s="180"/>
    </row>
    <row r="502" spans="1:7" x14ac:dyDescent="0.2">
      <c r="A502" s="180"/>
      <c r="C502" s="180"/>
    </row>
    <row r="503" spans="1:7" x14ac:dyDescent="0.2">
      <c r="A503" s="180"/>
      <c r="C503" s="180"/>
    </row>
    <row r="504" spans="1:7" x14ac:dyDescent="0.2">
      <c r="A504" s="180"/>
      <c r="C504" s="180"/>
    </row>
    <row r="505" spans="1:7" x14ac:dyDescent="0.2">
      <c r="A505" s="180"/>
      <c r="C505" s="180"/>
    </row>
    <row r="506" spans="1:7" x14ac:dyDescent="0.2">
      <c r="A506" s="180"/>
      <c r="C506" s="180"/>
    </row>
    <row r="507" spans="1:7" x14ac:dyDescent="0.2">
      <c r="A507" s="180"/>
      <c r="C507" s="180"/>
    </row>
    <row r="508" spans="1:7" x14ac:dyDescent="0.2">
      <c r="A508" s="180"/>
      <c r="C508" s="180"/>
    </row>
    <row r="509" spans="1:7" x14ac:dyDescent="0.2">
      <c r="A509" s="180"/>
      <c r="C509" s="180"/>
    </row>
    <row r="510" spans="1:7" x14ac:dyDescent="0.2">
      <c r="A510" s="180"/>
      <c r="C510" s="180"/>
    </row>
    <row r="511" spans="1:7" x14ac:dyDescent="0.2">
      <c r="A511" s="180"/>
      <c r="C511" s="180"/>
    </row>
    <row r="512" spans="1:7" x14ac:dyDescent="0.2">
      <c r="A512" s="180"/>
      <c r="C512" s="180"/>
    </row>
    <row r="513" spans="9:11" s="180" customFormat="1" x14ac:dyDescent="0.2">
      <c r="I513" s="220"/>
      <c r="K513" s="218"/>
    </row>
    <row r="514" spans="9:11" s="180" customFormat="1" x14ac:dyDescent="0.2">
      <c r="I514" s="220"/>
      <c r="K514" s="218"/>
    </row>
    <row r="515" spans="9:11" s="180" customFormat="1" x14ac:dyDescent="0.2">
      <c r="I515" s="220"/>
      <c r="K515" s="218"/>
    </row>
    <row r="516" spans="9:11" s="180" customFormat="1" x14ac:dyDescent="0.2">
      <c r="I516" s="220"/>
      <c r="K516" s="218"/>
    </row>
    <row r="517" spans="9:11" s="180" customFormat="1" x14ac:dyDescent="0.2">
      <c r="I517" s="220"/>
      <c r="K517" s="218"/>
    </row>
    <row r="518" spans="9:11" s="180" customFormat="1" x14ac:dyDescent="0.2">
      <c r="I518" s="220"/>
      <c r="K518" s="218"/>
    </row>
    <row r="519" spans="9:11" s="180" customFormat="1" x14ac:dyDescent="0.2">
      <c r="I519" s="220"/>
      <c r="K519" s="218"/>
    </row>
    <row r="520" spans="9:11" s="180" customFormat="1" x14ac:dyDescent="0.2">
      <c r="I520" s="220"/>
      <c r="K520" s="218"/>
    </row>
    <row r="521" spans="9:11" s="180" customFormat="1" x14ac:dyDescent="0.2">
      <c r="I521" s="220"/>
      <c r="K521" s="218"/>
    </row>
    <row r="522" spans="9:11" s="180" customFormat="1" x14ac:dyDescent="0.2">
      <c r="I522" s="220"/>
      <c r="K522" s="218"/>
    </row>
    <row r="523" spans="9:11" s="180" customFormat="1" x14ac:dyDescent="0.2">
      <c r="I523" s="220"/>
      <c r="K523" s="218"/>
    </row>
    <row r="524" spans="9:11" s="180" customFormat="1" x14ac:dyDescent="0.2">
      <c r="I524" s="220"/>
      <c r="K524" s="218"/>
    </row>
    <row r="525" spans="9:11" s="180" customFormat="1" x14ac:dyDescent="0.2">
      <c r="I525" s="220"/>
      <c r="K525" s="218"/>
    </row>
    <row r="526" spans="9:11" s="180" customFormat="1" x14ac:dyDescent="0.2">
      <c r="I526" s="220"/>
      <c r="K526" s="218"/>
    </row>
    <row r="527" spans="9:11" s="180" customFormat="1" x14ac:dyDescent="0.2">
      <c r="I527" s="220"/>
      <c r="K527" s="218"/>
    </row>
    <row r="528" spans="9:11" s="180" customFormat="1" x14ac:dyDescent="0.2">
      <c r="I528" s="220"/>
      <c r="K528" s="218"/>
    </row>
    <row r="529" spans="9:11" s="180" customFormat="1" x14ac:dyDescent="0.2">
      <c r="I529" s="220"/>
      <c r="K529" s="218"/>
    </row>
    <row r="530" spans="9:11" s="180" customFormat="1" x14ac:dyDescent="0.2">
      <c r="I530" s="220"/>
      <c r="K530" s="218"/>
    </row>
    <row r="531" spans="9:11" s="180" customFormat="1" x14ac:dyDescent="0.2">
      <c r="I531" s="220"/>
      <c r="K531" s="218"/>
    </row>
    <row r="532" spans="9:11" s="180" customFormat="1" x14ac:dyDescent="0.2">
      <c r="I532" s="220"/>
      <c r="K532" s="218"/>
    </row>
    <row r="533" spans="9:11" s="180" customFormat="1" x14ac:dyDescent="0.2">
      <c r="I533" s="220"/>
      <c r="K533" s="218"/>
    </row>
    <row r="534" spans="9:11" s="180" customFormat="1" x14ac:dyDescent="0.2">
      <c r="I534" s="220"/>
      <c r="K534" s="218"/>
    </row>
    <row r="535" spans="9:11" s="180" customFormat="1" x14ac:dyDescent="0.2">
      <c r="I535" s="220"/>
      <c r="K535" s="218"/>
    </row>
    <row r="536" spans="9:11" s="180" customFormat="1" x14ac:dyDescent="0.2">
      <c r="I536" s="220"/>
      <c r="K536" s="218"/>
    </row>
    <row r="537" spans="9:11" s="180" customFormat="1" x14ac:dyDescent="0.2">
      <c r="I537" s="220"/>
      <c r="K537" s="218"/>
    </row>
    <row r="538" spans="9:11" s="180" customFormat="1" x14ac:dyDescent="0.2">
      <c r="I538" s="220"/>
      <c r="K538" s="218"/>
    </row>
    <row r="539" spans="9:11" s="180" customFormat="1" x14ac:dyDescent="0.2">
      <c r="I539" s="220"/>
      <c r="K539" s="218"/>
    </row>
    <row r="540" spans="9:11" s="180" customFormat="1" x14ac:dyDescent="0.2">
      <c r="I540" s="220"/>
      <c r="K540" s="218"/>
    </row>
    <row r="541" spans="9:11" s="180" customFormat="1" x14ac:dyDescent="0.2">
      <c r="I541" s="220"/>
      <c r="K541" s="218"/>
    </row>
    <row r="542" spans="9:11" s="180" customFormat="1" x14ac:dyDescent="0.2">
      <c r="I542" s="220"/>
      <c r="K542" s="218"/>
    </row>
    <row r="543" spans="9:11" s="180" customFormat="1" x14ac:dyDescent="0.2">
      <c r="I543" s="220"/>
      <c r="K543" s="218"/>
    </row>
    <row r="544" spans="9:11" s="180" customFormat="1" x14ac:dyDescent="0.2">
      <c r="I544" s="220"/>
      <c r="K544" s="218"/>
    </row>
    <row r="545" spans="9:11" s="180" customFormat="1" x14ac:dyDescent="0.2">
      <c r="I545" s="220"/>
      <c r="K545" s="218"/>
    </row>
    <row r="546" spans="9:11" s="180" customFormat="1" x14ac:dyDescent="0.2">
      <c r="I546" s="220"/>
      <c r="K546" s="218"/>
    </row>
    <row r="547" spans="9:11" s="180" customFormat="1" x14ac:dyDescent="0.2">
      <c r="I547" s="220"/>
      <c r="K547" s="218"/>
    </row>
    <row r="548" spans="9:11" s="180" customFormat="1" x14ac:dyDescent="0.2">
      <c r="I548" s="220"/>
      <c r="K548" s="218"/>
    </row>
    <row r="549" spans="9:11" s="180" customFormat="1" x14ac:dyDescent="0.2">
      <c r="I549" s="220"/>
      <c r="K549" s="218"/>
    </row>
    <row r="550" spans="9:11" s="180" customFormat="1" x14ac:dyDescent="0.2">
      <c r="I550" s="220"/>
      <c r="K550" s="218"/>
    </row>
    <row r="551" spans="9:11" s="180" customFormat="1" x14ac:dyDescent="0.2">
      <c r="I551" s="220"/>
      <c r="K551" s="218"/>
    </row>
    <row r="552" spans="9:11" s="180" customFormat="1" x14ac:dyDescent="0.2">
      <c r="I552" s="220"/>
      <c r="K552" s="218"/>
    </row>
    <row r="553" spans="9:11" s="180" customFormat="1" x14ac:dyDescent="0.2">
      <c r="I553" s="220"/>
      <c r="K553" s="218"/>
    </row>
    <row r="554" spans="9:11" s="180" customFormat="1" x14ac:dyDescent="0.2">
      <c r="I554" s="220"/>
      <c r="K554" s="218"/>
    </row>
    <row r="555" spans="9:11" s="180" customFormat="1" x14ac:dyDescent="0.2">
      <c r="I555" s="220"/>
      <c r="K555" s="218"/>
    </row>
    <row r="556" spans="9:11" s="180" customFormat="1" x14ac:dyDescent="0.2">
      <c r="I556" s="220"/>
      <c r="K556" s="218"/>
    </row>
    <row r="557" spans="9:11" s="180" customFormat="1" x14ac:dyDescent="0.2">
      <c r="I557" s="220"/>
      <c r="K557" s="218"/>
    </row>
    <row r="558" spans="9:11" s="180" customFormat="1" x14ac:dyDescent="0.2">
      <c r="I558" s="220"/>
      <c r="K558" s="218"/>
    </row>
    <row r="559" spans="9:11" s="180" customFormat="1" x14ac:dyDescent="0.2">
      <c r="I559" s="220"/>
      <c r="K559" s="218"/>
    </row>
    <row r="560" spans="9:11" s="180" customFormat="1" x14ac:dyDescent="0.2">
      <c r="I560" s="220"/>
      <c r="K560" s="218"/>
    </row>
    <row r="561" spans="9:11" s="180" customFormat="1" x14ac:dyDescent="0.2">
      <c r="I561" s="220"/>
      <c r="K561" s="218"/>
    </row>
    <row r="562" spans="9:11" s="180" customFormat="1" x14ac:dyDescent="0.2">
      <c r="I562" s="220"/>
      <c r="K562" s="218"/>
    </row>
    <row r="563" spans="9:11" s="180" customFormat="1" x14ac:dyDescent="0.2">
      <c r="I563" s="220"/>
      <c r="K563" s="218"/>
    </row>
    <row r="564" spans="9:11" s="180" customFormat="1" x14ac:dyDescent="0.2">
      <c r="I564" s="220"/>
      <c r="K564" s="218"/>
    </row>
    <row r="565" spans="9:11" s="180" customFormat="1" x14ac:dyDescent="0.2">
      <c r="I565" s="220"/>
      <c r="K565" s="218"/>
    </row>
    <row r="566" spans="9:11" s="180" customFormat="1" x14ac:dyDescent="0.2">
      <c r="I566" s="220"/>
      <c r="K566" s="218"/>
    </row>
    <row r="567" spans="9:11" s="180" customFormat="1" x14ac:dyDescent="0.2">
      <c r="I567" s="220"/>
      <c r="K567" s="218"/>
    </row>
    <row r="568" spans="9:11" s="180" customFormat="1" x14ac:dyDescent="0.2">
      <c r="I568" s="220"/>
      <c r="K568" s="218"/>
    </row>
    <row r="569" spans="9:11" s="180" customFormat="1" x14ac:dyDescent="0.2">
      <c r="I569" s="220"/>
      <c r="K569" s="218"/>
    </row>
    <row r="570" spans="9:11" s="180" customFormat="1" x14ac:dyDescent="0.2">
      <c r="I570" s="220"/>
      <c r="K570" s="218"/>
    </row>
    <row r="571" spans="9:11" s="180" customFormat="1" x14ac:dyDescent="0.2">
      <c r="I571" s="220"/>
      <c r="K571" s="218"/>
    </row>
    <row r="572" spans="9:11" s="180" customFormat="1" x14ac:dyDescent="0.2">
      <c r="I572" s="220"/>
      <c r="K572" s="218"/>
    </row>
    <row r="573" spans="9:11" s="180" customFormat="1" x14ac:dyDescent="0.2">
      <c r="I573" s="220"/>
      <c r="K573" s="218"/>
    </row>
    <row r="574" spans="9:11" s="180" customFormat="1" x14ac:dyDescent="0.2">
      <c r="I574" s="220"/>
      <c r="K574" s="218"/>
    </row>
    <row r="575" spans="9:11" s="180" customFormat="1" x14ac:dyDescent="0.2">
      <c r="I575" s="220"/>
      <c r="K575" s="218"/>
    </row>
    <row r="576" spans="9:11" s="180" customFormat="1" x14ac:dyDescent="0.2">
      <c r="I576" s="220"/>
      <c r="K576" s="218"/>
    </row>
    <row r="577" spans="9:11" s="180" customFormat="1" x14ac:dyDescent="0.2">
      <c r="I577" s="220"/>
      <c r="K577" s="218"/>
    </row>
    <row r="578" spans="9:11" s="180" customFormat="1" x14ac:dyDescent="0.2">
      <c r="I578" s="220"/>
      <c r="K578" s="218"/>
    </row>
    <row r="579" spans="9:11" s="180" customFormat="1" x14ac:dyDescent="0.2">
      <c r="I579" s="220"/>
      <c r="K579" s="218"/>
    </row>
    <row r="580" spans="9:11" s="180" customFormat="1" x14ac:dyDescent="0.2">
      <c r="I580" s="220"/>
      <c r="K580" s="218"/>
    </row>
    <row r="581" spans="9:11" s="180" customFormat="1" x14ac:dyDescent="0.2">
      <c r="I581" s="220"/>
      <c r="K581" s="218"/>
    </row>
    <row r="582" spans="9:11" s="180" customFormat="1" x14ac:dyDescent="0.2">
      <c r="I582" s="220"/>
      <c r="K582" s="218"/>
    </row>
    <row r="583" spans="9:11" s="180" customFormat="1" x14ac:dyDescent="0.2">
      <c r="I583" s="220"/>
      <c r="K583" s="218"/>
    </row>
    <row r="584" spans="9:11" s="180" customFormat="1" x14ac:dyDescent="0.2">
      <c r="I584" s="220"/>
      <c r="K584" s="218"/>
    </row>
    <row r="585" spans="9:11" s="180" customFormat="1" x14ac:dyDescent="0.2">
      <c r="I585" s="220"/>
      <c r="K585" s="218"/>
    </row>
    <row r="586" spans="9:11" s="180" customFormat="1" x14ac:dyDescent="0.2">
      <c r="I586" s="220"/>
      <c r="K586" s="218"/>
    </row>
    <row r="587" spans="9:11" s="180" customFormat="1" x14ac:dyDescent="0.2">
      <c r="I587" s="220"/>
      <c r="K587" s="218"/>
    </row>
    <row r="588" spans="9:11" s="180" customFormat="1" x14ac:dyDescent="0.2">
      <c r="I588" s="220"/>
      <c r="K588" s="218"/>
    </row>
    <row r="589" spans="9:11" s="180" customFormat="1" x14ac:dyDescent="0.2">
      <c r="I589" s="220"/>
      <c r="K589" s="218"/>
    </row>
    <row r="590" spans="9:11" s="180" customFormat="1" x14ac:dyDescent="0.2">
      <c r="I590" s="220"/>
      <c r="K590" s="218"/>
    </row>
    <row r="591" spans="9:11" s="180" customFormat="1" x14ac:dyDescent="0.2">
      <c r="I591" s="220"/>
      <c r="K591" s="218"/>
    </row>
    <row r="592" spans="9:11" s="180" customFormat="1" x14ac:dyDescent="0.2">
      <c r="I592" s="220"/>
      <c r="K592" s="218"/>
    </row>
    <row r="593" spans="9:11" s="180" customFormat="1" x14ac:dyDescent="0.2">
      <c r="I593" s="220"/>
      <c r="K593" s="218"/>
    </row>
    <row r="594" spans="9:11" s="180" customFormat="1" x14ac:dyDescent="0.2">
      <c r="I594" s="220"/>
      <c r="K594" s="218"/>
    </row>
    <row r="595" spans="9:11" s="180" customFormat="1" x14ac:dyDescent="0.2">
      <c r="I595" s="220"/>
      <c r="K595" s="218"/>
    </row>
    <row r="596" spans="9:11" s="180" customFormat="1" x14ac:dyDescent="0.2">
      <c r="I596" s="220"/>
      <c r="K596" s="218"/>
    </row>
    <row r="597" spans="9:11" s="180" customFormat="1" x14ac:dyDescent="0.2">
      <c r="I597" s="220"/>
      <c r="K597" s="218"/>
    </row>
    <row r="598" spans="9:11" s="180" customFormat="1" x14ac:dyDescent="0.2">
      <c r="I598" s="220"/>
      <c r="K598" s="218"/>
    </row>
    <row r="599" spans="9:11" s="180" customFormat="1" x14ac:dyDescent="0.2">
      <c r="I599" s="220"/>
      <c r="K599" s="218"/>
    </row>
    <row r="600" spans="9:11" s="180" customFormat="1" x14ac:dyDescent="0.2">
      <c r="I600" s="220"/>
      <c r="K600" s="218"/>
    </row>
    <row r="601" spans="9:11" s="180" customFormat="1" x14ac:dyDescent="0.2">
      <c r="I601" s="220"/>
      <c r="K601" s="218"/>
    </row>
    <row r="602" spans="9:11" s="180" customFormat="1" x14ac:dyDescent="0.2">
      <c r="I602" s="220"/>
      <c r="K602" s="218"/>
    </row>
    <row r="603" spans="9:11" s="180" customFormat="1" x14ac:dyDescent="0.2">
      <c r="I603" s="220"/>
      <c r="K603" s="218"/>
    </row>
    <row r="604" spans="9:11" s="180" customFormat="1" x14ac:dyDescent="0.2">
      <c r="I604" s="220"/>
      <c r="K604" s="218"/>
    </row>
    <row r="605" spans="9:11" s="180" customFormat="1" x14ac:dyDescent="0.2">
      <c r="I605" s="220"/>
      <c r="K605" s="218"/>
    </row>
    <row r="606" spans="9:11" s="180" customFormat="1" x14ac:dyDescent="0.2">
      <c r="I606" s="220"/>
      <c r="K606" s="218"/>
    </row>
    <row r="607" spans="9:11" s="180" customFormat="1" x14ac:dyDescent="0.2">
      <c r="I607" s="220"/>
      <c r="K607" s="218"/>
    </row>
    <row r="608" spans="9:11" s="180" customFormat="1" x14ac:dyDescent="0.2">
      <c r="I608" s="220"/>
      <c r="K608" s="218"/>
    </row>
    <row r="609" spans="9:11" s="180" customFormat="1" x14ac:dyDescent="0.2">
      <c r="I609" s="220"/>
      <c r="K609" s="218"/>
    </row>
    <row r="610" spans="9:11" s="180" customFormat="1" x14ac:dyDescent="0.2">
      <c r="I610" s="220"/>
      <c r="K610" s="218"/>
    </row>
    <row r="611" spans="9:11" s="180" customFormat="1" x14ac:dyDescent="0.2">
      <c r="I611" s="220"/>
      <c r="K611" s="218"/>
    </row>
    <row r="612" spans="9:11" s="180" customFormat="1" x14ac:dyDescent="0.2">
      <c r="I612" s="220"/>
      <c r="K612" s="218"/>
    </row>
    <row r="613" spans="9:11" s="180" customFormat="1" x14ac:dyDescent="0.2">
      <c r="I613" s="220"/>
      <c r="K613" s="218"/>
    </row>
    <row r="614" spans="9:11" s="180" customFormat="1" x14ac:dyDescent="0.2">
      <c r="I614" s="220"/>
      <c r="K614" s="218"/>
    </row>
    <row r="615" spans="9:11" s="180" customFormat="1" x14ac:dyDescent="0.2">
      <c r="I615" s="220"/>
      <c r="K615" s="218"/>
    </row>
    <row r="616" spans="9:11" s="180" customFormat="1" x14ac:dyDescent="0.2">
      <c r="I616" s="220"/>
      <c r="K616" s="218"/>
    </row>
    <row r="617" spans="9:11" s="180" customFormat="1" x14ac:dyDescent="0.2">
      <c r="I617" s="220"/>
      <c r="K617" s="218"/>
    </row>
    <row r="618" spans="9:11" s="180" customFormat="1" x14ac:dyDescent="0.2">
      <c r="I618" s="220"/>
      <c r="K618" s="218"/>
    </row>
    <row r="619" spans="9:11" s="180" customFormat="1" x14ac:dyDescent="0.2">
      <c r="I619" s="220"/>
      <c r="K619" s="218"/>
    </row>
    <row r="620" spans="9:11" s="180" customFormat="1" x14ac:dyDescent="0.2">
      <c r="I620" s="220"/>
      <c r="K620" s="218"/>
    </row>
    <row r="621" spans="9:11" s="180" customFormat="1" x14ac:dyDescent="0.2">
      <c r="I621" s="220"/>
      <c r="K621" s="218"/>
    </row>
    <row r="622" spans="9:11" s="180" customFormat="1" x14ac:dyDescent="0.2">
      <c r="I622" s="220"/>
      <c r="K622" s="218"/>
    </row>
    <row r="623" spans="9:11" s="180" customFormat="1" x14ac:dyDescent="0.2">
      <c r="I623" s="220"/>
      <c r="K623" s="218"/>
    </row>
    <row r="624" spans="9:11" s="180" customFormat="1" x14ac:dyDescent="0.2">
      <c r="I624" s="220"/>
      <c r="K624" s="218"/>
    </row>
    <row r="625" spans="9:11" s="180" customFormat="1" x14ac:dyDescent="0.2">
      <c r="I625" s="220"/>
      <c r="K625" s="218"/>
    </row>
    <row r="626" spans="9:11" s="180" customFormat="1" x14ac:dyDescent="0.2">
      <c r="I626" s="220"/>
      <c r="K626" s="218"/>
    </row>
    <row r="627" spans="9:11" s="180" customFormat="1" x14ac:dyDescent="0.2">
      <c r="I627" s="220"/>
      <c r="K627" s="218"/>
    </row>
    <row r="628" spans="9:11" s="180" customFormat="1" x14ac:dyDescent="0.2">
      <c r="I628" s="220"/>
      <c r="K628" s="218"/>
    </row>
    <row r="629" spans="9:11" s="180" customFormat="1" x14ac:dyDescent="0.2">
      <c r="I629" s="220"/>
      <c r="K629" s="218"/>
    </row>
    <row r="630" spans="9:11" s="180" customFormat="1" x14ac:dyDescent="0.2">
      <c r="I630" s="220"/>
      <c r="K630" s="218"/>
    </row>
    <row r="631" spans="9:11" s="180" customFormat="1" x14ac:dyDescent="0.2">
      <c r="I631" s="220"/>
      <c r="K631" s="218"/>
    </row>
    <row r="632" spans="9:11" s="180" customFormat="1" x14ac:dyDescent="0.2">
      <c r="I632" s="220"/>
      <c r="K632" s="218"/>
    </row>
    <row r="633" spans="9:11" s="180" customFormat="1" x14ac:dyDescent="0.2">
      <c r="I633" s="220"/>
      <c r="K633" s="218"/>
    </row>
    <row r="634" spans="9:11" s="180" customFormat="1" x14ac:dyDescent="0.2">
      <c r="I634" s="220"/>
      <c r="K634" s="218"/>
    </row>
    <row r="635" spans="9:11" s="180" customFormat="1" x14ac:dyDescent="0.2">
      <c r="I635" s="220"/>
      <c r="K635" s="218"/>
    </row>
    <row r="636" spans="9:11" s="180" customFormat="1" x14ac:dyDescent="0.2">
      <c r="I636" s="220"/>
      <c r="K636" s="218"/>
    </row>
    <row r="637" spans="9:11" s="180" customFormat="1" x14ac:dyDescent="0.2">
      <c r="I637" s="220"/>
      <c r="K637" s="218"/>
    </row>
    <row r="638" spans="9:11" s="180" customFormat="1" x14ac:dyDescent="0.2">
      <c r="I638" s="220"/>
      <c r="K638" s="218"/>
    </row>
    <row r="639" spans="9:11" s="180" customFormat="1" x14ac:dyDescent="0.2">
      <c r="I639" s="220"/>
      <c r="K639" s="218"/>
    </row>
    <row r="640" spans="9:11" s="180" customFormat="1" x14ac:dyDescent="0.2">
      <c r="I640" s="220"/>
      <c r="K640" s="218"/>
    </row>
    <row r="641" spans="9:11" s="180" customFormat="1" x14ac:dyDescent="0.2">
      <c r="I641" s="220"/>
      <c r="K641" s="218"/>
    </row>
    <row r="642" spans="9:11" s="180" customFormat="1" x14ac:dyDescent="0.2">
      <c r="I642" s="220"/>
      <c r="K642" s="218"/>
    </row>
    <row r="643" spans="9:11" s="180" customFormat="1" x14ac:dyDescent="0.2">
      <c r="I643" s="220"/>
      <c r="K643" s="218"/>
    </row>
    <row r="644" spans="9:11" s="180" customFormat="1" x14ac:dyDescent="0.2">
      <c r="I644" s="220"/>
      <c r="K644" s="218"/>
    </row>
    <row r="645" spans="9:11" s="180" customFormat="1" x14ac:dyDescent="0.2">
      <c r="I645" s="220"/>
      <c r="K645" s="218"/>
    </row>
    <row r="646" spans="9:11" s="180" customFormat="1" x14ac:dyDescent="0.2">
      <c r="I646" s="220"/>
      <c r="K646" s="218"/>
    </row>
    <row r="647" spans="9:11" s="180" customFormat="1" x14ac:dyDescent="0.2">
      <c r="I647" s="220"/>
      <c r="K647" s="218"/>
    </row>
    <row r="648" spans="9:11" s="180" customFormat="1" x14ac:dyDescent="0.2">
      <c r="I648" s="220"/>
      <c r="K648" s="218"/>
    </row>
    <row r="649" spans="9:11" s="180" customFormat="1" x14ac:dyDescent="0.2">
      <c r="I649" s="220"/>
      <c r="K649" s="218"/>
    </row>
    <row r="650" spans="9:11" s="180" customFormat="1" x14ac:dyDescent="0.2">
      <c r="I650" s="220"/>
      <c r="K650" s="218"/>
    </row>
    <row r="651" spans="9:11" s="180" customFormat="1" x14ac:dyDescent="0.2">
      <c r="I651" s="220"/>
      <c r="K651" s="218"/>
    </row>
    <row r="652" spans="9:11" s="180" customFormat="1" x14ac:dyDescent="0.2">
      <c r="I652" s="220"/>
      <c r="K652" s="218"/>
    </row>
    <row r="653" spans="9:11" s="180" customFormat="1" x14ac:dyDescent="0.2">
      <c r="I653" s="220"/>
      <c r="K653" s="218"/>
    </row>
    <row r="654" spans="9:11" s="180" customFormat="1" x14ac:dyDescent="0.2">
      <c r="I654" s="220"/>
      <c r="K654" s="218"/>
    </row>
    <row r="655" spans="9:11" s="180" customFormat="1" x14ac:dyDescent="0.2">
      <c r="I655" s="220"/>
      <c r="K655" s="218"/>
    </row>
    <row r="656" spans="9:11" s="180" customFormat="1" x14ac:dyDescent="0.2">
      <c r="I656" s="220"/>
      <c r="K656" s="218"/>
    </row>
    <row r="657" spans="9:11" s="180" customFormat="1" x14ac:dyDescent="0.2">
      <c r="I657" s="220"/>
      <c r="K657" s="218"/>
    </row>
    <row r="658" spans="9:11" s="180" customFormat="1" x14ac:dyDescent="0.2">
      <c r="I658" s="220"/>
      <c r="K658" s="218"/>
    </row>
    <row r="659" spans="9:11" s="180" customFormat="1" x14ac:dyDescent="0.2">
      <c r="I659" s="220"/>
      <c r="K659" s="218"/>
    </row>
    <row r="660" spans="9:11" s="180" customFormat="1" x14ac:dyDescent="0.2">
      <c r="I660" s="220"/>
      <c r="K660" s="218"/>
    </row>
    <row r="661" spans="9:11" s="180" customFormat="1" x14ac:dyDescent="0.2">
      <c r="I661" s="220"/>
      <c r="K661" s="218"/>
    </row>
    <row r="662" spans="9:11" s="180" customFormat="1" x14ac:dyDescent="0.2">
      <c r="I662" s="220"/>
      <c r="K662" s="218"/>
    </row>
    <row r="663" spans="9:11" s="180" customFormat="1" x14ac:dyDescent="0.2">
      <c r="I663" s="220"/>
      <c r="K663" s="218"/>
    </row>
    <row r="664" spans="9:11" s="180" customFormat="1" x14ac:dyDescent="0.2">
      <c r="I664" s="220"/>
      <c r="K664" s="218"/>
    </row>
    <row r="665" spans="9:11" s="180" customFormat="1" x14ac:dyDescent="0.2">
      <c r="I665" s="220"/>
      <c r="K665" s="218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zoomScale="85" zoomScaleNormal="85" workbookViewId="0">
      <selection activeCell="I8" sqref="I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198" t="s">
        <v>113</v>
      </c>
      <c r="D1" s="199" t="s">
        <v>114</v>
      </c>
    </row>
    <row r="2" spans="1:4" x14ac:dyDescent="0.25">
      <c r="A2" s="172">
        <v>1</v>
      </c>
      <c r="B2" s="168"/>
      <c r="C2" s="173" t="s">
        <v>115</v>
      </c>
      <c r="D2" s="174"/>
    </row>
    <row r="3" spans="1:4" x14ac:dyDescent="0.25">
      <c r="A3" s="175">
        <f>$A$2+0</f>
        <v>1</v>
      </c>
      <c r="B3" s="169">
        <f t="shared" ref="B3:B4" si="0">$B$2</f>
        <v>0</v>
      </c>
      <c r="C3" s="173" t="s">
        <v>116</v>
      </c>
      <c r="D3" s="174"/>
    </row>
    <row r="4" spans="1:4" x14ac:dyDescent="0.25">
      <c r="A4" s="175">
        <f>$A$2+0</f>
        <v>1</v>
      </c>
      <c r="B4" s="169">
        <f t="shared" si="0"/>
        <v>0</v>
      </c>
      <c r="C4" s="173" t="s">
        <v>117</v>
      </c>
      <c r="D4" s="174"/>
    </row>
    <row r="5" spans="1:4" x14ac:dyDescent="0.25">
      <c r="A5" s="172">
        <f>2</f>
        <v>2</v>
      </c>
      <c r="B5" s="168"/>
      <c r="C5" s="173" t="s">
        <v>115</v>
      </c>
      <c r="D5" s="174"/>
    </row>
    <row r="6" spans="1:4" x14ac:dyDescent="0.25">
      <c r="A6" s="175">
        <f>$A$5</f>
        <v>2</v>
      </c>
      <c r="B6" s="169">
        <f t="shared" ref="B6:B7" si="1">$B$5</f>
        <v>0</v>
      </c>
      <c r="C6" s="173" t="s">
        <v>116</v>
      </c>
      <c r="D6" s="174"/>
    </row>
    <row r="7" spans="1:4" x14ac:dyDescent="0.25">
      <c r="A7" s="175">
        <f>$A$5</f>
        <v>2</v>
      </c>
      <c r="B7" s="169">
        <f t="shared" si="1"/>
        <v>0</v>
      </c>
      <c r="C7" s="173" t="s">
        <v>117</v>
      </c>
      <c r="D7" s="174"/>
    </row>
    <row r="8" spans="1:4" x14ac:dyDescent="0.25">
      <c r="A8" s="172">
        <f>3</f>
        <v>3</v>
      </c>
      <c r="B8" s="168"/>
      <c r="C8" s="173" t="s">
        <v>115</v>
      </c>
      <c r="D8" s="174"/>
    </row>
    <row r="9" spans="1:4" x14ac:dyDescent="0.25">
      <c r="A9" s="175">
        <f>$A$8</f>
        <v>3</v>
      </c>
      <c r="B9" s="169">
        <f t="shared" ref="B9:B10" si="2">$B$8</f>
        <v>0</v>
      </c>
      <c r="C9" s="173" t="s">
        <v>116</v>
      </c>
      <c r="D9" s="174"/>
    </row>
    <row r="10" spans="1:4" x14ac:dyDescent="0.25">
      <c r="A10" s="175">
        <f>$A$8</f>
        <v>3</v>
      </c>
      <c r="B10" s="169">
        <f t="shared" si="2"/>
        <v>0</v>
      </c>
      <c r="C10" s="173" t="s">
        <v>117</v>
      </c>
      <c r="D10" s="174"/>
    </row>
    <row r="11" spans="1:4" x14ac:dyDescent="0.25">
      <c r="A11" s="172">
        <f>4</f>
        <v>4</v>
      </c>
      <c r="B11" s="168"/>
      <c r="C11" s="173" t="s">
        <v>115</v>
      </c>
      <c r="D11" s="174"/>
    </row>
    <row r="12" spans="1:4" x14ac:dyDescent="0.25">
      <c r="A12" s="175">
        <f>$A$11</f>
        <v>4</v>
      </c>
      <c r="B12" s="169">
        <f t="shared" ref="B12:B13" si="3">$B$11</f>
        <v>0</v>
      </c>
      <c r="C12" s="173" t="s">
        <v>116</v>
      </c>
      <c r="D12" s="174"/>
    </row>
    <row r="13" spans="1:4" x14ac:dyDescent="0.25">
      <c r="A13" s="175">
        <f>$A$11</f>
        <v>4</v>
      </c>
      <c r="B13" s="169">
        <f t="shared" si="3"/>
        <v>0</v>
      </c>
      <c r="C13" s="173" t="s">
        <v>117</v>
      </c>
      <c r="D13" s="174"/>
    </row>
    <row r="14" spans="1:4" x14ac:dyDescent="0.25">
      <c r="A14" s="172">
        <f>5</f>
        <v>5</v>
      </c>
      <c r="B14" s="168"/>
      <c r="C14" s="173" t="s">
        <v>115</v>
      </c>
      <c r="D14" s="174"/>
    </row>
    <row r="15" spans="1:4" x14ac:dyDescent="0.25">
      <c r="A15" s="175">
        <f>$A$14</f>
        <v>5</v>
      </c>
      <c r="B15" s="169">
        <f t="shared" ref="B15:B16" si="4">$B$14</f>
        <v>0</v>
      </c>
      <c r="C15" s="173" t="s">
        <v>116</v>
      </c>
      <c r="D15" s="174"/>
    </row>
    <row r="16" spans="1:4" x14ac:dyDescent="0.25">
      <c r="A16" s="175">
        <f>$A$14</f>
        <v>5</v>
      </c>
      <c r="B16" s="169">
        <f t="shared" si="4"/>
        <v>0</v>
      </c>
      <c r="C16" s="173" t="s">
        <v>117</v>
      </c>
      <c r="D16" s="174"/>
    </row>
    <row r="17" spans="1:9" x14ac:dyDescent="0.25">
      <c r="A17" s="172">
        <f>6</f>
        <v>6</v>
      </c>
      <c r="B17" s="168"/>
      <c r="C17" s="173" t="s">
        <v>115</v>
      </c>
      <c r="D17" s="174"/>
    </row>
    <row r="18" spans="1:9" x14ac:dyDescent="0.25">
      <c r="A18" s="175">
        <f>$A$17</f>
        <v>6</v>
      </c>
      <c r="B18" s="169">
        <f t="shared" ref="B18:B19" si="5">$B$17</f>
        <v>0</v>
      </c>
      <c r="C18" s="173" t="s">
        <v>116</v>
      </c>
      <c r="D18" s="174"/>
    </row>
    <row r="19" spans="1:9" x14ac:dyDescent="0.25">
      <c r="A19" s="175">
        <f>$A$17</f>
        <v>6</v>
      </c>
      <c r="B19" s="169">
        <f t="shared" si="5"/>
        <v>0</v>
      </c>
      <c r="C19" s="173" t="s">
        <v>117</v>
      </c>
      <c r="D19" s="174"/>
      <c r="G19" s="193"/>
    </row>
    <row r="20" spans="1:9" x14ac:dyDescent="0.25">
      <c r="A20" s="172">
        <f>7</f>
        <v>7</v>
      </c>
      <c r="B20" s="168"/>
      <c r="C20" s="173" t="s">
        <v>115</v>
      </c>
      <c r="D20" s="174"/>
    </row>
    <row r="21" spans="1:9" x14ac:dyDescent="0.25">
      <c r="A21" s="175">
        <f>$A$20</f>
        <v>7</v>
      </c>
      <c r="B21" s="169">
        <f t="shared" ref="B21:B22" si="6">$B$20</f>
        <v>0</v>
      </c>
      <c r="C21" s="173" t="s">
        <v>116</v>
      </c>
      <c r="D21" s="174"/>
    </row>
    <row r="22" spans="1:9" x14ac:dyDescent="0.25">
      <c r="A22" s="175">
        <f>$A$20</f>
        <v>7</v>
      </c>
      <c r="B22" s="169">
        <f t="shared" si="6"/>
        <v>0</v>
      </c>
      <c r="C22" s="173" t="s">
        <v>117</v>
      </c>
      <c r="D22" s="174"/>
    </row>
    <row r="23" spans="1:9" x14ac:dyDescent="0.25">
      <c r="A23" s="172">
        <f>8</f>
        <v>8</v>
      </c>
      <c r="B23" s="168"/>
      <c r="C23" s="173" t="s">
        <v>115</v>
      </c>
      <c r="D23" s="174"/>
    </row>
    <row r="24" spans="1:9" x14ac:dyDescent="0.25">
      <c r="A24" s="175">
        <f>$A$23</f>
        <v>8</v>
      </c>
      <c r="B24" s="169">
        <f t="shared" ref="B24:B25" si="7">$B$23</f>
        <v>0</v>
      </c>
      <c r="C24" s="173" t="s">
        <v>116</v>
      </c>
      <c r="D24" s="174"/>
    </row>
    <row r="25" spans="1:9" x14ac:dyDescent="0.25">
      <c r="A25" s="175">
        <f>$A$23</f>
        <v>8</v>
      </c>
      <c r="B25" s="169">
        <f t="shared" si="7"/>
        <v>0</v>
      </c>
      <c r="C25" s="173" t="s">
        <v>117</v>
      </c>
      <c r="D25" s="174"/>
    </row>
    <row r="26" spans="1:9" x14ac:dyDescent="0.25">
      <c r="A26" s="172">
        <f>9</f>
        <v>9</v>
      </c>
      <c r="B26" s="168"/>
      <c r="C26" s="173" t="s">
        <v>115</v>
      </c>
      <c r="D26" s="174"/>
    </row>
    <row r="27" spans="1:9" x14ac:dyDescent="0.25">
      <c r="A27" s="175">
        <f>$A$26</f>
        <v>9</v>
      </c>
      <c r="B27" s="169">
        <f t="shared" ref="B27:B28" si="8">$B$26</f>
        <v>0</v>
      </c>
      <c r="C27" s="173" t="s">
        <v>116</v>
      </c>
      <c r="D27" s="174"/>
    </row>
    <row r="28" spans="1:9" x14ac:dyDescent="0.25">
      <c r="A28" s="175">
        <f>$A$26</f>
        <v>9</v>
      </c>
      <c r="B28" s="169">
        <f t="shared" si="8"/>
        <v>0</v>
      </c>
      <c r="C28" s="173" t="s">
        <v>117</v>
      </c>
      <c r="D28" s="174"/>
    </row>
    <row r="29" spans="1:9" x14ac:dyDescent="0.25">
      <c r="A29" s="176">
        <v>10</v>
      </c>
      <c r="B29" s="168"/>
      <c r="C29" s="173" t="s">
        <v>115</v>
      </c>
      <c r="D29" s="174"/>
    </row>
    <row r="30" spans="1:9" x14ac:dyDescent="0.25">
      <c r="A30" s="175">
        <f>$A$29</f>
        <v>10</v>
      </c>
      <c r="B30" s="169">
        <f t="shared" ref="B30:B31" si="9">$B$29</f>
        <v>0</v>
      </c>
      <c r="C30" s="173" t="s">
        <v>116</v>
      </c>
      <c r="D30" s="174"/>
    </row>
    <row r="31" spans="1:9" x14ac:dyDescent="0.25">
      <c r="A31" s="175">
        <f>$A$29</f>
        <v>10</v>
      </c>
      <c r="B31" s="169">
        <f t="shared" si="9"/>
        <v>0</v>
      </c>
      <c r="C31" s="173" t="s">
        <v>117</v>
      </c>
      <c r="D31" s="174"/>
    </row>
    <row r="32" spans="1:9" ht="13.5" x14ac:dyDescent="0.25">
      <c r="A32" s="177">
        <v>11</v>
      </c>
      <c r="B32" s="168"/>
      <c r="C32" s="173" t="s">
        <v>115</v>
      </c>
      <c r="D32" s="174"/>
      <c r="E32" s="1"/>
      <c r="F32" s="1"/>
      <c r="G32" s="4"/>
      <c r="I32" s="1"/>
    </row>
    <row r="33" spans="1:9" ht="13.5" x14ac:dyDescent="0.25">
      <c r="A33" s="177">
        <v>11</v>
      </c>
      <c r="B33" s="169">
        <f t="shared" ref="B33:B34" si="10">$B$32</f>
        <v>0</v>
      </c>
      <c r="C33" s="173" t="s">
        <v>116</v>
      </c>
      <c r="D33" s="174"/>
      <c r="E33" s="1"/>
      <c r="F33" s="1"/>
      <c r="G33" s="4"/>
      <c r="I33" s="1"/>
    </row>
    <row r="34" spans="1:9" ht="13.5" x14ac:dyDescent="0.25">
      <c r="A34" s="177">
        <v>11</v>
      </c>
      <c r="B34" s="169">
        <f t="shared" si="10"/>
        <v>0</v>
      </c>
      <c r="C34" s="173" t="s">
        <v>117</v>
      </c>
      <c r="D34" s="174"/>
      <c r="E34" s="1"/>
      <c r="F34" s="1"/>
      <c r="G34" s="4"/>
    </row>
    <row r="35" spans="1:9" ht="13.5" x14ac:dyDescent="0.25">
      <c r="A35" s="177">
        <v>12</v>
      </c>
      <c r="B35" s="168"/>
      <c r="C35" s="173" t="s">
        <v>115</v>
      </c>
      <c r="D35" s="174"/>
      <c r="E35" s="1"/>
      <c r="F35" s="1"/>
      <c r="G35" s="4"/>
    </row>
    <row r="36" spans="1:9" ht="13.5" x14ac:dyDescent="0.25">
      <c r="A36" s="177">
        <v>12</v>
      </c>
      <c r="B36" s="169">
        <f t="shared" ref="B36:B37" si="11">$B$35</f>
        <v>0</v>
      </c>
      <c r="C36" s="173" t="s">
        <v>116</v>
      </c>
      <c r="D36" s="174"/>
      <c r="E36" s="1"/>
      <c r="F36" s="1"/>
      <c r="G36" s="4"/>
    </row>
    <row r="37" spans="1:9" ht="13.5" x14ac:dyDescent="0.25">
      <c r="A37" s="177">
        <v>12</v>
      </c>
      <c r="B37" s="169">
        <f t="shared" si="11"/>
        <v>0</v>
      </c>
      <c r="C37" s="173" t="s">
        <v>117</v>
      </c>
      <c r="D37" s="174"/>
      <c r="E37" s="1"/>
      <c r="F37" s="1"/>
      <c r="G37" s="4"/>
    </row>
    <row r="38" spans="1:9" ht="13.5" x14ac:dyDescent="0.25">
      <c r="A38" s="177">
        <v>13</v>
      </c>
      <c r="B38" s="168"/>
      <c r="C38" s="173" t="s">
        <v>115</v>
      </c>
      <c r="D38" s="174"/>
      <c r="E38" s="1"/>
      <c r="F38" s="1"/>
      <c r="G38" s="4"/>
    </row>
    <row r="39" spans="1:9" ht="13.5" x14ac:dyDescent="0.25">
      <c r="A39" s="177">
        <v>13</v>
      </c>
      <c r="B39" s="169">
        <f t="shared" ref="B39:B40" si="12">$B$38</f>
        <v>0</v>
      </c>
      <c r="C39" s="173" t="s">
        <v>116</v>
      </c>
      <c r="D39" s="174"/>
      <c r="E39" s="1"/>
      <c r="F39" s="1"/>
      <c r="G39" s="4"/>
    </row>
    <row r="40" spans="1:9" ht="13.5" x14ac:dyDescent="0.25">
      <c r="A40" s="177">
        <v>13</v>
      </c>
      <c r="B40" s="169">
        <f t="shared" si="12"/>
        <v>0</v>
      </c>
      <c r="C40" s="173" t="s">
        <v>117</v>
      </c>
      <c r="D40" s="174"/>
    </row>
    <row r="41" spans="1:9" ht="13.5" x14ac:dyDescent="0.25">
      <c r="A41" s="177">
        <v>14</v>
      </c>
      <c r="B41" s="168"/>
      <c r="C41" s="173" t="s">
        <v>115</v>
      </c>
      <c r="D41" s="174"/>
    </row>
    <row r="42" spans="1:9" ht="13.5" x14ac:dyDescent="0.25">
      <c r="A42" s="177">
        <v>14</v>
      </c>
      <c r="B42" s="169">
        <f t="shared" ref="B42:B43" si="13">$B$41</f>
        <v>0</v>
      </c>
      <c r="C42" s="173" t="s">
        <v>116</v>
      </c>
      <c r="D42" s="174"/>
    </row>
    <row r="43" spans="1:9" ht="13.5" x14ac:dyDescent="0.25">
      <c r="A43" s="177">
        <v>14</v>
      </c>
      <c r="B43" s="169">
        <f t="shared" si="13"/>
        <v>0</v>
      </c>
      <c r="C43" s="173" t="s">
        <v>117</v>
      </c>
      <c r="D43" s="174"/>
    </row>
    <row r="44" spans="1:9" ht="13.5" x14ac:dyDescent="0.25">
      <c r="A44" s="177">
        <v>15</v>
      </c>
      <c r="B44" s="168"/>
      <c r="C44" s="173" t="s">
        <v>115</v>
      </c>
      <c r="D44" s="174"/>
    </row>
    <row r="45" spans="1:9" ht="13.5" x14ac:dyDescent="0.25">
      <c r="A45" s="177">
        <v>15</v>
      </c>
      <c r="B45" s="169">
        <f t="shared" ref="B45:B46" si="14">$B$44</f>
        <v>0</v>
      </c>
      <c r="C45" s="173" t="s">
        <v>116</v>
      </c>
      <c r="D45" s="174"/>
    </row>
    <row r="46" spans="1:9" ht="13.5" x14ac:dyDescent="0.25">
      <c r="A46" s="177">
        <v>15</v>
      </c>
      <c r="B46" s="169">
        <f t="shared" si="14"/>
        <v>0</v>
      </c>
      <c r="C46" s="173" t="s">
        <v>117</v>
      </c>
      <c r="D46" s="174"/>
    </row>
    <row r="47" spans="1:9" ht="13.5" x14ac:dyDescent="0.25">
      <c r="A47" s="177">
        <v>16</v>
      </c>
      <c r="B47" s="168"/>
      <c r="C47" s="173" t="s">
        <v>115</v>
      </c>
      <c r="D47" s="174"/>
    </row>
    <row r="48" spans="1:9" ht="13.5" x14ac:dyDescent="0.25">
      <c r="A48" s="177">
        <v>16</v>
      </c>
      <c r="B48" s="169">
        <f t="shared" ref="B48:B49" si="15">$B$47</f>
        <v>0</v>
      </c>
      <c r="C48" s="173" t="s">
        <v>116</v>
      </c>
      <c r="D48" s="174"/>
    </row>
    <row r="49" spans="1:4" ht="13.5" x14ac:dyDescent="0.25">
      <c r="A49" s="177">
        <v>16</v>
      </c>
      <c r="B49" s="169">
        <f t="shared" si="15"/>
        <v>0</v>
      </c>
      <c r="C49" s="173" t="s">
        <v>117</v>
      </c>
      <c r="D49" s="174"/>
    </row>
    <row r="50" spans="1:4" ht="13.5" x14ac:dyDescent="0.25">
      <c r="A50" s="177">
        <v>17</v>
      </c>
      <c r="B50" s="168"/>
      <c r="C50" s="173" t="s">
        <v>115</v>
      </c>
      <c r="D50" s="174"/>
    </row>
    <row r="51" spans="1:4" ht="13.5" x14ac:dyDescent="0.25">
      <c r="A51" s="177">
        <v>17</v>
      </c>
      <c r="B51" s="169">
        <f t="shared" ref="B51:B52" si="16">$B$50</f>
        <v>0</v>
      </c>
      <c r="C51" s="173" t="s">
        <v>116</v>
      </c>
      <c r="D51" s="174"/>
    </row>
    <row r="52" spans="1:4" ht="13.5" x14ac:dyDescent="0.25">
      <c r="A52" s="177">
        <v>17</v>
      </c>
      <c r="B52" s="169">
        <f t="shared" si="16"/>
        <v>0</v>
      </c>
      <c r="C52" s="173" t="s">
        <v>117</v>
      </c>
      <c r="D52" s="174"/>
    </row>
    <row r="53" spans="1:4" ht="13.5" x14ac:dyDescent="0.25">
      <c r="A53" s="177">
        <v>18</v>
      </c>
      <c r="B53" s="168"/>
      <c r="C53" s="173" t="s">
        <v>115</v>
      </c>
      <c r="D53" s="174"/>
    </row>
    <row r="54" spans="1:4" ht="13.5" x14ac:dyDescent="0.25">
      <c r="A54" s="177">
        <v>18</v>
      </c>
      <c r="B54" s="169">
        <f t="shared" ref="B54:B55" si="17">$B$53</f>
        <v>0</v>
      </c>
      <c r="C54" s="173" t="s">
        <v>116</v>
      </c>
      <c r="D54" s="174"/>
    </row>
    <row r="55" spans="1:4" ht="13.5" x14ac:dyDescent="0.25">
      <c r="A55" s="177">
        <v>18</v>
      </c>
      <c r="B55" s="169">
        <f t="shared" si="17"/>
        <v>0</v>
      </c>
      <c r="C55" s="173" t="s">
        <v>117</v>
      </c>
      <c r="D55" s="174"/>
    </row>
    <row r="56" spans="1:4" ht="13.5" x14ac:dyDescent="0.25">
      <c r="A56" s="177">
        <v>19</v>
      </c>
      <c r="B56" s="168"/>
      <c r="C56" s="173" t="s">
        <v>115</v>
      </c>
      <c r="D56" s="174"/>
    </row>
    <row r="57" spans="1:4" ht="13.5" x14ac:dyDescent="0.25">
      <c r="A57" s="177">
        <v>19</v>
      </c>
      <c r="B57" s="169">
        <f t="shared" ref="B57:B58" si="18">$B$56</f>
        <v>0</v>
      </c>
      <c r="C57" s="173" t="s">
        <v>116</v>
      </c>
      <c r="D57" s="174"/>
    </row>
    <row r="58" spans="1:4" ht="13.5" x14ac:dyDescent="0.25">
      <c r="A58" s="177">
        <v>19</v>
      </c>
      <c r="B58" s="169">
        <f t="shared" si="18"/>
        <v>0</v>
      </c>
      <c r="C58" s="173" t="s">
        <v>117</v>
      </c>
      <c r="D58" s="174"/>
    </row>
    <row r="59" spans="1:4" ht="13.5" x14ac:dyDescent="0.25">
      <c r="A59" s="177">
        <v>20</v>
      </c>
      <c r="B59" s="168"/>
      <c r="C59" s="173" t="s">
        <v>115</v>
      </c>
      <c r="D59" s="174"/>
    </row>
    <row r="60" spans="1:4" ht="13.5" x14ac:dyDescent="0.25">
      <c r="A60" s="177">
        <v>20</v>
      </c>
      <c r="B60" s="169">
        <f t="shared" ref="B60:B61" si="19">$B$59</f>
        <v>0</v>
      </c>
      <c r="C60" s="173" t="s">
        <v>116</v>
      </c>
      <c r="D60" s="174"/>
    </row>
    <row r="61" spans="1:4" ht="13.5" x14ac:dyDescent="0.25">
      <c r="A61" s="177">
        <v>20</v>
      </c>
      <c r="B61" s="169">
        <f t="shared" si="19"/>
        <v>0</v>
      </c>
      <c r="C61" s="173" t="s">
        <v>117</v>
      </c>
      <c r="D61" s="174"/>
    </row>
    <row r="62" spans="1:4" ht="13.5" x14ac:dyDescent="0.25">
      <c r="A62" s="177">
        <v>21</v>
      </c>
      <c r="B62" s="168"/>
      <c r="C62" s="173" t="s">
        <v>115</v>
      </c>
      <c r="D62" s="174"/>
    </row>
    <row r="63" spans="1:4" ht="13.5" x14ac:dyDescent="0.25">
      <c r="A63" s="177">
        <v>21</v>
      </c>
      <c r="B63" s="169">
        <f t="shared" ref="B63:B64" si="20">$B$62</f>
        <v>0</v>
      </c>
      <c r="C63" s="173" t="s">
        <v>116</v>
      </c>
      <c r="D63" s="174"/>
    </row>
    <row r="64" spans="1:4" ht="13.5" x14ac:dyDescent="0.25">
      <c r="A64" s="177">
        <v>21</v>
      </c>
      <c r="B64" s="169">
        <f t="shared" si="20"/>
        <v>0</v>
      </c>
      <c r="C64" s="173" t="s">
        <v>117</v>
      </c>
      <c r="D64" s="174"/>
    </row>
    <row r="65" spans="1:7" ht="13.5" x14ac:dyDescent="0.25">
      <c r="A65" s="177">
        <v>22</v>
      </c>
      <c r="B65" s="168"/>
      <c r="C65" s="173" t="s">
        <v>115</v>
      </c>
      <c r="D65" s="174"/>
    </row>
    <row r="66" spans="1:7" ht="13.5" x14ac:dyDescent="0.25">
      <c r="A66" s="177">
        <v>22</v>
      </c>
      <c r="B66" s="169">
        <f t="shared" ref="B66:B67" si="21">$B$65</f>
        <v>0</v>
      </c>
      <c r="C66" s="173" t="s">
        <v>116</v>
      </c>
      <c r="D66" s="174"/>
    </row>
    <row r="67" spans="1:7" ht="13.5" x14ac:dyDescent="0.25">
      <c r="A67" s="177">
        <v>22</v>
      </c>
      <c r="B67" s="169">
        <f t="shared" si="21"/>
        <v>0</v>
      </c>
      <c r="C67" s="173" t="s">
        <v>117</v>
      </c>
      <c r="D67" s="174"/>
    </row>
    <row r="68" spans="1:7" ht="13.5" x14ac:dyDescent="0.25">
      <c r="A68" s="177">
        <v>23</v>
      </c>
      <c r="B68" s="168"/>
      <c r="C68" s="173" t="s">
        <v>115</v>
      </c>
      <c r="D68" s="174"/>
    </row>
    <row r="69" spans="1:7" ht="13.5" x14ac:dyDescent="0.25">
      <c r="A69" s="177">
        <v>23</v>
      </c>
      <c r="B69" s="169">
        <f t="shared" ref="B69:B70" si="22">$B$68</f>
        <v>0</v>
      </c>
      <c r="C69" s="173" t="s">
        <v>116</v>
      </c>
      <c r="D69" s="174"/>
    </row>
    <row r="70" spans="1:7" ht="13.5" x14ac:dyDescent="0.25">
      <c r="A70" s="177">
        <v>23</v>
      </c>
      <c r="B70" s="169">
        <f t="shared" si="22"/>
        <v>0</v>
      </c>
      <c r="C70" s="173" t="s">
        <v>117</v>
      </c>
      <c r="D70" s="174"/>
    </row>
    <row r="71" spans="1:7" ht="13.5" x14ac:dyDescent="0.25">
      <c r="A71" s="177">
        <v>24</v>
      </c>
      <c r="B71" s="168"/>
      <c r="C71" s="173" t="s">
        <v>115</v>
      </c>
      <c r="D71" s="174"/>
    </row>
    <row r="72" spans="1:7" ht="13.5" x14ac:dyDescent="0.25">
      <c r="A72" s="177">
        <v>24</v>
      </c>
      <c r="B72" s="169">
        <f t="shared" ref="B72:B73" si="23">$B$71</f>
        <v>0</v>
      </c>
      <c r="C72" s="173" t="s">
        <v>116</v>
      </c>
      <c r="D72" s="174"/>
    </row>
    <row r="73" spans="1:7" ht="13.5" x14ac:dyDescent="0.25">
      <c r="A73" s="177">
        <v>24</v>
      </c>
      <c r="B73" s="169">
        <f t="shared" si="23"/>
        <v>0</v>
      </c>
      <c r="C73" s="173" t="s">
        <v>117</v>
      </c>
      <c r="D73" s="174"/>
    </row>
    <row r="74" spans="1:7" ht="13.5" x14ac:dyDescent="0.25">
      <c r="A74" s="177">
        <v>25</v>
      </c>
      <c r="B74" s="168"/>
      <c r="C74" s="173" t="s">
        <v>115</v>
      </c>
      <c r="D74" s="174"/>
    </row>
    <row r="75" spans="1:7" ht="13.5" x14ac:dyDescent="0.25">
      <c r="A75" s="177">
        <v>25</v>
      </c>
      <c r="B75" s="169">
        <f t="shared" ref="B75:B76" si="24">$B$74</f>
        <v>0</v>
      </c>
      <c r="C75" s="173" t="s">
        <v>116</v>
      </c>
      <c r="D75" s="174"/>
    </row>
    <row r="76" spans="1:7" ht="13.5" x14ac:dyDescent="0.25">
      <c r="A76" s="177">
        <v>25</v>
      </c>
      <c r="B76" s="169">
        <f t="shared" si="24"/>
        <v>0</v>
      </c>
      <c r="C76" s="173" t="s">
        <v>117</v>
      </c>
      <c r="D76" s="174"/>
    </row>
    <row r="77" spans="1:7" ht="13.5" x14ac:dyDescent="0.25">
      <c r="A77" s="177">
        <v>26</v>
      </c>
      <c r="B77" s="168"/>
      <c r="C77" s="173" t="s">
        <v>115</v>
      </c>
      <c r="D77" s="174"/>
    </row>
    <row r="78" spans="1:7" ht="13.5" x14ac:dyDescent="0.25">
      <c r="A78" s="177">
        <v>26</v>
      </c>
      <c r="B78" s="169">
        <f t="shared" ref="B78:B79" si="25">$B$77</f>
        <v>0</v>
      </c>
      <c r="C78" s="173" t="s">
        <v>116</v>
      </c>
      <c r="D78" s="174"/>
    </row>
    <row r="79" spans="1:7" ht="13.5" x14ac:dyDescent="0.25">
      <c r="A79" s="177">
        <v>26</v>
      </c>
      <c r="B79" s="169">
        <f t="shared" si="25"/>
        <v>0</v>
      </c>
      <c r="C79" s="173" t="s">
        <v>117</v>
      </c>
      <c r="D79" s="174"/>
    </row>
    <row r="80" spans="1:7" ht="13.5" x14ac:dyDescent="0.25">
      <c r="A80" s="177">
        <v>27</v>
      </c>
      <c r="B80" s="168"/>
      <c r="C80" s="173" t="s">
        <v>115</v>
      </c>
      <c r="D80" s="174"/>
      <c r="G80" s="193"/>
    </row>
    <row r="81" spans="1:8" ht="13.5" x14ac:dyDescent="0.25">
      <c r="A81" s="177">
        <v>27</v>
      </c>
      <c r="B81" s="169">
        <f t="shared" ref="B81:B82" si="26">$B$80</f>
        <v>0</v>
      </c>
      <c r="C81" s="173" t="s">
        <v>116</v>
      </c>
      <c r="D81" s="174"/>
    </row>
    <row r="82" spans="1:8" ht="13.5" x14ac:dyDescent="0.25">
      <c r="A82" s="177">
        <v>27</v>
      </c>
      <c r="B82" s="169">
        <f t="shared" si="26"/>
        <v>0</v>
      </c>
      <c r="C82" s="173" t="s">
        <v>117</v>
      </c>
      <c r="D82" s="174"/>
    </row>
    <row r="83" spans="1:8" ht="13.5" x14ac:dyDescent="0.25">
      <c r="A83" s="177">
        <v>28</v>
      </c>
      <c r="B83" s="168"/>
      <c r="C83" s="173" t="s">
        <v>115</v>
      </c>
      <c r="D83" s="174"/>
    </row>
    <row r="84" spans="1:8" ht="13.5" x14ac:dyDescent="0.25">
      <c r="A84" s="177">
        <v>28</v>
      </c>
      <c r="B84" s="169">
        <f t="shared" ref="B84:B85" si="27">$B$83</f>
        <v>0</v>
      </c>
      <c r="C84" s="173" t="s">
        <v>116</v>
      </c>
      <c r="D84" s="174"/>
    </row>
    <row r="85" spans="1:8" ht="13.5" x14ac:dyDescent="0.25">
      <c r="A85" s="177">
        <v>28</v>
      </c>
      <c r="B85" s="169">
        <f t="shared" si="27"/>
        <v>0</v>
      </c>
      <c r="C85" s="173" t="s">
        <v>117</v>
      </c>
      <c r="D85" s="174"/>
    </row>
    <row r="86" spans="1:8" ht="13.5" x14ac:dyDescent="0.25">
      <c r="A86" s="177">
        <v>29</v>
      </c>
      <c r="B86" s="168"/>
      <c r="C86" s="173" t="s">
        <v>115</v>
      </c>
      <c r="D86" s="174"/>
    </row>
    <row r="87" spans="1:8" ht="13.5" x14ac:dyDescent="0.25">
      <c r="A87" s="177">
        <v>29</v>
      </c>
      <c r="B87" s="169">
        <f t="shared" ref="B87:B88" si="28">$B$86</f>
        <v>0</v>
      </c>
      <c r="C87" s="173" t="s">
        <v>116</v>
      </c>
      <c r="D87" s="174"/>
      <c r="H87" s="193"/>
    </row>
    <row r="88" spans="1:8" ht="13.5" x14ac:dyDescent="0.25">
      <c r="A88" s="177">
        <v>29</v>
      </c>
      <c r="B88" s="169">
        <f t="shared" si="28"/>
        <v>0</v>
      </c>
      <c r="C88" s="173" t="s">
        <v>117</v>
      </c>
      <c r="D88" s="174"/>
    </row>
    <row r="89" spans="1:8" ht="13.5" x14ac:dyDescent="0.25">
      <c r="A89" s="177">
        <v>30</v>
      </c>
      <c r="B89" s="168"/>
      <c r="C89" s="173" t="s">
        <v>115</v>
      </c>
      <c r="D89" s="174"/>
    </row>
    <row r="90" spans="1:8" ht="13.5" x14ac:dyDescent="0.25">
      <c r="A90" s="177">
        <v>30</v>
      </c>
      <c r="B90" s="169">
        <f t="shared" ref="B90:B91" si="29">$B$89</f>
        <v>0</v>
      </c>
      <c r="C90" s="173" t="s">
        <v>116</v>
      </c>
      <c r="D90" s="174"/>
    </row>
    <row r="91" spans="1:8" ht="13.5" x14ac:dyDescent="0.25">
      <c r="A91" s="177">
        <v>30</v>
      </c>
      <c r="B91" s="169">
        <f t="shared" si="29"/>
        <v>0</v>
      </c>
      <c r="C91" s="173" t="s">
        <v>117</v>
      </c>
      <c r="D91" s="174"/>
    </row>
    <row r="92" spans="1:8" ht="13.5" x14ac:dyDescent="0.25">
      <c r="A92" s="194"/>
      <c r="B92" s="195"/>
      <c r="C92" s="181"/>
      <c r="D92" s="196"/>
      <c r="G92" s="193"/>
    </row>
    <row r="93" spans="1:8" ht="13.5" x14ac:dyDescent="0.25">
      <c r="A93" s="194"/>
      <c r="B93" s="197"/>
      <c r="C93" s="181"/>
      <c r="D93" s="196"/>
    </row>
    <row r="94" spans="1:8" ht="13.5" x14ac:dyDescent="0.25">
      <c r="A94" s="194"/>
      <c r="B94" s="197"/>
      <c r="C94" s="181"/>
      <c r="D94" s="196"/>
    </row>
    <row r="95" spans="1:8" ht="13.5" x14ac:dyDescent="0.25">
      <c r="A95" s="194"/>
      <c r="B95" s="195"/>
      <c r="C95" s="181"/>
      <c r="D95" s="196"/>
    </row>
    <row r="96" spans="1:8" ht="13.5" x14ac:dyDescent="0.25">
      <c r="A96" s="194"/>
      <c r="B96" s="197"/>
      <c r="C96" s="181"/>
      <c r="D96" s="196"/>
    </row>
    <row r="97" spans="1:4" ht="13.5" x14ac:dyDescent="0.25">
      <c r="A97" s="194"/>
      <c r="B97" s="197"/>
      <c r="C97" s="181"/>
      <c r="D97" s="196"/>
    </row>
    <row r="98" spans="1:4" ht="13.5" x14ac:dyDescent="0.25">
      <c r="A98" s="194"/>
      <c r="B98" s="195"/>
      <c r="C98" s="181"/>
      <c r="D98" s="196"/>
    </row>
    <row r="99" spans="1:4" ht="13.5" x14ac:dyDescent="0.25">
      <c r="A99" s="194"/>
      <c r="B99" s="197"/>
      <c r="C99" s="181"/>
      <c r="D99" s="196"/>
    </row>
    <row r="100" spans="1:4" ht="13.5" x14ac:dyDescent="0.25">
      <c r="A100" s="194"/>
      <c r="B100" s="197"/>
      <c r="C100" s="181"/>
      <c r="D100" s="196"/>
    </row>
    <row r="101" spans="1:4" ht="13.5" x14ac:dyDescent="0.25">
      <c r="A101" s="194"/>
      <c r="B101" s="195"/>
      <c r="C101" s="181"/>
      <c r="D101" s="196"/>
    </row>
    <row r="102" spans="1:4" ht="13.5" x14ac:dyDescent="0.25">
      <c r="A102" s="194"/>
      <c r="B102" s="197"/>
      <c r="C102" s="181"/>
      <c r="D102" s="196"/>
    </row>
    <row r="103" spans="1:4" ht="13.5" x14ac:dyDescent="0.25">
      <c r="A103" s="194"/>
      <c r="B103" s="197"/>
      <c r="C103" s="181"/>
      <c r="D103" s="196"/>
    </row>
    <row r="104" spans="1:4" ht="13.5" x14ac:dyDescent="0.25">
      <c r="A104" s="194"/>
      <c r="B104" s="195"/>
      <c r="C104" s="181"/>
      <c r="D104" s="196"/>
    </row>
    <row r="105" spans="1:4" ht="13.5" x14ac:dyDescent="0.25">
      <c r="A105" s="194"/>
      <c r="B105" s="197"/>
      <c r="C105" s="181"/>
      <c r="D105" s="196"/>
    </row>
    <row r="106" spans="1:4" ht="13.5" x14ac:dyDescent="0.25">
      <c r="A106" s="194"/>
      <c r="B106" s="197"/>
      <c r="C106" s="181"/>
      <c r="D106" s="196"/>
    </row>
    <row r="107" spans="1:4" ht="13.5" x14ac:dyDescent="0.25">
      <c r="A107" s="194"/>
      <c r="B107" s="195"/>
      <c r="C107" s="181"/>
      <c r="D107" s="196"/>
    </row>
    <row r="108" spans="1:4" ht="13.5" x14ac:dyDescent="0.25">
      <c r="A108" s="194"/>
      <c r="B108" s="197"/>
      <c r="C108" s="181"/>
      <c r="D108" s="196"/>
    </row>
    <row r="109" spans="1:4" ht="13.5" x14ac:dyDescent="0.25">
      <c r="A109" s="194"/>
      <c r="B109" s="197"/>
      <c r="C109" s="181"/>
      <c r="D109" s="196"/>
    </row>
    <row r="110" spans="1:4" ht="13.5" x14ac:dyDescent="0.25">
      <c r="A110" s="194"/>
      <c r="B110" s="195"/>
      <c r="C110" s="181"/>
      <c r="D110" s="196"/>
    </row>
    <row r="111" spans="1:4" ht="13.5" x14ac:dyDescent="0.25">
      <c r="A111" s="194"/>
      <c r="B111" s="197"/>
      <c r="C111" s="181"/>
      <c r="D111" s="196"/>
    </row>
    <row r="112" spans="1:4" ht="13.5" x14ac:dyDescent="0.25">
      <c r="A112" s="194"/>
      <c r="B112" s="197"/>
      <c r="C112" s="181"/>
      <c r="D112" s="196"/>
    </row>
    <row r="113" spans="1:4" ht="13.5" x14ac:dyDescent="0.25">
      <c r="A113" s="194"/>
      <c r="B113" s="195"/>
      <c r="C113" s="181"/>
      <c r="D113" s="196"/>
    </row>
    <row r="114" spans="1:4" ht="13.5" x14ac:dyDescent="0.25">
      <c r="A114" s="194"/>
      <c r="B114" s="197"/>
      <c r="C114" s="181"/>
      <c r="D114" s="196"/>
    </row>
    <row r="115" spans="1:4" ht="13.5" x14ac:dyDescent="0.25">
      <c r="A115" s="194"/>
      <c r="B115" s="197"/>
      <c r="C115" s="181"/>
      <c r="D115" s="196"/>
    </row>
    <row r="116" spans="1:4" ht="13.5" x14ac:dyDescent="0.25">
      <c r="A116" s="194"/>
      <c r="B116" s="195"/>
      <c r="C116" s="181"/>
      <c r="D116" s="196"/>
    </row>
    <row r="117" spans="1:4" ht="13.5" x14ac:dyDescent="0.25">
      <c r="A117" s="194"/>
      <c r="B117" s="197"/>
      <c r="C117" s="181"/>
      <c r="D117" s="196"/>
    </row>
    <row r="118" spans="1:4" ht="13.5" x14ac:dyDescent="0.25">
      <c r="A118" s="194"/>
      <c r="B118" s="197"/>
      <c r="C118" s="181"/>
      <c r="D118" s="196"/>
    </row>
    <row r="119" spans="1:4" ht="13.5" x14ac:dyDescent="0.25">
      <c r="A119" s="194"/>
      <c r="B119" s="195"/>
      <c r="C119" s="181"/>
      <c r="D119" s="196"/>
    </row>
    <row r="120" spans="1:4" ht="13.5" x14ac:dyDescent="0.25">
      <c r="A120" s="194"/>
      <c r="B120" s="197"/>
      <c r="C120" s="181"/>
      <c r="D120" s="196"/>
    </row>
    <row r="121" spans="1:4" ht="13.5" x14ac:dyDescent="0.25">
      <c r="A121" s="194"/>
      <c r="B121" s="197"/>
      <c r="C121" s="181"/>
      <c r="D121" s="196"/>
    </row>
    <row r="122" spans="1:4" ht="13.5" x14ac:dyDescent="0.25">
      <c r="A122" s="194"/>
      <c r="B122" s="195"/>
      <c r="C122" s="181"/>
      <c r="D122" s="196"/>
    </row>
    <row r="123" spans="1:4" ht="13.5" x14ac:dyDescent="0.25">
      <c r="A123" s="194"/>
      <c r="B123" s="197"/>
      <c r="C123" s="181"/>
      <c r="D123" s="196"/>
    </row>
    <row r="124" spans="1:4" ht="13.5" x14ac:dyDescent="0.25">
      <c r="A124" s="194"/>
      <c r="B124" s="197"/>
      <c r="C124" s="181"/>
      <c r="D124" s="196"/>
    </row>
    <row r="125" spans="1:4" ht="13.5" x14ac:dyDescent="0.25">
      <c r="A125" s="194"/>
      <c r="B125" s="195"/>
      <c r="C125" s="181"/>
      <c r="D125" s="196"/>
    </row>
    <row r="126" spans="1:4" ht="13.5" x14ac:dyDescent="0.25">
      <c r="A126" s="194"/>
      <c r="B126" s="197"/>
      <c r="C126" s="181"/>
      <c r="D126" s="196"/>
    </row>
    <row r="127" spans="1:4" ht="13.5" x14ac:dyDescent="0.25">
      <c r="A127" s="194"/>
      <c r="B127" s="197"/>
      <c r="C127" s="181"/>
      <c r="D127" s="196"/>
    </row>
    <row r="128" spans="1:4" ht="13.5" x14ac:dyDescent="0.25">
      <c r="A128" s="194"/>
      <c r="B128" s="195"/>
      <c r="C128" s="181"/>
      <c r="D128" s="196"/>
    </row>
    <row r="129" spans="1:4" ht="13.5" x14ac:dyDescent="0.25">
      <c r="A129" s="194"/>
      <c r="B129" s="197"/>
      <c r="C129" s="181"/>
      <c r="D129" s="196"/>
    </row>
    <row r="130" spans="1:4" ht="13.5" x14ac:dyDescent="0.25">
      <c r="A130" s="194"/>
      <c r="B130" s="197"/>
      <c r="C130" s="181"/>
      <c r="D130" s="196"/>
    </row>
    <row r="131" spans="1:4" ht="13.5" x14ac:dyDescent="0.25">
      <c r="A131" s="194"/>
      <c r="B131" s="195"/>
      <c r="C131" s="181"/>
      <c r="D131" s="196"/>
    </row>
    <row r="132" spans="1:4" ht="13.5" x14ac:dyDescent="0.25">
      <c r="A132" s="194"/>
      <c r="B132" s="197"/>
      <c r="C132" s="181"/>
      <c r="D132" s="196"/>
    </row>
    <row r="133" spans="1:4" ht="13.5" x14ac:dyDescent="0.25">
      <c r="A133" s="194"/>
      <c r="B133" s="197"/>
      <c r="C133" s="181"/>
      <c r="D133" s="196"/>
    </row>
    <row r="134" spans="1:4" ht="13.5" x14ac:dyDescent="0.25">
      <c r="A134" s="194"/>
      <c r="B134" s="195"/>
      <c r="C134" s="181"/>
      <c r="D134" s="196"/>
    </row>
    <row r="135" spans="1:4" ht="13.5" x14ac:dyDescent="0.25">
      <c r="A135" s="194"/>
      <c r="B135" s="197"/>
      <c r="C135" s="181"/>
      <c r="D135" s="196"/>
    </row>
    <row r="136" spans="1:4" ht="13.5" x14ac:dyDescent="0.25">
      <c r="A136" s="194"/>
      <c r="B136" s="197"/>
      <c r="C136" s="181"/>
      <c r="D136" s="196"/>
    </row>
    <row r="137" spans="1:4" ht="13.5" x14ac:dyDescent="0.25">
      <c r="A137" s="194"/>
      <c r="B137" s="195"/>
      <c r="C137" s="181"/>
      <c r="D137" s="196"/>
    </row>
    <row r="138" spans="1:4" ht="13.5" x14ac:dyDescent="0.25">
      <c r="A138" s="194"/>
      <c r="B138" s="197"/>
      <c r="C138" s="181"/>
      <c r="D138" s="196"/>
    </row>
    <row r="139" spans="1:4" ht="13.5" x14ac:dyDescent="0.25">
      <c r="A139" s="194"/>
      <c r="B139" s="197"/>
      <c r="C139" s="181"/>
      <c r="D139" s="196"/>
    </row>
    <row r="140" spans="1:4" ht="13.5" x14ac:dyDescent="0.25">
      <c r="A140" s="194"/>
      <c r="B140" s="195"/>
      <c r="C140" s="181"/>
      <c r="D140" s="196"/>
    </row>
    <row r="141" spans="1:4" ht="13.5" x14ac:dyDescent="0.25">
      <c r="A141" s="194"/>
      <c r="B141" s="197"/>
      <c r="C141" s="181"/>
      <c r="D141" s="196"/>
    </row>
    <row r="142" spans="1:4" ht="13.5" x14ac:dyDescent="0.25">
      <c r="A142" s="194"/>
      <c r="B142" s="197"/>
      <c r="C142" s="181"/>
      <c r="D142" s="196"/>
    </row>
    <row r="143" spans="1:4" ht="13.5" x14ac:dyDescent="0.25">
      <c r="A143" s="194"/>
      <c r="B143" s="195"/>
      <c r="C143" s="181"/>
      <c r="D143" s="196"/>
    </row>
    <row r="144" spans="1:4" ht="13.5" x14ac:dyDescent="0.25">
      <c r="A144" s="194"/>
      <c r="B144" s="197"/>
      <c r="C144" s="181"/>
      <c r="D144" s="196"/>
    </row>
    <row r="145" spans="1:4" ht="13.5" x14ac:dyDescent="0.25">
      <c r="A145" s="194"/>
      <c r="B145" s="197"/>
      <c r="C145" s="181"/>
      <c r="D145" s="196"/>
    </row>
    <row r="146" spans="1:4" ht="13.5" x14ac:dyDescent="0.25">
      <c r="A146" s="194"/>
      <c r="B146" s="195"/>
      <c r="C146" s="181"/>
      <c r="D146" s="196"/>
    </row>
    <row r="147" spans="1:4" ht="13.5" x14ac:dyDescent="0.25">
      <c r="A147" s="194"/>
      <c r="B147" s="197"/>
      <c r="C147" s="181"/>
      <c r="D147" s="196"/>
    </row>
    <row r="148" spans="1:4" ht="13.5" x14ac:dyDescent="0.25">
      <c r="A148" s="194"/>
      <c r="B148" s="197"/>
      <c r="C148" s="181"/>
      <c r="D148" s="196"/>
    </row>
    <row r="149" spans="1:4" ht="13.5" x14ac:dyDescent="0.25">
      <c r="A149" s="194"/>
      <c r="B149" s="195"/>
      <c r="C149" s="181"/>
      <c r="D149" s="196"/>
    </row>
    <row r="150" spans="1:4" ht="13.5" x14ac:dyDescent="0.25">
      <c r="A150" s="194"/>
      <c r="B150" s="197"/>
      <c r="C150" s="181"/>
      <c r="D150" s="196"/>
    </row>
    <row r="151" spans="1:4" ht="13.5" x14ac:dyDescent="0.25">
      <c r="A151" s="194"/>
      <c r="B151" s="197"/>
      <c r="C151" s="181"/>
      <c r="D151" s="196"/>
    </row>
    <row r="152" spans="1:4" ht="13.5" x14ac:dyDescent="0.25">
      <c r="A152" s="194"/>
      <c r="B152" s="195"/>
      <c r="C152" s="181"/>
      <c r="D152" s="196"/>
    </row>
    <row r="153" spans="1:4" ht="13.5" x14ac:dyDescent="0.25">
      <c r="A153" s="194"/>
      <c r="B153" s="197"/>
      <c r="C153" s="181"/>
      <c r="D153" s="196"/>
    </row>
    <row r="154" spans="1:4" ht="13.5" x14ac:dyDescent="0.25">
      <c r="A154" s="194"/>
      <c r="B154" s="197"/>
      <c r="C154" s="181"/>
      <c r="D154" s="196"/>
    </row>
    <row r="155" spans="1:4" ht="13.5" x14ac:dyDescent="0.25">
      <c r="A155" s="194"/>
      <c r="B155" s="195"/>
      <c r="C155" s="181"/>
      <c r="D155" s="196"/>
    </row>
    <row r="156" spans="1:4" ht="13.5" x14ac:dyDescent="0.25">
      <c r="A156" s="194"/>
      <c r="B156" s="197"/>
      <c r="C156" s="181"/>
      <c r="D156" s="196"/>
    </row>
    <row r="157" spans="1:4" ht="13.5" x14ac:dyDescent="0.25">
      <c r="A157" s="194"/>
      <c r="B157" s="197"/>
      <c r="C157" s="181"/>
      <c r="D157" s="196"/>
    </row>
    <row r="158" spans="1:4" ht="13.5" x14ac:dyDescent="0.25">
      <c r="A158" s="194"/>
      <c r="B158" s="195"/>
      <c r="C158" s="181"/>
      <c r="D158" s="196"/>
    </row>
    <row r="159" spans="1:4" ht="13.5" x14ac:dyDescent="0.25">
      <c r="A159" s="194"/>
      <c r="B159" s="197"/>
      <c r="C159" s="181"/>
      <c r="D159" s="196"/>
    </row>
    <row r="160" spans="1:4" ht="13.5" x14ac:dyDescent="0.25">
      <c r="A160" s="194"/>
      <c r="B160" s="197"/>
      <c r="C160" s="181"/>
      <c r="D160" s="196"/>
    </row>
    <row r="161" spans="1:4" ht="13.5" x14ac:dyDescent="0.25">
      <c r="A161" s="194"/>
      <c r="B161" s="195"/>
      <c r="C161" s="181"/>
      <c r="D161" s="196"/>
    </row>
    <row r="162" spans="1:4" ht="13.5" x14ac:dyDescent="0.25">
      <c r="A162" s="194"/>
      <c r="B162" s="197"/>
      <c r="C162" s="181"/>
      <c r="D162" s="196"/>
    </row>
    <row r="163" spans="1:4" ht="13.5" x14ac:dyDescent="0.25">
      <c r="A163" s="194"/>
      <c r="B163" s="197"/>
      <c r="C163" s="181"/>
      <c r="D163" s="196"/>
    </row>
    <row r="164" spans="1:4" ht="13.5" x14ac:dyDescent="0.25">
      <c r="A164" s="194"/>
      <c r="B164" s="195"/>
      <c r="C164" s="181"/>
      <c r="D164" s="196"/>
    </row>
    <row r="165" spans="1:4" ht="13.5" x14ac:dyDescent="0.25">
      <c r="A165" s="194"/>
      <c r="B165" s="197"/>
      <c r="C165" s="181"/>
      <c r="D165" s="196"/>
    </row>
    <row r="166" spans="1:4" ht="13.5" x14ac:dyDescent="0.25">
      <c r="A166" s="194"/>
      <c r="B166" s="197"/>
      <c r="C166" s="181"/>
      <c r="D166" s="196"/>
    </row>
    <row r="167" spans="1:4" ht="13.5" x14ac:dyDescent="0.25">
      <c r="A167" s="194"/>
      <c r="B167" s="195"/>
      <c r="C167" s="181"/>
      <c r="D167" s="196"/>
    </row>
    <row r="168" spans="1:4" ht="13.5" x14ac:dyDescent="0.25">
      <c r="A168" s="194"/>
      <c r="B168" s="197"/>
      <c r="C168" s="181"/>
      <c r="D168" s="196"/>
    </row>
    <row r="169" spans="1:4" ht="13.5" x14ac:dyDescent="0.25">
      <c r="A169" s="194"/>
      <c r="B169" s="197"/>
      <c r="C169" s="181"/>
      <c r="D169" s="196"/>
    </row>
    <row r="170" spans="1:4" ht="13.5" x14ac:dyDescent="0.25">
      <c r="A170" s="194"/>
      <c r="B170" s="195"/>
      <c r="C170" s="181"/>
      <c r="D170" s="196"/>
    </row>
    <row r="171" spans="1:4" ht="13.5" x14ac:dyDescent="0.25">
      <c r="A171" s="194"/>
      <c r="B171" s="197"/>
      <c r="C171" s="181"/>
      <c r="D171" s="196"/>
    </row>
    <row r="172" spans="1:4" ht="13.5" x14ac:dyDescent="0.25">
      <c r="A172" s="194"/>
      <c r="B172" s="197"/>
      <c r="C172" s="181"/>
      <c r="D172" s="196"/>
    </row>
    <row r="173" spans="1:4" ht="13.5" x14ac:dyDescent="0.25">
      <c r="A173" s="194"/>
      <c r="B173" s="195"/>
      <c r="C173" s="181"/>
      <c r="D173" s="196"/>
    </row>
    <row r="174" spans="1:4" ht="13.5" x14ac:dyDescent="0.25">
      <c r="A174" s="194"/>
      <c r="B174" s="197"/>
      <c r="C174" s="181"/>
      <c r="D174" s="196"/>
    </row>
    <row r="175" spans="1:4" ht="13.5" x14ac:dyDescent="0.25">
      <c r="A175" s="194"/>
      <c r="B175" s="197"/>
      <c r="C175" s="181"/>
      <c r="D175" s="196"/>
    </row>
    <row r="176" spans="1:4" ht="13.5" x14ac:dyDescent="0.25">
      <c r="A176" s="194"/>
      <c r="B176" s="195"/>
      <c r="C176" s="181"/>
      <c r="D176" s="196"/>
    </row>
    <row r="177" spans="1:4" ht="13.5" x14ac:dyDescent="0.25">
      <c r="A177" s="194"/>
      <c r="B177" s="197"/>
      <c r="C177" s="181"/>
      <c r="D177" s="196"/>
    </row>
    <row r="178" spans="1:4" ht="13.5" x14ac:dyDescent="0.25">
      <c r="A178" s="194"/>
      <c r="B178" s="197"/>
      <c r="C178" s="181"/>
      <c r="D178" s="196"/>
    </row>
    <row r="179" spans="1:4" ht="13.5" x14ac:dyDescent="0.25">
      <c r="A179" s="194"/>
      <c r="B179" s="195"/>
      <c r="C179" s="181"/>
      <c r="D179" s="196"/>
    </row>
    <row r="180" spans="1:4" ht="13.5" x14ac:dyDescent="0.25">
      <c r="A180" s="194"/>
      <c r="B180" s="197"/>
      <c r="C180" s="181"/>
      <c r="D180" s="196"/>
    </row>
    <row r="181" spans="1:4" ht="13.5" x14ac:dyDescent="0.25">
      <c r="A181" s="194"/>
      <c r="B181" s="197"/>
      <c r="C181" s="181"/>
      <c r="D181" s="196"/>
    </row>
    <row r="182" spans="1:4" ht="13.5" x14ac:dyDescent="0.25">
      <c r="A182" s="194"/>
      <c r="B182" s="195"/>
      <c r="C182" s="181"/>
      <c r="D182" s="196"/>
    </row>
    <row r="183" spans="1:4" ht="13.5" x14ac:dyDescent="0.25">
      <c r="A183" s="194"/>
      <c r="B183" s="197"/>
      <c r="C183" s="181"/>
      <c r="D183" s="196"/>
    </row>
    <row r="184" spans="1:4" ht="13.5" x14ac:dyDescent="0.25">
      <c r="A184" s="194"/>
      <c r="B184" s="197"/>
      <c r="C184" s="181"/>
      <c r="D184" s="196"/>
    </row>
    <row r="185" spans="1:4" ht="13.5" x14ac:dyDescent="0.25">
      <c r="A185" s="194"/>
      <c r="B185" s="195"/>
      <c r="C185" s="181"/>
      <c r="D185" s="196"/>
    </row>
    <row r="186" spans="1:4" ht="13.5" x14ac:dyDescent="0.25">
      <c r="A186" s="194"/>
      <c r="B186" s="197"/>
      <c r="C186" s="181"/>
      <c r="D186" s="196"/>
    </row>
    <row r="187" spans="1:4" ht="13.5" x14ac:dyDescent="0.25">
      <c r="A187" s="194"/>
      <c r="B187" s="197"/>
      <c r="C187" s="181"/>
      <c r="D187" s="196"/>
    </row>
    <row r="188" spans="1:4" ht="13.5" x14ac:dyDescent="0.25">
      <c r="A188" s="194"/>
      <c r="B188" s="195"/>
      <c r="C188" s="181"/>
      <c r="D188" s="196"/>
    </row>
    <row r="189" spans="1:4" ht="13.5" x14ac:dyDescent="0.25">
      <c r="A189" s="194"/>
      <c r="B189" s="197"/>
      <c r="C189" s="181"/>
      <c r="D189" s="196"/>
    </row>
    <row r="190" spans="1:4" ht="13.5" x14ac:dyDescent="0.25">
      <c r="A190" s="194"/>
      <c r="B190" s="197"/>
      <c r="C190" s="181"/>
      <c r="D190" s="196"/>
    </row>
    <row r="191" spans="1:4" ht="13.5" x14ac:dyDescent="0.25">
      <c r="A191" s="194"/>
      <c r="B191" s="195"/>
      <c r="C191" s="181"/>
      <c r="D191" s="196"/>
    </row>
    <row r="192" spans="1:4" ht="13.5" x14ac:dyDescent="0.25">
      <c r="A192" s="194"/>
      <c r="B192" s="197"/>
      <c r="C192" s="181"/>
      <c r="D192" s="196"/>
    </row>
    <row r="193" spans="1:4" ht="13.5" x14ac:dyDescent="0.25">
      <c r="A193" s="194"/>
      <c r="B193" s="197"/>
      <c r="C193" s="181"/>
      <c r="D193" s="196"/>
    </row>
    <row r="194" spans="1:4" ht="13.5" x14ac:dyDescent="0.25">
      <c r="A194" s="194"/>
      <c r="B194" s="195"/>
      <c r="C194" s="181"/>
      <c r="D194" s="196"/>
    </row>
    <row r="195" spans="1:4" ht="13.5" x14ac:dyDescent="0.25">
      <c r="A195" s="194"/>
      <c r="B195" s="197"/>
      <c r="C195" s="181"/>
      <c r="D195" s="196"/>
    </row>
    <row r="196" spans="1:4" ht="13.5" x14ac:dyDescent="0.25">
      <c r="A196" s="194"/>
      <c r="B196" s="197"/>
      <c r="C196" s="181"/>
      <c r="D196" s="196"/>
    </row>
    <row r="197" spans="1:4" ht="13.5" x14ac:dyDescent="0.25">
      <c r="A197" s="194"/>
      <c r="B197" s="195"/>
      <c r="C197" s="181"/>
      <c r="D197" s="196"/>
    </row>
    <row r="198" spans="1:4" ht="13.5" x14ac:dyDescent="0.25">
      <c r="A198" s="194"/>
      <c r="B198" s="197"/>
      <c r="C198" s="181"/>
      <c r="D198" s="196"/>
    </row>
    <row r="199" spans="1:4" ht="13.5" x14ac:dyDescent="0.25">
      <c r="A199" s="194"/>
      <c r="B199" s="197"/>
      <c r="C199" s="181"/>
      <c r="D199" s="196"/>
    </row>
    <row r="200" spans="1:4" ht="13.5" x14ac:dyDescent="0.25">
      <c r="A200" s="194"/>
      <c r="B200" s="195"/>
      <c r="C200" s="181"/>
      <c r="D200" s="196"/>
    </row>
    <row r="201" spans="1:4" ht="13.5" x14ac:dyDescent="0.25">
      <c r="A201" s="194"/>
      <c r="B201" s="197"/>
      <c r="C201" s="181"/>
      <c r="D201" s="196"/>
    </row>
    <row r="202" spans="1:4" ht="13.5" x14ac:dyDescent="0.25">
      <c r="A202" s="194"/>
      <c r="B202" s="197"/>
      <c r="C202" s="181"/>
      <c r="D202" s="196"/>
    </row>
    <row r="203" spans="1:4" ht="13.5" x14ac:dyDescent="0.25">
      <c r="A203" s="194"/>
      <c r="B203" s="195"/>
      <c r="C203" s="181"/>
      <c r="D203" s="196"/>
    </row>
    <row r="204" spans="1:4" ht="13.5" x14ac:dyDescent="0.25">
      <c r="A204" s="194"/>
      <c r="B204" s="197"/>
      <c r="C204" s="181"/>
      <c r="D204" s="196"/>
    </row>
    <row r="205" spans="1:4" ht="13.5" x14ac:dyDescent="0.25">
      <c r="A205" s="194"/>
      <c r="B205" s="197"/>
      <c r="C205" s="181"/>
      <c r="D205" s="196"/>
    </row>
    <row r="206" spans="1:4" ht="13.5" x14ac:dyDescent="0.25">
      <c r="A206" s="194"/>
      <c r="B206" s="195"/>
      <c r="C206" s="181"/>
      <c r="D206" s="196"/>
    </row>
    <row r="207" spans="1:4" ht="13.5" x14ac:dyDescent="0.25">
      <c r="A207" s="194"/>
      <c r="B207" s="197"/>
      <c r="C207" s="181"/>
      <c r="D207" s="196"/>
    </row>
    <row r="208" spans="1:4" ht="13.5" x14ac:dyDescent="0.25">
      <c r="A208" s="194"/>
      <c r="B208" s="197"/>
      <c r="C208" s="181"/>
      <c r="D208" s="196"/>
    </row>
    <row r="209" spans="1:4" ht="13.5" x14ac:dyDescent="0.25">
      <c r="A209" s="194"/>
      <c r="B209" s="195"/>
      <c r="C209" s="181"/>
      <c r="D209" s="196"/>
    </row>
    <row r="210" spans="1:4" ht="13.5" x14ac:dyDescent="0.25">
      <c r="A210" s="194"/>
      <c r="B210" s="197"/>
      <c r="C210" s="181"/>
      <c r="D210" s="196"/>
    </row>
    <row r="211" spans="1:4" ht="13.5" x14ac:dyDescent="0.25">
      <c r="A211" s="194"/>
      <c r="B211" s="197"/>
      <c r="C211" s="181"/>
      <c r="D211" s="196"/>
    </row>
    <row r="212" spans="1:4" ht="13.5" x14ac:dyDescent="0.25">
      <c r="A212" s="194"/>
      <c r="B212" s="195"/>
      <c r="C212" s="181"/>
      <c r="D212" s="196"/>
    </row>
    <row r="213" spans="1:4" ht="13.5" x14ac:dyDescent="0.25">
      <c r="A213" s="194"/>
      <c r="B213" s="197"/>
      <c r="C213" s="181"/>
      <c r="D213" s="196"/>
    </row>
    <row r="214" spans="1:4" ht="13.5" x14ac:dyDescent="0.25">
      <c r="A214" s="194"/>
      <c r="B214" s="197"/>
      <c r="C214" s="181"/>
      <c r="D214" s="196"/>
    </row>
    <row r="215" spans="1:4" ht="13.5" x14ac:dyDescent="0.25">
      <c r="A215" s="194"/>
      <c r="B215" s="195"/>
      <c r="C215" s="181"/>
      <c r="D215" s="196"/>
    </row>
    <row r="216" spans="1:4" ht="13.5" x14ac:dyDescent="0.25">
      <c r="A216" s="194"/>
      <c r="B216" s="197"/>
      <c r="C216" s="181"/>
      <c r="D216" s="196"/>
    </row>
    <row r="217" spans="1:4" ht="13.5" x14ac:dyDescent="0.25">
      <c r="A217" s="194"/>
      <c r="B217" s="197"/>
      <c r="C217" s="181"/>
      <c r="D217" s="196"/>
    </row>
    <row r="218" spans="1:4" ht="13.5" x14ac:dyDescent="0.25">
      <c r="A218" s="194"/>
      <c r="B218" s="195"/>
      <c r="C218" s="181"/>
      <c r="D218" s="196"/>
    </row>
    <row r="219" spans="1:4" ht="13.5" x14ac:dyDescent="0.25">
      <c r="A219" s="194"/>
      <c r="B219" s="197"/>
      <c r="C219" s="181"/>
      <c r="D219" s="196"/>
    </row>
    <row r="220" spans="1:4" ht="13.5" x14ac:dyDescent="0.25">
      <c r="A220" s="194"/>
      <c r="B220" s="197"/>
      <c r="C220" s="181"/>
      <c r="D220" s="196"/>
    </row>
    <row r="221" spans="1:4" ht="13.5" x14ac:dyDescent="0.25">
      <c r="A221" s="194"/>
      <c r="B221" s="195"/>
      <c r="C221" s="181"/>
      <c r="D221" s="196"/>
    </row>
    <row r="222" spans="1:4" ht="13.5" x14ac:dyDescent="0.25">
      <c r="A222" s="194"/>
      <c r="B222" s="197"/>
      <c r="C222" s="181"/>
      <c r="D222" s="196"/>
    </row>
    <row r="223" spans="1:4" ht="13.5" x14ac:dyDescent="0.25">
      <c r="A223" s="194"/>
      <c r="B223" s="197"/>
      <c r="C223" s="181"/>
      <c r="D223" s="196"/>
    </row>
    <row r="224" spans="1:4" ht="13.5" x14ac:dyDescent="0.25">
      <c r="A224" s="194"/>
      <c r="B224" s="195"/>
      <c r="C224" s="181"/>
      <c r="D224" s="196"/>
    </row>
    <row r="225" spans="1:4" ht="13.5" x14ac:dyDescent="0.25">
      <c r="A225" s="194"/>
      <c r="B225" s="197"/>
      <c r="C225" s="181"/>
      <c r="D225" s="196"/>
    </row>
    <row r="226" spans="1:4" ht="13.5" x14ac:dyDescent="0.25">
      <c r="A226" s="194"/>
      <c r="B226" s="197"/>
      <c r="C226" s="181"/>
      <c r="D226" s="196"/>
    </row>
    <row r="227" spans="1:4" ht="13.5" x14ac:dyDescent="0.25">
      <c r="A227" s="194"/>
      <c r="B227" s="195"/>
      <c r="C227" s="181"/>
      <c r="D227" s="196"/>
    </row>
    <row r="228" spans="1:4" ht="13.5" x14ac:dyDescent="0.25">
      <c r="A228" s="194"/>
      <c r="B228" s="197"/>
      <c r="C228" s="181"/>
      <c r="D228" s="196"/>
    </row>
    <row r="229" spans="1:4" ht="13.5" x14ac:dyDescent="0.25">
      <c r="A229" s="194"/>
      <c r="B229" s="197"/>
      <c r="C229" s="181"/>
      <c r="D229" s="196"/>
    </row>
    <row r="230" spans="1:4" ht="13.5" x14ac:dyDescent="0.25">
      <c r="A230" s="194"/>
      <c r="B230" s="195"/>
      <c r="C230" s="181"/>
      <c r="D230" s="196"/>
    </row>
    <row r="231" spans="1:4" ht="13.5" x14ac:dyDescent="0.25">
      <c r="A231" s="194"/>
      <c r="B231" s="197"/>
      <c r="C231" s="181"/>
      <c r="D231" s="196"/>
    </row>
    <row r="232" spans="1:4" ht="13.5" x14ac:dyDescent="0.25">
      <c r="A232" s="194"/>
      <c r="B232" s="197"/>
      <c r="C232" s="181"/>
      <c r="D232" s="196"/>
    </row>
    <row r="233" spans="1:4" ht="13.5" x14ac:dyDescent="0.25">
      <c r="A233" s="194"/>
      <c r="B233" s="195"/>
      <c r="C233" s="181"/>
      <c r="D233" s="196"/>
    </row>
    <row r="234" spans="1:4" ht="13.5" x14ac:dyDescent="0.25">
      <c r="A234" s="194"/>
      <c r="B234" s="197"/>
      <c r="C234" s="181"/>
      <c r="D234" s="196"/>
    </row>
    <row r="235" spans="1:4" ht="13.5" x14ac:dyDescent="0.25">
      <c r="A235" s="194"/>
      <c r="B235" s="197"/>
      <c r="C235" s="181"/>
      <c r="D235" s="196"/>
    </row>
    <row r="236" spans="1:4" ht="13.5" x14ac:dyDescent="0.25">
      <c r="A236" s="194"/>
      <c r="B236" s="195"/>
      <c r="C236" s="181"/>
      <c r="D236" s="196"/>
    </row>
    <row r="237" spans="1:4" ht="13.5" x14ac:dyDescent="0.25">
      <c r="A237" s="194"/>
      <c r="B237" s="197"/>
      <c r="C237" s="181"/>
      <c r="D237" s="196"/>
    </row>
    <row r="238" spans="1:4" ht="13.5" x14ac:dyDescent="0.25">
      <c r="A238" s="194"/>
      <c r="B238" s="197"/>
      <c r="C238" s="181"/>
      <c r="D238" s="196"/>
    </row>
    <row r="239" spans="1:4" ht="13.5" x14ac:dyDescent="0.25">
      <c r="A239" s="194"/>
      <c r="B239" s="195"/>
      <c r="C239" s="181"/>
      <c r="D239" s="196"/>
    </row>
    <row r="240" spans="1:4" ht="13.5" x14ac:dyDescent="0.25">
      <c r="A240" s="194"/>
      <c r="B240" s="197"/>
      <c r="C240" s="181"/>
      <c r="D240" s="196"/>
    </row>
    <row r="241" spans="1:4" ht="13.5" x14ac:dyDescent="0.25">
      <c r="A241" s="194"/>
      <c r="B241" s="197"/>
      <c r="C241" s="181"/>
      <c r="D241" s="196"/>
    </row>
    <row r="242" spans="1:4" ht="13.5" x14ac:dyDescent="0.25">
      <c r="A242" s="194"/>
      <c r="B242" s="195"/>
      <c r="C242" s="181"/>
      <c r="D242" s="196"/>
    </row>
    <row r="243" spans="1:4" ht="13.5" x14ac:dyDescent="0.25">
      <c r="A243" s="194"/>
      <c r="B243" s="197"/>
      <c r="C243" s="181"/>
      <c r="D243" s="196"/>
    </row>
    <row r="244" spans="1:4" ht="13.5" x14ac:dyDescent="0.25">
      <c r="A244" s="194"/>
      <c r="B244" s="197"/>
      <c r="C244" s="181"/>
      <c r="D244" s="196"/>
    </row>
    <row r="245" spans="1:4" ht="13.5" x14ac:dyDescent="0.25">
      <c r="A245" s="194"/>
      <c r="B245" s="195"/>
      <c r="C245" s="181"/>
      <c r="D245" s="196"/>
    </row>
    <row r="246" spans="1:4" ht="13.5" x14ac:dyDescent="0.25">
      <c r="A246" s="194"/>
      <c r="B246" s="197"/>
      <c r="C246" s="181"/>
      <c r="D246" s="196"/>
    </row>
    <row r="247" spans="1:4" ht="13.5" x14ac:dyDescent="0.25">
      <c r="A247" s="194"/>
      <c r="B247" s="197"/>
      <c r="C247" s="181"/>
      <c r="D247" s="196"/>
    </row>
    <row r="248" spans="1:4" ht="13.5" x14ac:dyDescent="0.25">
      <c r="A248" s="194"/>
      <c r="B248" s="195"/>
      <c r="C248" s="181"/>
      <c r="D248" s="196"/>
    </row>
    <row r="249" spans="1:4" ht="13.5" x14ac:dyDescent="0.25">
      <c r="A249" s="194"/>
      <c r="B249" s="197"/>
      <c r="C249" s="181"/>
      <c r="D249" s="196"/>
    </row>
    <row r="250" spans="1:4" ht="13.5" x14ac:dyDescent="0.25">
      <c r="A250" s="194"/>
      <c r="B250" s="197"/>
      <c r="C250" s="181"/>
      <c r="D250" s="196"/>
    </row>
    <row r="251" spans="1:4" ht="13.5" x14ac:dyDescent="0.25">
      <c r="A251" s="194"/>
      <c r="B251" s="195"/>
      <c r="C251" s="181"/>
      <c r="D251" s="196"/>
    </row>
    <row r="252" spans="1:4" ht="13.5" x14ac:dyDescent="0.25">
      <c r="A252" s="194"/>
      <c r="B252" s="197"/>
      <c r="C252" s="181"/>
      <c r="D252" s="196"/>
    </row>
    <row r="253" spans="1:4" ht="13.5" x14ac:dyDescent="0.25">
      <c r="A253" s="194"/>
      <c r="B253" s="197"/>
      <c r="C253" s="181"/>
      <c r="D253" s="196"/>
    </row>
    <row r="254" spans="1:4" ht="13.5" x14ac:dyDescent="0.25">
      <c r="A254" s="194"/>
      <c r="B254" s="195"/>
      <c r="C254" s="181"/>
      <c r="D254" s="196"/>
    </row>
    <row r="255" spans="1:4" ht="13.5" x14ac:dyDescent="0.25">
      <c r="A255" s="194"/>
      <c r="B255" s="197"/>
      <c r="C255" s="181"/>
      <c r="D255" s="196"/>
    </row>
    <row r="256" spans="1:4" ht="13.5" x14ac:dyDescent="0.25">
      <c r="A256" s="194"/>
      <c r="B256" s="197"/>
      <c r="C256" s="181"/>
      <c r="D256" s="196"/>
    </row>
    <row r="257" spans="1:4" ht="13.5" x14ac:dyDescent="0.25">
      <c r="A257" s="194"/>
      <c r="B257" s="195"/>
      <c r="C257" s="181"/>
      <c r="D257" s="196"/>
    </row>
    <row r="258" spans="1:4" ht="13.5" x14ac:dyDescent="0.25">
      <c r="A258" s="194"/>
      <c r="B258" s="197"/>
      <c r="C258" s="181"/>
      <c r="D258" s="196"/>
    </row>
    <row r="259" spans="1:4" ht="13.5" x14ac:dyDescent="0.25">
      <c r="A259" s="194"/>
      <c r="B259" s="197"/>
      <c r="C259" s="181"/>
      <c r="D259" s="196"/>
    </row>
    <row r="260" spans="1:4" ht="13.5" x14ac:dyDescent="0.25">
      <c r="A260" s="194"/>
      <c r="B260" s="195"/>
      <c r="C260" s="181"/>
      <c r="D260" s="196"/>
    </row>
    <row r="261" spans="1:4" ht="13.5" x14ac:dyDescent="0.25">
      <c r="A261" s="194"/>
      <c r="B261" s="197"/>
      <c r="C261" s="181"/>
      <c r="D261" s="196"/>
    </row>
    <row r="262" spans="1:4" ht="13.5" x14ac:dyDescent="0.25">
      <c r="A262" s="194"/>
      <c r="B262" s="197"/>
      <c r="C262" s="181"/>
      <c r="D262" s="196"/>
    </row>
    <row r="263" spans="1:4" ht="13.5" x14ac:dyDescent="0.25">
      <c r="A263" s="194"/>
      <c r="B263" s="195"/>
      <c r="C263" s="181"/>
      <c r="D263" s="196"/>
    </row>
    <row r="264" spans="1:4" ht="13.5" x14ac:dyDescent="0.25">
      <c r="A264" s="194"/>
      <c r="B264" s="197"/>
      <c r="C264" s="181"/>
      <c r="D264" s="196"/>
    </row>
    <row r="265" spans="1:4" ht="13.5" x14ac:dyDescent="0.25">
      <c r="A265" s="194"/>
      <c r="B265" s="197"/>
      <c r="C265" s="181"/>
      <c r="D265" s="196"/>
    </row>
    <row r="266" spans="1:4" ht="13.5" x14ac:dyDescent="0.25">
      <c r="A266" s="194"/>
      <c r="B266" s="195"/>
      <c r="C266" s="181"/>
      <c r="D266" s="196"/>
    </row>
    <row r="267" spans="1:4" ht="13.5" x14ac:dyDescent="0.25">
      <c r="A267" s="194"/>
      <c r="B267" s="197"/>
      <c r="C267" s="181"/>
      <c r="D267" s="196"/>
    </row>
    <row r="268" spans="1:4" ht="13.5" x14ac:dyDescent="0.25">
      <c r="A268" s="194"/>
      <c r="B268" s="197"/>
      <c r="C268" s="181"/>
      <c r="D268" s="196"/>
    </row>
    <row r="269" spans="1:4" ht="13.5" x14ac:dyDescent="0.25">
      <c r="A269" s="194"/>
      <c r="B269" s="195"/>
      <c r="C269" s="181"/>
      <c r="D269" s="196"/>
    </row>
    <row r="270" spans="1:4" ht="13.5" x14ac:dyDescent="0.25">
      <c r="A270" s="194"/>
      <c r="B270" s="197"/>
      <c r="C270" s="181"/>
      <c r="D270" s="196"/>
    </row>
    <row r="271" spans="1:4" ht="13.5" x14ac:dyDescent="0.25">
      <c r="A271" s="194"/>
      <c r="B271" s="197"/>
      <c r="C271" s="181"/>
      <c r="D271" s="196"/>
    </row>
    <row r="272" spans="1:4" ht="13.5" x14ac:dyDescent="0.25">
      <c r="A272" s="194"/>
      <c r="B272" s="195"/>
      <c r="C272" s="181"/>
      <c r="D272" s="196"/>
    </row>
    <row r="273" spans="1:4" ht="13.5" x14ac:dyDescent="0.25">
      <c r="A273" s="194"/>
      <c r="B273" s="197"/>
      <c r="C273" s="181"/>
      <c r="D273" s="196"/>
    </row>
    <row r="274" spans="1:4" ht="13.5" x14ac:dyDescent="0.25">
      <c r="A274" s="194"/>
      <c r="B274" s="197"/>
      <c r="C274" s="181"/>
      <c r="D274" s="196"/>
    </row>
    <row r="275" spans="1:4" ht="13.5" x14ac:dyDescent="0.25">
      <c r="A275" s="194"/>
      <c r="B275" s="195"/>
      <c r="C275" s="181"/>
      <c r="D275" s="196"/>
    </row>
    <row r="276" spans="1:4" ht="13.5" x14ac:dyDescent="0.25">
      <c r="A276" s="194"/>
      <c r="B276" s="197"/>
      <c r="C276" s="181"/>
      <c r="D276" s="196"/>
    </row>
    <row r="277" spans="1:4" ht="13.5" x14ac:dyDescent="0.25">
      <c r="A277" s="194"/>
      <c r="B277" s="197"/>
      <c r="C277" s="181"/>
      <c r="D277" s="196"/>
    </row>
    <row r="278" spans="1:4" ht="13.5" x14ac:dyDescent="0.25">
      <c r="A278" s="194"/>
      <c r="B278" s="195"/>
      <c r="C278" s="181"/>
      <c r="D278" s="196"/>
    </row>
    <row r="279" spans="1:4" ht="13.5" x14ac:dyDescent="0.25">
      <c r="A279" s="194"/>
      <c r="B279" s="197"/>
      <c r="C279" s="181"/>
      <c r="D279" s="196"/>
    </row>
    <row r="280" spans="1:4" ht="13.5" x14ac:dyDescent="0.25">
      <c r="A280" s="194"/>
      <c r="B280" s="197"/>
      <c r="C280" s="181"/>
      <c r="D280" s="196"/>
    </row>
    <row r="281" spans="1:4" ht="13.5" x14ac:dyDescent="0.25">
      <c r="A281" s="194"/>
      <c r="B281" s="195"/>
      <c r="C281" s="181"/>
      <c r="D281" s="196"/>
    </row>
    <row r="282" spans="1:4" ht="13.5" x14ac:dyDescent="0.25">
      <c r="A282" s="194"/>
      <c r="B282" s="197"/>
      <c r="C282" s="181"/>
      <c r="D282" s="196"/>
    </row>
    <row r="283" spans="1:4" ht="13.5" x14ac:dyDescent="0.25">
      <c r="A283" s="194"/>
      <c r="B283" s="197"/>
      <c r="C283" s="181"/>
      <c r="D283" s="196"/>
    </row>
    <row r="284" spans="1:4" ht="13.5" x14ac:dyDescent="0.25">
      <c r="A284" s="194"/>
      <c r="B284" s="195"/>
      <c r="C284" s="181"/>
      <c r="D284" s="196"/>
    </row>
    <row r="285" spans="1:4" ht="13.5" x14ac:dyDescent="0.25">
      <c r="A285" s="194"/>
      <c r="B285" s="197"/>
      <c r="C285" s="181"/>
      <c r="D285" s="196"/>
    </row>
    <row r="286" spans="1:4" ht="13.5" x14ac:dyDescent="0.25">
      <c r="A286" s="194"/>
      <c r="B286" s="197"/>
      <c r="C286" s="181"/>
      <c r="D286" s="196"/>
    </row>
    <row r="287" spans="1:4" ht="13.5" x14ac:dyDescent="0.25">
      <c r="A287" s="194"/>
      <c r="B287" s="195"/>
      <c r="C287" s="181"/>
      <c r="D287" s="196"/>
    </row>
    <row r="288" spans="1:4" ht="13.5" x14ac:dyDescent="0.25">
      <c r="A288" s="194"/>
      <c r="B288" s="197"/>
      <c r="C288" s="181"/>
      <c r="D288" s="196"/>
    </row>
    <row r="289" spans="1:4" ht="13.5" x14ac:dyDescent="0.25">
      <c r="A289" s="194"/>
      <c r="B289" s="197"/>
      <c r="C289" s="181"/>
      <c r="D289" s="196"/>
    </row>
    <row r="290" spans="1:4" ht="13.5" x14ac:dyDescent="0.25">
      <c r="A290" s="194"/>
      <c r="B290" s="195"/>
      <c r="C290" s="181"/>
      <c r="D290" s="196"/>
    </row>
    <row r="291" spans="1:4" ht="13.5" x14ac:dyDescent="0.25">
      <c r="A291" s="194"/>
      <c r="B291" s="197"/>
      <c r="C291" s="181"/>
      <c r="D291" s="196"/>
    </row>
    <row r="292" spans="1:4" ht="13.5" x14ac:dyDescent="0.25">
      <c r="A292" s="194"/>
      <c r="B292" s="197"/>
      <c r="C292" s="181"/>
      <c r="D292" s="196"/>
    </row>
    <row r="293" spans="1:4" ht="13.5" x14ac:dyDescent="0.25">
      <c r="A293" s="194"/>
      <c r="B293" s="195"/>
      <c r="C293" s="181"/>
      <c r="D293" s="196"/>
    </row>
    <row r="294" spans="1:4" ht="13.5" x14ac:dyDescent="0.25">
      <c r="A294" s="194"/>
      <c r="B294" s="197"/>
      <c r="C294" s="181"/>
      <c r="D294" s="196"/>
    </row>
    <row r="295" spans="1:4" ht="13.5" x14ac:dyDescent="0.25">
      <c r="A295" s="194"/>
      <c r="B295" s="197"/>
      <c r="C295" s="181"/>
      <c r="D295" s="196"/>
    </row>
    <row r="296" spans="1:4" ht="13.5" x14ac:dyDescent="0.25">
      <c r="A296" s="194"/>
      <c r="B296" s="195"/>
      <c r="C296" s="181"/>
      <c r="D296" s="196"/>
    </row>
    <row r="297" spans="1:4" ht="13.5" x14ac:dyDescent="0.25">
      <c r="A297" s="194"/>
      <c r="B297" s="197"/>
      <c r="C297" s="181"/>
      <c r="D297" s="196"/>
    </row>
    <row r="298" spans="1:4" ht="13.5" x14ac:dyDescent="0.25">
      <c r="A298" s="194"/>
      <c r="B298" s="197"/>
      <c r="C298" s="181"/>
      <c r="D298" s="196"/>
    </row>
    <row r="299" spans="1:4" ht="13.5" x14ac:dyDescent="0.25">
      <c r="A299" s="194"/>
      <c r="B299" s="195"/>
      <c r="C299" s="181"/>
      <c r="D299" s="196"/>
    </row>
    <row r="300" spans="1:4" ht="13.5" x14ac:dyDescent="0.25">
      <c r="A300" s="194"/>
      <c r="B300" s="197"/>
      <c r="C300" s="181"/>
      <c r="D300" s="196"/>
    </row>
    <row r="301" spans="1:4" ht="13.5" x14ac:dyDescent="0.25">
      <c r="A301" s="194"/>
      <c r="B301" s="197"/>
      <c r="C301" s="181"/>
      <c r="D301" s="196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zoomScale="98" zoomScaleNormal="98" workbookViewId="0">
      <selection activeCell="GH45" sqref="GH4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0</v>
      </c>
      <c r="B1" s="228"/>
      <c r="C1" s="228"/>
      <c r="D1" s="10"/>
      <c r="E1" s="228"/>
      <c r="F1" s="228"/>
      <c r="AF1" s="201"/>
      <c r="AH1" s="201"/>
    </row>
    <row r="4" spans="1:201" x14ac:dyDescent="0.2">
      <c r="A4" s="223" t="s">
        <v>17</v>
      </c>
      <c r="B4" s="224"/>
      <c r="C4" s="224"/>
      <c r="D4" s="224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/>
      <c r="AF4" s="224"/>
      <c r="AG4" s="224"/>
      <c r="AH4" s="224"/>
      <c r="AI4" s="224"/>
      <c r="AJ4" s="224"/>
      <c r="AK4" s="224"/>
      <c r="AL4" s="224"/>
      <c r="AM4" s="224"/>
      <c r="AN4" s="224"/>
      <c r="AO4" s="224"/>
      <c r="AP4" s="224"/>
      <c r="AQ4" s="224"/>
      <c r="AR4" s="224"/>
      <c r="AS4" s="224"/>
      <c r="AT4" s="224"/>
      <c r="AU4" s="224"/>
      <c r="AV4" s="224"/>
      <c r="AW4" s="224"/>
      <c r="AX4" s="224"/>
      <c r="AY4" s="224"/>
      <c r="AZ4" s="224"/>
      <c r="BA4" s="224"/>
      <c r="BB4" s="224"/>
      <c r="BC4" s="224"/>
      <c r="BD4" s="224"/>
      <c r="BE4" s="224"/>
      <c r="BF4" s="224"/>
      <c r="BG4" s="224"/>
      <c r="BH4" s="224"/>
      <c r="BI4" s="224"/>
      <c r="BJ4" s="224"/>
      <c r="BK4" s="224"/>
      <c r="BL4" s="224"/>
      <c r="BM4" s="224"/>
      <c r="BN4" s="224"/>
      <c r="BO4" s="224"/>
      <c r="BP4" s="224"/>
      <c r="BQ4" s="224"/>
      <c r="BR4" s="224"/>
      <c r="BS4" s="224"/>
      <c r="BT4" s="224"/>
      <c r="BU4" s="224"/>
      <c r="BV4" s="224"/>
      <c r="BW4" s="224"/>
      <c r="BX4" s="224"/>
      <c r="BY4" s="224"/>
      <c r="BZ4" s="224"/>
      <c r="CA4" s="224"/>
      <c r="CB4" s="224"/>
      <c r="CC4" s="224"/>
      <c r="CD4" s="224"/>
      <c r="CE4" s="224"/>
      <c r="CF4" s="224"/>
      <c r="CG4" s="224"/>
      <c r="CH4" s="224"/>
      <c r="CI4" s="224"/>
      <c r="CJ4" s="224"/>
      <c r="CK4" s="224"/>
      <c r="CL4" s="224"/>
      <c r="CM4" s="224"/>
      <c r="CN4" s="224"/>
      <c r="CO4" s="224"/>
      <c r="CP4" s="224"/>
      <c r="CQ4" s="224"/>
      <c r="CR4" s="224"/>
      <c r="CS4" s="224"/>
      <c r="CT4" s="224"/>
      <c r="CU4" s="224"/>
      <c r="CV4" s="224"/>
      <c r="CW4" s="224"/>
      <c r="CX4" s="224"/>
      <c r="CY4" s="224"/>
      <c r="CZ4" s="224"/>
      <c r="DA4" s="224"/>
      <c r="DB4" s="224"/>
      <c r="DC4" s="224"/>
      <c r="DD4" s="224"/>
      <c r="DE4" s="224"/>
      <c r="DF4" s="224"/>
      <c r="DG4" s="224"/>
      <c r="DH4" s="224"/>
      <c r="DI4" s="224"/>
      <c r="DJ4" s="224"/>
      <c r="DK4" s="224"/>
      <c r="DL4" s="224"/>
      <c r="DM4" s="224"/>
      <c r="DN4" s="224"/>
      <c r="DO4" s="224"/>
      <c r="DP4" s="224"/>
      <c r="DQ4" s="224"/>
      <c r="DR4" s="224"/>
      <c r="DS4" s="224"/>
      <c r="DT4" s="224"/>
      <c r="DU4" s="224"/>
      <c r="DV4" s="224"/>
      <c r="DW4" s="224"/>
      <c r="DX4" s="224"/>
      <c r="DY4" s="224"/>
      <c r="DZ4" s="224"/>
      <c r="EA4" s="224"/>
      <c r="EB4" s="224"/>
      <c r="EC4" s="224"/>
      <c r="ED4" s="224"/>
      <c r="EE4" s="224"/>
      <c r="EF4" s="224"/>
      <c r="EG4" s="224"/>
      <c r="EH4" s="224"/>
      <c r="EI4" s="224"/>
      <c r="EJ4" s="224"/>
      <c r="EK4" s="224"/>
      <c r="EL4" s="224"/>
      <c r="EM4" s="224"/>
      <c r="EN4" s="224"/>
      <c r="EO4" s="224"/>
      <c r="EP4" s="224"/>
      <c r="EQ4" s="224"/>
      <c r="ER4" s="224"/>
      <c r="ES4" s="224"/>
      <c r="ET4" s="224"/>
      <c r="EU4" s="224"/>
      <c r="EV4" s="224"/>
      <c r="EW4" s="224"/>
      <c r="EX4" s="224"/>
      <c r="EY4" s="224"/>
      <c r="EZ4" s="224"/>
      <c r="FA4" s="224"/>
      <c r="FB4" s="224"/>
      <c r="FC4" s="224"/>
      <c r="FD4" s="224"/>
      <c r="FE4" s="224"/>
      <c r="FF4" s="224"/>
      <c r="FG4" s="224"/>
      <c r="FH4" s="224"/>
      <c r="FI4" s="224"/>
      <c r="FJ4" s="224"/>
      <c r="FK4" s="224"/>
      <c r="FL4" s="224"/>
      <c r="FM4" s="224"/>
      <c r="FN4" s="224"/>
      <c r="FO4" s="224"/>
      <c r="FP4" s="224"/>
      <c r="FQ4" s="224"/>
      <c r="FR4" s="224"/>
      <c r="FS4" s="224"/>
      <c r="FT4" s="224"/>
      <c r="FU4" s="224"/>
      <c r="FV4" s="224"/>
      <c r="FW4" s="224"/>
      <c r="FX4" s="224"/>
      <c r="FY4" s="224"/>
      <c r="FZ4" s="224"/>
      <c r="GA4" s="224"/>
      <c r="GB4" s="224"/>
      <c r="GC4" s="224"/>
      <c r="GD4" s="224"/>
      <c r="GE4" s="224"/>
      <c r="GF4" s="224"/>
      <c r="GG4" s="224"/>
      <c r="GH4" s="224"/>
      <c r="GI4" s="224"/>
      <c r="GJ4" s="224"/>
      <c r="GK4" s="224"/>
      <c r="GL4" s="224"/>
      <c r="GM4" s="224"/>
      <c r="GN4" s="224"/>
      <c r="GO4" s="224"/>
      <c r="GP4" s="224"/>
      <c r="GQ4" s="224"/>
      <c r="GR4" s="224"/>
      <c r="GS4" s="224"/>
    </row>
    <row r="5" spans="1:201" x14ac:dyDescent="0.2">
      <c r="A5" s="12" t="s">
        <v>18</v>
      </c>
      <c r="B5" s="13" t="str">
        <f>CONCATENATE(" 1-",Resumo!B2)</f>
        <v xml:space="preserve"> 1-</v>
      </c>
      <c r="C5" s="13" t="str">
        <f>CONCATENATE(" 2-",Resumo!B7)</f>
        <v xml:space="preserve"> 2-</v>
      </c>
      <c r="D5" s="13" t="str">
        <f>CONCATENATE(" 3-",Resumo!B12)</f>
        <v xml:space="preserve"> 3-</v>
      </c>
      <c r="E5" s="13" t="str">
        <f>CONCATENATE(" 4-",Resumo!B17)</f>
        <v xml:space="preserve"> 4-</v>
      </c>
      <c r="F5" s="13" t="str">
        <f>CONCATENATE(" 5-",Resumo!B22)</f>
        <v xml:space="preserve"> 5-</v>
      </c>
      <c r="G5" s="13" t="str">
        <f>CONCATENATE(" 6-",Resumo!B27)</f>
        <v xml:space="preserve"> 6-</v>
      </c>
      <c r="H5" s="13" t="str">
        <f>CONCATENATE(" 7-",Resumo!B32)</f>
        <v xml:space="preserve"> 7-</v>
      </c>
      <c r="I5" s="13" t="str">
        <f>CONCATENATE(" 8-",Resumo!B37)</f>
        <v xml:space="preserve"> 8-</v>
      </c>
      <c r="J5" s="13" t="str">
        <f>CONCATENATE(" 9-",Resumo!B42)</f>
        <v xml:space="preserve"> 9-</v>
      </c>
      <c r="K5" s="13" t="str">
        <f>CONCATENATE(" 10-",Resumo!B47)</f>
        <v xml:space="preserve"> 10-</v>
      </c>
      <c r="L5" s="13" t="str">
        <f>CONCATENATE("11-",Resumo!B52)</f>
        <v>11-</v>
      </c>
      <c r="M5" s="13" t="str">
        <f>CONCATENATE(" 12-",Resumo!B57)</f>
        <v xml:space="preserve"> 12-</v>
      </c>
      <c r="N5" s="13" t="str">
        <f>CONCATENATE(" 13-",Resumo!B62)</f>
        <v xml:space="preserve"> 13-</v>
      </c>
      <c r="O5" s="13" t="str">
        <f>CONCATENATE(" 14-",Resumo!B67)</f>
        <v xml:space="preserve"> 14-</v>
      </c>
      <c r="P5" s="13" t="str">
        <f>CONCATENATE(" 15-",Resumo!B72)</f>
        <v xml:space="preserve"> 15-</v>
      </c>
      <c r="Q5" s="13" t="str">
        <f>CONCATENATE(" 16-",Resumo!B77)</f>
        <v xml:space="preserve"> 16-</v>
      </c>
      <c r="R5" s="13" t="str">
        <f>CONCATENATE(" 17-",Resumo!B82)</f>
        <v xml:space="preserve"> 17-</v>
      </c>
      <c r="S5" s="13" t="str">
        <f>CONCATENATE(" 18-",Resumo!B87)</f>
        <v xml:space="preserve"> 18-</v>
      </c>
      <c r="T5" s="13" t="str">
        <f>CONCATENATE(" 19-",Resumo!B92)</f>
        <v xml:space="preserve"> 19-</v>
      </c>
      <c r="U5" s="13" t="str">
        <f>CONCATENATE(" 20-",Resumo!B97)</f>
        <v xml:space="preserve"> 20-</v>
      </c>
      <c r="V5" s="13" t="str">
        <f>CONCATENATE(" 21-",Resumo!B102)</f>
        <v xml:space="preserve"> 21-</v>
      </c>
      <c r="W5" s="13" t="str">
        <f>CONCATENATE(" 22-",Resumo!B107)</f>
        <v xml:space="preserve"> 22-</v>
      </c>
      <c r="X5" s="13" t="str">
        <f>CONCATENATE(" 23-",Resumo!B112)</f>
        <v xml:space="preserve"> 23-</v>
      </c>
      <c r="Y5" s="13" t="str">
        <f>CONCATENATE(" 24-",Resumo!B117)</f>
        <v xml:space="preserve"> 24-</v>
      </c>
      <c r="Z5" s="13" t="str">
        <f>CONCATENATE(" 25-",Resumo!B122)</f>
        <v xml:space="preserve"> 25-</v>
      </c>
      <c r="AA5" s="13" t="str">
        <f>CONCATENATE(" 26-",Resumo!B127)</f>
        <v xml:space="preserve"> 26-</v>
      </c>
      <c r="AB5" s="13" t="str">
        <f>CONCATENATE(" 27-",Resumo!B132)</f>
        <v xml:space="preserve"> 27-</v>
      </c>
      <c r="AC5" s="13" t="str">
        <f>CONCATENATE(" 28-",Resumo!B137)</f>
        <v xml:space="preserve"> 28-</v>
      </c>
      <c r="AD5" s="13" t="str">
        <f>CONCATENATE(" 29-",Resumo!B142)</f>
        <v xml:space="preserve"> 29-</v>
      </c>
      <c r="AE5" s="13" t="str">
        <f>CONCATENATE(" 30-",Resumo!B147)</f>
        <v xml:space="preserve"> 30-</v>
      </c>
      <c r="AF5" s="13" t="str">
        <f>CONCATENATE(" 31-",Resumo!B152)</f>
        <v xml:space="preserve"> 31-</v>
      </c>
      <c r="AG5" s="13" t="str">
        <f>CONCATENATE(" 32-",Resumo!B157)</f>
        <v xml:space="preserve"> 32-</v>
      </c>
      <c r="AH5" s="13" t="str">
        <f>CONCATENATE(" 33-",Resumo!B162)</f>
        <v xml:space="preserve"> 33-</v>
      </c>
      <c r="AI5" s="13" t="str">
        <f>CONCATENATE(" 34-",Resumo!B167)</f>
        <v xml:space="preserve"> 34-</v>
      </c>
      <c r="AJ5" s="13" t="str">
        <f>CONCATENATE(" 35-",Resumo!B172)</f>
        <v xml:space="preserve"> 35-</v>
      </c>
      <c r="AK5" s="13" t="str">
        <f>CONCATENATE(" 36-",Resumo!B177)</f>
        <v xml:space="preserve"> 36-</v>
      </c>
      <c r="AL5" s="13" t="str">
        <f>CONCATENATE(" 37-",Resumo!B182)</f>
        <v xml:space="preserve"> 37-</v>
      </c>
      <c r="AM5" s="13" t="str">
        <f>CONCATENATE(" 38-",Resumo!B187)</f>
        <v xml:space="preserve"> 38-</v>
      </c>
      <c r="AN5" s="13" t="str">
        <f>CONCATENATE(" 39-",Resumo!B192)</f>
        <v xml:space="preserve"> 39-</v>
      </c>
      <c r="AO5" s="13" t="str">
        <f>CONCATENATE(" 40-",Resumo!B197)</f>
        <v xml:space="preserve"> 40-</v>
      </c>
      <c r="AP5" s="13" t="str">
        <f>CONCATENATE(" 41-",Resumo!B202)</f>
        <v xml:space="preserve"> 41-</v>
      </c>
      <c r="AQ5" s="13" t="str">
        <f>CONCATENATE(" 42-",Resumo!B207)</f>
        <v xml:space="preserve"> 42-</v>
      </c>
      <c r="AR5" s="13" t="str">
        <f>CONCATENATE(" 43-",Resumo!B212)</f>
        <v xml:space="preserve"> 43-</v>
      </c>
      <c r="AS5" s="13" t="str">
        <f>CONCATENATE(" 44-",Resumo!B217)</f>
        <v xml:space="preserve"> 44-</v>
      </c>
      <c r="AT5" s="13" t="str">
        <f>CONCATENATE(" 45-",Resumo!B222)</f>
        <v xml:space="preserve"> 45-</v>
      </c>
      <c r="AU5" s="13" t="str">
        <f>CONCATENATE(" 46-",Resumo!B227)</f>
        <v xml:space="preserve"> 46-</v>
      </c>
      <c r="AV5" s="13" t="str">
        <f>CONCATENATE(" 47-",Resumo!B232)</f>
        <v xml:space="preserve"> 47-</v>
      </c>
      <c r="AW5" s="13" t="str">
        <f>CONCATENATE(" 48-",Resumo!B237)</f>
        <v xml:space="preserve"> 48-</v>
      </c>
      <c r="AX5" s="13" t="str">
        <f>CONCATENATE(" 49-",Resumo!B242)</f>
        <v xml:space="preserve"> 49-</v>
      </c>
      <c r="AY5" s="13" t="str">
        <f>CONCATENATE(" 50-",Resumo!B247)</f>
        <v xml:space="preserve"> 50-</v>
      </c>
      <c r="AZ5" s="13" t="str">
        <f>CONCATENATE(" 51-",Resumo!B252)</f>
        <v xml:space="preserve"> 51-</v>
      </c>
      <c r="BA5" s="13" t="str">
        <f>CONCATENATE(" 52-",Resumo!B257)</f>
        <v xml:space="preserve"> 52-</v>
      </c>
      <c r="BB5" s="13" t="str">
        <f>CONCATENATE(" 53-",Resumo!B262)</f>
        <v xml:space="preserve"> 53-</v>
      </c>
      <c r="BC5" s="13" t="str">
        <f>CONCATENATE(" 54-",Resumo!B267)</f>
        <v xml:space="preserve"> 54-</v>
      </c>
      <c r="BD5" s="13" t="str">
        <f>CONCATENATE(" 55-",Resumo!B272)</f>
        <v xml:space="preserve"> 55-</v>
      </c>
      <c r="BE5" s="13" t="str">
        <f>CONCATENATE(" 56-",Resumo!B277)</f>
        <v xml:space="preserve"> 56-</v>
      </c>
      <c r="BF5" s="13" t="str">
        <f>CONCATENATE(" 57-",Resumo!B282)</f>
        <v xml:space="preserve"> 57-</v>
      </c>
      <c r="BG5" s="13" t="str">
        <f>CONCATENATE(" 58-",Resumo!B287)</f>
        <v xml:space="preserve"> 58-</v>
      </c>
      <c r="BH5" s="13" t="str">
        <f>CONCATENATE(" 59-",Resumo!B292)</f>
        <v xml:space="preserve"> 59-</v>
      </c>
      <c r="BI5" s="13" t="str">
        <f>CONCATENATE(" 60-",Resumo!B297)</f>
        <v xml:space="preserve"> 60-</v>
      </c>
      <c r="BJ5" s="13" t="str">
        <f>CONCATENATE(" 61-",Resumo!B302)</f>
        <v xml:space="preserve"> 61-</v>
      </c>
      <c r="BK5" s="13" t="str">
        <f>CONCATENATE(" 62-",Resumo!B307)</f>
        <v xml:space="preserve"> 62-</v>
      </c>
      <c r="BL5" s="13" t="str">
        <f>CONCATENATE(" 63-",Resumo!B312)</f>
        <v xml:space="preserve"> 63-</v>
      </c>
      <c r="BM5" s="13" t="str">
        <f>CONCATENATE(" 64-",Resumo!B317)</f>
        <v xml:space="preserve"> 64-</v>
      </c>
      <c r="BN5" s="13" t="str">
        <f>CONCATENATE(" 65-",Resumo!B322)</f>
        <v xml:space="preserve"> 65-</v>
      </c>
      <c r="BO5" s="13" t="str">
        <f>CONCATENATE(" 66-",Resumo!B327)</f>
        <v xml:space="preserve"> 66-</v>
      </c>
      <c r="BP5" s="13" t="str">
        <f>CONCATENATE(" 67-",Resumo!B332)</f>
        <v xml:space="preserve"> 67-</v>
      </c>
      <c r="BQ5" s="13" t="str">
        <f>CONCATENATE(" 68-",Resumo!B337)</f>
        <v xml:space="preserve"> 68-</v>
      </c>
      <c r="BR5" s="13" t="str">
        <f>CONCATENATE(" 69-",Resumo!B342)</f>
        <v xml:space="preserve"> 69-</v>
      </c>
      <c r="BS5" s="13" t="str">
        <f>CONCATENATE(" 70-",Resumo!B347)</f>
        <v xml:space="preserve"> 70-</v>
      </c>
      <c r="BT5" s="13" t="str">
        <f>CONCATENATE(" 71-",Resumo!B352)</f>
        <v xml:space="preserve"> 71-</v>
      </c>
      <c r="BU5" s="13" t="str">
        <f>CONCATENATE(" 72-",Resumo!B357)</f>
        <v xml:space="preserve"> 72-</v>
      </c>
      <c r="BV5" s="13" t="str">
        <f>CONCATENATE(" 73-",Resumo!B362)</f>
        <v xml:space="preserve"> 73-</v>
      </c>
      <c r="BW5" s="13" t="str">
        <f>CONCATENATE(" 74-",Resumo!B367)</f>
        <v xml:space="preserve"> 74-</v>
      </c>
      <c r="BX5" s="13" t="str">
        <f>CONCATENATE(" 75-",Resumo!B372)</f>
        <v xml:space="preserve"> 75-</v>
      </c>
      <c r="BY5" s="13" t="str">
        <f>CONCATENATE(" 76-",Resumo!B377)</f>
        <v xml:space="preserve"> 76-</v>
      </c>
      <c r="BZ5" s="13" t="str">
        <f>CONCATENATE(" 77-",Resumo!B382)</f>
        <v xml:space="preserve"> 77-</v>
      </c>
      <c r="CA5" s="13" t="str">
        <f>CONCATENATE(" 78-",Resumo!B387)</f>
        <v xml:space="preserve"> 78-</v>
      </c>
      <c r="CB5" s="13" t="str">
        <f>CONCATENATE(" 79-",Resumo!B392)</f>
        <v xml:space="preserve"> 79-</v>
      </c>
      <c r="CC5" s="13" t="str">
        <f>CONCATENATE(" 80-",Resumo!B397)</f>
        <v xml:space="preserve"> 80-</v>
      </c>
      <c r="CD5" s="13" t="str">
        <f>CONCATENATE(" 81-",Resumo!B402)</f>
        <v xml:space="preserve"> 81-</v>
      </c>
      <c r="CE5" s="13" t="str">
        <f>CONCATENATE(" 82-",Resumo!B407)</f>
        <v xml:space="preserve"> 82-</v>
      </c>
      <c r="CF5" s="13" t="str">
        <f>CONCATENATE(" 83-",Resumo!B412)</f>
        <v xml:space="preserve"> 83-</v>
      </c>
      <c r="CG5" s="13" t="str">
        <f>CONCATENATE(" 84-",Resumo!B417)</f>
        <v xml:space="preserve"> 84-</v>
      </c>
      <c r="CH5" s="13" t="str">
        <f>CONCATENATE(" 85-",Resumo!B422)</f>
        <v xml:space="preserve"> 85-</v>
      </c>
      <c r="CI5" s="13" t="str">
        <f>CONCATENATE(" 86-",Resumo!B427)</f>
        <v xml:space="preserve"> 86-</v>
      </c>
      <c r="CJ5" s="13" t="str">
        <f>CONCATENATE(" 87-",Resumo!B432)</f>
        <v xml:space="preserve"> 87-</v>
      </c>
      <c r="CK5" s="13" t="str">
        <f>CONCATENATE(" 88-",Resumo!B437)</f>
        <v xml:space="preserve"> 88-</v>
      </c>
      <c r="CL5" s="13" t="str">
        <f>CONCATENATE(" 89-",Resumo!B442)</f>
        <v xml:space="preserve"> 89-</v>
      </c>
      <c r="CM5" s="13" t="str">
        <f>CONCATENATE(" 90-",Resumo!B447)</f>
        <v xml:space="preserve"> 90-</v>
      </c>
      <c r="CN5" s="13" t="str">
        <f>CONCATENATE(" 91-",Resumo!B452)</f>
        <v xml:space="preserve"> 91-</v>
      </c>
      <c r="CO5" s="13" t="str">
        <f>CONCATENATE(" 92-",Resumo!B457)</f>
        <v xml:space="preserve"> 92-</v>
      </c>
      <c r="CP5" s="13" t="str">
        <f>CONCATENATE(" 93-",Resumo!B462)</f>
        <v xml:space="preserve"> 93-</v>
      </c>
      <c r="CQ5" s="13" t="str">
        <f>CONCATENATE(" 94-",Resumo!B467)</f>
        <v xml:space="preserve"> 94-</v>
      </c>
      <c r="CR5" s="13" t="str">
        <f>CONCATENATE(" 95-",Resumo!B472)</f>
        <v xml:space="preserve"> 95-</v>
      </c>
      <c r="CS5" s="13" t="str">
        <f>CONCATENATE(" 96-",Resumo!B477)</f>
        <v xml:space="preserve"> 96-</v>
      </c>
      <c r="CT5" s="13" t="str">
        <f>CONCATENATE(" 97-",Resumo!B482)</f>
        <v xml:space="preserve"> 97-</v>
      </c>
      <c r="CU5" s="13" t="str">
        <f>CONCATENATE(" 98-",Resumo!B487)</f>
        <v xml:space="preserve"> 98-</v>
      </c>
      <c r="CV5" s="13" t="str">
        <f>CONCATENATE(" 99-",Resumo!B492)</f>
        <v xml:space="preserve"> 99-</v>
      </c>
      <c r="CW5" s="13" t="str">
        <f>CONCATENATE(" 100-",Resumo!B497)</f>
        <v xml:space="preserve"> 100-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0</v>
      </c>
      <c r="C6" s="16">
        <f>Resumo!G7</f>
        <v>0</v>
      </c>
      <c r="D6" s="16">
        <f>Resumo!G12</f>
        <v>0</v>
      </c>
      <c r="E6" s="16">
        <f>Resumo!G17</f>
        <v>0</v>
      </c>
      <c r="F6" s="16">
        <f>Resumo!G22</f>
        <v>0</v>
      </c>
      <c r="G6" s="16">
        <f>Resumo!G27</f>
        <v>0</v>
      </c>
      <c r="H6" s="16">
        <f>Resumo!G32</f>
        <v>0</v>
      </c>
      <c r="I6" s="16">
        <f>Resumo!G37</f>
        <v>0</v>
      </c>
      <c r="J6" s="16">
        <f>Resumo!G42</f>
        <v>0</v>
      </c>
      <c r="K6" s="16">
        <f>Resumo!G47</f>
        <v>0</v>
      </c>
      <c r="L6" s="16">
        <f>Resumo!G52</f>
        <v>0</v>
      </c>
      <c r="M6" s="16">
        <f>Resumo!G57</f>
        <v>0</v>
      </c>
      <c r="N6" s="16">
        <f>Resumo!G62</f>
        <v>0</v>
      </c>
      <c r="O6" s="16">
        <f>Resumo!G67</f>
        <v>0</v>
      </c>
      <c r="P6" s="16">
        <f>Resumo!G72</f>
        <v>0</v>
      </c>
      <c r="Q6" s="16">
        <f>Resumo!G77</f>
        <v>0</v>
      </c>
      <c r="R6" s="16">
        <f>Resumo!G82</f>
        <v>0</v>
      </c>
      <c r="S6" s="16">
        <f>Resumo!G87</f>
        <v>0</v>
      </c>
      <c r="T6" s="16">
        <f>Resumo!G92</f>
        <v>0</v>
      </c>
      <c r="U6" s="16">
        <f>Resumo!G97</f>
        <v>0</v>
      </c>
      <c r="V6" s="16">
        <f>Resumo!G102</f>
        <v>0</v>
      </c>
      <c r="W6" s="16">
        <f>Resumo!G107</f>
        <v>0</v>
      </c>
      <c r="X6" s="16">
        <f>Resumo!G112</f>
        <v>0</v>
      </c>
      <c r="Y6" s="16">
        <f>Resumo!G117</f>
        <v>0</v>
      </c>
      <c r="Z6" s="16">
        <f>Resumo!G122</f>
        <v>0</v>
      </c>
      <c r="AA6" s="16">
        <f>Resumo!G127</f>
        <v>0</v>
      </c>
      <c r="AB6" s="16">
        <f>Resumo!G132</f>
        <v>0</v>
      </c>
      <c r="AC6" s="16">
        <f>Resumo!G137</f>
        <v>0</v>
      </c>
      <c r="AD6" s="16">
        <f>Resumo!G142</f>
        <v>0</v>
      </c>
      <c r="AE6" s="16">
        <f>Resumo!G147</f>
        <v>0</v>
      </c>
      <c r="AF6" s="16">
        <f>Resumo!G152</f>
        <v>0</v>
      </c>
      <c r="AG6" s="16">
        <f>Resumo!G157</f>
        <v>0</v>
      </c>
      <c r="AH6" s="16">
        <f>Resumo!G162</f>
        <v>0</v>
      </c>
      <c r="AI6" s="16">
        <f>Resumo!G167</f>
        <v>0</v>
      </c>
      <c r="AJ6" s="16">
        <f>Resumo!G172</f>
        <v>0</v>
      </c>
      <c r="AK6" s="16">
        <f>Resumo!G177</f>
        <v>0</v>
      </c>
      <c r="AL6" s="16">
        <f>Resumo!G182</f>
        <v>0</v>
      </c>
      <c r="AM6" s="16">
        <f>Resumo!G187</f>
        <v>0</v>
      </c>
      <c r="AN6" s="16">
        <f>Resumo!G192</f>
        <v>0</v>
      </c>
      <c r="AO6" s="16">
        <f>Resumo!G197</f>
        <v>0</v>
      </c>
      <c r="AP6" s="16">
        <f>Resumo!G202</f>
        <v>0</v>
      </c>
      <c r="AQ6" s="16">
        <f>Resumo!G207</f>
        <v>0</v>
      </c>
      <c r="AR6" s="16">
        <f>Resumo!G212</f>
        <v>0</v>
      </c>
      <c r="AS6" s="16">
        <f>Resumo!G217</f>
        <v>0</v>
      </c>
      <c r="AT6" s="16">
        <f>Resumo!G222</f>
        <v>0</v>
      </c>
      <c r="AU6" s="16">
        <f>Resumo!G227</f>
        <v>0</v>
      </c>
      <c r="AV6" s="16">
        <f>Resumo!G232</f>
        <v>0</v>
      </c>
      <c r="AW6" s="16">
        <f>Resumo!G237</f>
        <v>0</v>
      </c>
      <c r="AX6" s="16">
        <f>Resumo!G242</f>
        <v>0</v>
      </c>
      <c r="AY6" s="16">
        <f>Resumo!G247</f>
        <v>0</v>
      </c>
      <c r="AZ6" s="16">
        <f>Resumo!G252</f>
        <v>0</v>
      </c>
      <c r="BA6" s="16">
        <f>Resumo!G257</f>
        <v>0</v>
      </c>
      <c r="BB6" s="16">
        <f>Resumo!G262</f>
        <v>0</v>
      </c>
      <c r="BC6" s="16">
        <f>Resumo!G267</f>
        <v>0</v>
      </c>
      <c r="BD6" s="16">
        <f>Resumo!G272</f>
        <v>0</v>
      </c>
      <c r="BE6" s="16">
        <f>Resumo!G277</f>
        <v>0</v>
      </c>
      <c r="BF6" s="16">
        <f>Resumo!G282</f>
        <v>0</v>
      </c>
      <c r="BG6" s="16">
        <f>Resumo!G287</f>
        <v>0</v>
      </c>
      <c r="BH6" s="16">
        <f>Resumo!G292</f>
        <v>0</v>
      </c>
      <c r="BI6" s="16">
        <f>Resumo!G297</f>
        <v>0</v>
      </c>
      <c r="BJ6" s="16">
        <f>Resumo!G302</f>
        <v>0</v>
      </c>
      <c r="BK6" s="16">
        <f>Resumo!G307</f>
        <v>0</v>
      </c>
      <c r="BL6" s="16">
        <f>Resumo!G312</f>
        <v>0</v>
      </c>
      <c r="BM6" s="16">
        <f>Resumo!G317</f>
        <v>0</v>
      </c>
      <c r="BN6" s="16">
        <f>Resumo!G322</f>
        <v>0</v>
      </c>
      <c r="BO6" s="16">
        <f>Resumo!G327</f>
        <v>0</v>
      </c>
      <c r="BP6" s="16">
        <f>Resumo!G332</f>
        <v>0</v>
      </c>
      <c r="BQ6" s="16">
        <f>Resumo!G337</f>
        <v>0</v>
      </c>
      <c r="BR6" s="16">
        <f>Resumo!G342</f>
        <v>0</v>
      </c>
      <c r="BS6" s="16">
        <f>Resumo!G347</f>
        <v>0</v>
      </c>
      <c r="BT6" s="16">
        <f>Resumo!G352</f>
        <v>0</v>
      </c>
      <c r="BU6" s="16">
        <f>Resumo!G357</f>
        <v>0</v>
      </c>
      <c r="BV6" s="16">
        <f>Resumo!G362</f>
        <v>0</v>
      </c>
      <c r="BW6" s="16">
        <f>Resumo!G367</f>
        <v>0</v>
      </c>
      <c r="BX6" s="16">
        <f>Resumo!G372</f>
        <v>0</v>
      </c>
      <c r="BY6" s="16">
        <f>Resumo!G377</f>
        <v>0</v>
      </c>
      <c r="BZ6" s="16">
        <f>Resumo!G382</f>
        <v>0</v>
      </c>
      <c r="CA6" s="16">
        <f>Resumo!G387</f>
        <v>0</v>
      </c>
      <c r="CB6" s="16">
        <f>Resumo!G392</f>
        <v>0</v>
      </c>
      <c r="CC6" s="16">
        <f>Resumo!G397</f>
        <v>0</v>
      </c>
      <c r="CD6" s="16">
        <f>Resumo!G402</f>
        <v>0</v>
      </c>
      <c r="CE6" s="16">
        <f>Resumo!G407</f>
        <v>0</v>
      </c>
      <c r="CF6" s="16">
        <f>Resumo!G412</f>
        <v>0</v>
      </c>
      <c r="CG6" s="16">
        <f>Resumo!G417</f>
        <v>0</v>
      </c>
      <c r="CH6" s="16">
        <f>Resumo!G422</f>
        <v>0</v>
      </c>
      <c r="CI6" s="16">
        <f>Resumo!G427</f>
        <v>0</v>
      </c>
      <c r="CJ6" s="16">
        <f>Resumo!G432</f>
        <v>0</v>
      </c>
      <c r="CK6" s="16">
        <f>Resumo!G437</f>
        <v>0</v>
      </c>
      <c r="CL6" s="16">
        <f>Resumo!G442</f>
        <v>0</v>
      </c>
      <c r="CM6" s="16">
        <f>Resumo!G447</f>
        <v>0</v>
      </c>
      <c r="CN6" s="16">
        <f>Resumo!G452</f>
        <v>0</v>
      </c>
      <c r="CO6" s="16">
        <f>Resumo!G457</f>
        <v>0</v>
      </c>
      <c r="CP6" s="16">
        <f>Resumo!G462</f>
        <v>0</v>
      </c>
      <c r="CQ6" s="16">
        <f>Resumo!G467</f>
        <v>0</v>
      </c>
      <c r="CR6" s="16">
        <f>Resumo!G472</f>
        <v>0</v>
      </c>
      <c r="CS6" s="16">
        <f>Resumo!G477</f>
        <v>0</v>
      </c>
      <c r="CT6" s="16">
        <f>Resumo!G482</f>
        <v>0</v>
      </c>
      <c r="CU6" s="16">
        <f>Resumo!G487</f>
        <v>0</v>
      </c>
      <c r="CV6" s="16">
        <f>Resumo!G492</f>
        <v>0</v>
      </c>
      <c r="CW6" s="16">
        <f>Resumo!G497</f>
        <v>0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0</v>
      </c>
      <c r="C7" s="16">
        <f>Resumo!G8</f>
        <v>0</v>
      </c>
      <c r="D7" s="16">
        <f>Resumo!G13</f>
        <v>0</v>
      </c>
      <c r="E7" s="16">
        <f>Resumo!G18</f>
        <v>0</v>
      </c>
      <c r="F7" s="16">
        <f>Resumo!G23</f>
        <v>0</v>
      </c>
      <c r="G7" s="16">
        <f>Resumo!G28</f>
        <v>0</v>
      </c>
      <c r="H7" s="16">
        <f>Resumo!G33</f>
        <v>0</v>
      </c>
      <c r="I7" s="16">
        <f>Resumo!G38</f>
        <v>0</v>
      </c>
      <c r="J7" s="16">
        <f>Resumo!G43</f>
        <v>0</v>
      </c>
      <c r="K7" s="16">
        <f>Resumo!G48</f>
        <v>0</v>
      </c>
      <c r="L7" s="16">
        <f>Resumo!G53</f>
        <v>0</v>
      </c>
      <c r="M7" s="16">
        <f>Resumo!G58</f>
        <v>0</v>
      </c>
      <c r="N7" s="16">
        <f>Resumo!G63</f>
        <v>0</v>
      </c>
      <c r="O7" s="16">
        <f>Resumo!G68</f>
        <v>0</v>
      </c>
      <c r="P7" s="16">
        <f>Resumo!G73</f>
        <v>0</v>
      </c>
      <c r="Q7" s="16">
        <f>Resumo!G78</f>
        <v>0</v>
      </c>
      <c r="R7" s="16">
        <f>Resumo!G83</f>
        <v>0</v>
      </c>
      <c r="S7" s="16">
        <f>Resumo!G88</f>
        <v>0</v>
      </c>
      <c r="T7" s="16">
        <f>Resumo!G93</f>
        <v>0</v>
      </c>
      <c r="U7" s="16">
        <f>Resumo!G98</f>
        <v>0</v>
      </c>
      <c r="V7" s="16">
        <f>Resumo!G103</f>
        <v>0</v>
      </c>
      <c r="W7" s="16">
        <f>Resumo!G108</f>
        <v>0</v>
      </c>
      <c r="X7" s="16">
        <f>Resumo!G113</f>
        <v>0</v>
      </c>
      <c r="Y7" s="16">
        <f>Resumo!G118</f>
        <v>0</v>
      </c>
      <c r="Z7" s="16">
        <f>Resumo!G123</f>
        <v>0</v>
      </c>
      <c r="AA7" s="16">
        <f>Resumo!G128</f>
        <v>0</v>
      </c>
      <c r="AB7" s="16">
        <f>Resumo!G133</f>
        <v>0</v>
      </c>
      <c r="AC7" s="16">
        <f>Resumo!G138</f>
        <v>0</v>
      </c>
      <c r="AD7" s="16">
        <f>Resumo!G143</f>
        <v>0</v>
      </c>
      <c r="AE7" s="16">
        <f>Resumo!G148</f>
        <v>0</v>
      </c>
      <c r="AF7" s="16">
        <f>Resumo!G153</f>
        <v>0</v>
      </c>
      <c r="AG7" s="16">
        <f>Resumo!G158</f>
        <v>0</v>
      </c>
      <c r="AH7" s="16">
        <f>Resumo!G163</f>
        <v>0</v>
      </c>
      <c r="AI7" s="16">
        <f>Resumo!G168</f>
        <v>0</v>
      </c>
      <c r="AJ7" s="16">
        <f>Resumo!G173</f>
        <v>0</v>
      </c>
      <c r="AK7" s="16">
        <f>Resumo!G178</f>
        <v>0</v>
      </c>
      <c r="AL7" s="16">
        <f>Resumo!G183</f>
        <v>0</v>
      </c>
      <c r="AM7" s="16">
        <f>Resumo!G188</f>
        <v>0</v>
      </c>
      <c r="AN7" s="16">
        <f>Resumo!G193</f>
        <v>0</v>
      </c>
      <c r="AO7" s="16">
        <f>Resumo!G198</f>
        <v>0</v>
      </c>
      <c r="AP7" s="16">
        <f>Resumo!G203</f>
        <v>0</v>
      </c>
      <c r="AQ7" s="16">
        <f>Resumo!G208</f>
        <v>0</v>
      </c>
      <c r="AR7" s="16">
        <f>Resumo!G213</f>
        <v>0</v>
      </c>
      <c r="AS7" s="16">
        <f>Resumo!G218</f>
        <v>0</v>
      </c>
      <c r="AT7" s="16">
        <f>Resumo!G223</f>
        <v>0</v>
      </c>
      <c r="AU7" s="16">
        <f>Resumo!G228</f>
        <v>0</v>
      </c>
      <c r="AV7" s="16">
        <f>Resumo!G233</f>
        <v>0</v>
      </c>
      <c r="AW7" s="16">
        <f>Resumo!G238</f>
        <v>0</v>
      </c>
      <c r="AX7" s="16">
        <f>Resumo!G243</f>
        <v>0</v>
      </c>
      <c r="AY7" s="16">
        <f>Resumo!G248</f>
        <v>0</v>
      </c>
      <c r="AZ7" s="16">
        <f>Resumo!G253</f>
        <v>0</v>
      </c>
      <c r="BA7" s="16">
        <f>Resumo!G258</f>
        <v>0</v>
      </c>
      <c r="BB7" s="16">
        <f>Resumo!G263</f>
        <v>0</v>
      </c>
      <c r="BC7" s="16">
        <f>Resumo!G268</f>
        <v>0</v>
      </c>
      <c r="BD7" s="16">
        <f>Resumo!G273</f>
        <v>0</v>
      </c>
      <c r="BE7" s="16">
        <f>Resumo!G278</f>
        <v>0</v>
      </c>
      <c r="BF7" s="16">
        <f>Resumo!G283</f>
        <v>0</v>
      </c>
      <c r="BG7" s="16">
        <f>Resumo!G288</f>
        <v>0</v>
      </c>
      <c r="BH7" s="16">
        <f>Resumo!G293</f>
        <v>0</v>
      </c>
      <c r="BI7" s="16">
        <f>Resumo!G298</f>
        <v>0</v>
      </c>
      <c r="BJ7" s="16">
        <f>Resumo!G303</f>
        <v>0</v>
      </c>
      <c r="BK7" s="16">
        <f>Resumo!G308</f>
        <v>0</v>
      </c>
      <c r="BL7" s="16">
        <f>Resumo!G313</f>
        <v>0</v>
      </c>
      <c r="BM7" s="16">
        <f>Resumo!G318</f>
        <v>0</v>
      </c>
      <c r="BN7" s="16">
        <f>Resumo!G323</f>
        <v>0</v>
      </c>
      <c r="BO7" s="16">
        <f>Resumo!G328</f>
        <v>0</v>
      </c>
      <c r="BP7" s="16">
        <f>Resumo!G333</f>
        <v>0</v>
      </c>
      <c r="BQ7" s="16">
        <f>Resumo!G338</f>
        <v>0</v>
      </c>
      <c r="BR7" s="16">
        <f>Resumo!G343</f>
        <v>0</v>
      </c>
      <c r="BS7" s="16">
        <f>Resumo!G348</f>
        <v>0</v>
      </c>
      <c r="BT7" s="16">
        <f>Resumo!G353</f>
        <v>0</v>
      </c>
      <c r="BU7" s="16">
        <f>Resumo!G358</f>
        <v>0</v>
      </c>
      <c r="BV7" s="16">
        <f>Resumo!G363</f>
        <v>0</v>
      </c>
      <c r="BW7" s="16">
        <f>Resumo!G368</f>
        <v>0</v>
      </c>
      <c r="BX7" s="16">
        <f>Resumo!G373</f>
        <v>0</v>
      </c>
      <c r="BY7" s="16">
        <f>Resumo!G378</f>
        <v>0</v>
      </c>
      <c r="BZ7" s="16">
        <f>Resumo!G383</f>
        <v>0</v>
      </c>
      <c r="CA7" s="16">
        <f>Resumo!G388</f>
        <v>0</v>
      </c>
      <c r="CB7" s="16">
        <f>Resumo!G393</f>
        <v>0</v>
      </c>
      <c r="CC7" s="16">
        <f>Resumo!G398</f>
        <v>0</v>
      </c>
      <c r="CD7" s="16">
        <f>Resumo!G403</f>
        <v>0</v>
      </c>
      <c r="CE7" s="16">
        <f>Resumo!G408</f>
        <v>0</v>
      </c>
      <c r="CF7" s="16">
        <f>Resumo!G413</f>
        <v>0</v>
      </c>
      <c r="CG7" s="16">
        <f>Resumo!G418</f>
        <v>0</v>
      </c>
      <c r="CH7" s="16">
        <f>Resumo!G423</f>
        <v>0</v>
      </c>
      <c r="CI7" s="16">
        <f>Resumo!G428</f>
        <v>0</v>
      </c>
      <c r="CJ7" s="16">
        <f>Resumo!G433</f>
        <v>0</v>
      </c>
      <c r="CK7" s="16">
        <f>Resumo!G438</f>
        <v>0</v>
      </c>
      <c r="CL7" s="16">
        <f>Resumo!G443</f>
        <v>0</v>
      </c>
      <c r="CM7" s="16">
        <f>Resumo!G448</f>
        <v>0</v>
      </c>
      <c r="CN7" s="16">
        <f>Resumo!G453</f>
        <v>0</v>
      </c>
      <c r="CO7" s="16">
        <f>Resumo!G458</f>
        <v>0</v>
      </c>
      <c r="CP7" s="16">
        <f>Resumo!G463</f>
        <v>0</v>
      </c>
      <c r="CQ7" s="16">
        <f>Resumo!G468</f>
        <v>0</v>
      </c>
      <c r="CR7" s="16">
        <f>Resumo!G473</f>
        <v>0</v>
      </c>
      <c r="CS7" s="16">
        <f>Resumo!G478</f>
        <v>0</v>
      </c>
      <c r="CT7" s="16">
        <f>Resumo!G483</f>
        <v>0</v>
      </c>
      <c r="CU7" s="16">
        <f>Resumo!G488</f>
        <v>0</v>
      </c>
      <c r="CV7" s="16">
        <f>Resumo!G493</f>
        <v>0</v>
      </c>
      <c r="CW7" s="16">
        <f>Resumo!G498</f>
        <v>0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0</v>
      </c>
      <c r="C8" s="16">
        <f>Resumo!G9</f>
        <v>0</v>
      </c>
      <c r="D8" s="16">
        <f>Resumo!G14</f>
        <v>0</v>
      </c>
      <c r="E8" s="16">
        <f>Resumo!G19</f>
        <v>0</v>
      </c>
      <c r="F8" s="16">
        <f>Resumo!G24</f>
        <v>0</v>
      </c>
      <c r="G8" s="16">
        <f>Resumo!G29</f>
        <v>0</v>
      </c>
      <c r="H8" s="16">
        <f>Resumo!G34</f>
        <v>0</v>
      </c>
      <c r="I8" s="16">
        <f>Resumo!G39</f>
        <v>0</v>
      </c>
      <c r="J8" s="16">
        <f>Resumo!G44</f>
        <v>0</v>
      </c>
      <c r="K8" s="16">
        <f>Resumo!G49</f>
        <v>0</v>
      </c>
      <c r="L8" s="16">
        <f>Resumo!G54</f>
        <v>0</v>
      </c>
      <c r="M8" s="16">
        <f>Resumo!G59</f>
        <v>0</v>
      </c>
      <c r="N8" s="16">
        <f>Resumo!G64</f>
        <v>0</v>
      </c>
      <c r="O8" s="16">
        <f>Resumo!G69</f>
        <v>0</v>
      </c>
      <c r="P8" s="16">
        <f>Resumo!G74</f>
        <v>0</v>
      </c>
      <c r="Q8" s="16">
        <f>Resumo!G79</f>
        <v>0</v>
      </c>
      <c r="R8" s="16">
        <f>Resumo!G84</f>
        <v>0</v>
      </c>
      <c r="S8" s="16">
        <f>Resumo!G89</f>
        <v>0</v>
      </c>
      <c r="T8" s="16">
        <f>Resumo!G94</f>
        <v>0</v>
      </c>
      <c r="U8" s="16">
        <f>Resumo!G99</f>
        <v>0</v>
      </c>
      <c r="V8" s="16">
        <f>Resumo!G104</f>
        <v>0</v>
      </c>
      <c r="W8" s="16">
        <f>Resumo!G109</f>
        <v>0</v>
      </c>
      <c r="X8" s="16">
        <f>Resumo!G114</f>
        <v>0</v>
      </c>
      <c r="Y8" s="16">
        <f>Resumo!G119</f>
        <v>0</v>
      </c>
      <c r="Z8" s="16">
        <f>Resumo!G124</f>
        <v>0</v>
      </c>
      <c r="AA8" s="16">
        <f>Resumo!G129</f>
        <v>0</v>
      </c>
      <c r="AB8" s="16">
        <f>Resumo!G134</f>
        <v>0</v>
      </c>
      <c r="AC8" s="16">
        <f>Resumo!G139</f>
        <v>0</v>
      </c>
      <c r="AD8" s="16">
        <f>Resumo!G144</f>
        <v>0</v>
      </c>
      <c r="AE8" s="16">
        <f>Resumo!G149</f>
        <v>0</v>
      </c>
      <c r="AF8" s="16">
        <f>Resumo!G154</f>
        <v>0</v>
      </c>
      <c r="AG8" s="16">
        <f>Resumo!G159</f>
        <v>0</v>
      </c>
      <c r="AH8" s="16">
        <f>Resumo!G164</f>
        <v>0</v>
      </c>
      <c r="AI8" s="16">
        <f>Resumo!G169</f>
        <v>0</v>
      </c>
      <c r="AJ8" s="16">
        <f>Resumo!G174</f>
        <v>0</v>
      </c>
      <c r="AK8" s="16">
        <f>Resumo!G179</f>
        <v>0</v>
      </c>
      <c r="AL8" s="16">
        <f>Resumo!G184</f>
        <v>0</v>
      </c>
      <c r="AM8" s="16">
        <f>Resumo!G189</f>
        <v>0</v>
      </c>
      <c r="AN8" s="16">
        <f>Resumo!G194</f>
        <v>0</v>
      </c>
      <c r="AO8" s="16">
        <f>Resumo!G199</f>
        <v>0</v>
      </c>
      <c r="AP8" s="16">
        <f>Resumo!G204</f>
        <v>0</v>
      </c>
      <c r="AQ8" s="16">
        <f>Resumo!G209</f>
        <v>0</v>
      </c>
      <c r="AR8" s="16">
        <f>Resumo!G214</f>
        <v>0</v>
      </c>
      <c r="AS8" s="16">
        <f>Resumo!G219</f>
        <v>0</v>
      </c>
      <c r="AT8" s="16">
        <f>Resumo!G224</f>
        <v>0</v>
      </c>
      <c r="AU8" s="16">
        <f>Resumo!G229</f>
        <v>0</v>
      </c>
      <c r="AV8" s="16">
        <f>Resumo!G234</f>
        <v>0</v>
      </c>
      <c r="AW8" s="16">
        <f>Resumo!G239</f>
        <v>0</v>
      </c>
      <c r="AX8" s="16">
        <f>Resumo!G244</f>
        <v>0</v>
      </c>
      <c r="AY8" s="16">
        <f>Resumo!G249</f>
        <v>0</v>
      </c>
      <c r="AZ8" s="16">
        <f>Resumo!G254</f>
        <v>0</v>
      </c>
      <c r="BA8" s="16">
        <f>Resumo!G259</f>
        <v>0</v>
      </c>
      <c r="BB8" s="16">
        <f>Resumo!G264</f>
        <v>0</v>
      </c>
      <c r="BC8" s="16">
        <f>Resumo!G269</f>
        <v>0</v>
      </c>
      <c r="BD8" s="16">
        <f>Resumo!G274</f>
        <v>0</v>
      </c>
      <c r="BE8" s="16">
        <f>Resumo!G279</f>
        <v>0</v>
      </c>
      <c r="BF8" s="16">
        <f>Resumo!G284</f>
        <v>0</v>
      </c>
      <c r="BG8" s="16">
        <f>Resumo!G289</f>
        <v>0</v>
      </c>
      <c r="BH8" s="16">
        <f>Resumo!G294</f>
        <v>0</v>
      </c>
      <c r="BI8" s="16">
        <f>Resumo!G299</f>
        <v>0</v>
      </c>
      <c r="BJ8" s="16">
        <f>Resumo!G304</f>
        <v>0</v>
      </c>
      <c r="BK8" s="16">
        <f>Resumo!G309</f>
        <v>0</v>
      </c>
      <c r="BL8" s="16">
        <f>Resumo!G314</f>
        <v>0</v>
      </c>
      <c r="BM8" s="16">
        <f>Resumo!G319</f>
        <v>0</v>
      </c>
      <c r="BN8" s="16">
        <f>Resumo!G324</f>
        <v>0</v>
      </c>
      <c r="BO8" s="16">
        <f>Resumo!G329</f>
        <v>0</v>
      </c>
      <c r="BP8" s="16">
        <f>Resumo!G334</f>
        <v>0</v>
      </c>
      <c r="BQ8" s="16">
        <f>Resumo!G339</f>
        <v>0</v>
      </c>
      <c r="BR8" s="16">
        <f>Resumo!G344</f>
        <v>0</v>
      </c>
      <c r="BS8" s="16">
        <f>Resumo!G349</f>
        <v>0</v>
      </c>
      <c r="BT8" s="16">
        <f>Resumo!G354</f>
        <v>0</v>
      </c>
      <c r="BU8" s="16">
        <f>Resumo!G359</f>
        <v>0</v>
      </c>
      <c r="BV8" s="16">
        <f>Resumo!G364</f>
        <v>0</v>
      </c>
      <c r="BW8" s="16">
        <f>Resumo!G369</f>
        <v>0</v>
      </c>
      <c r="BX8" s="16">
        <f>Resumo!G374</f>
        <v>0</v>
      </c>
      <c r="BY8" s="16">
        <f>Resumo!G379</f>
        <v>0</v>
      </c>
      <c r="BZ8" s="16">
        <f>Resumo!G384</f>
        <v>0</v>
      </c>
      <c r="CA8" s="16">
        <f>Resumo!G389</f>
        <v>0</v>
      </c>
      <c r="CB8" s="16">
        <f>Resumo!G394</f>
        <v>0</v>
      </c>
      <c r="CC8" s="16">
        <f>Resumo!G399</f>
        <v>0</v>
      </c>
      <c r="CD8" s="16">
        <f>Resumo!G404</f>
        <v>0</v>
      </c>
      <c r="CE8" s="16">
        <f>Resumo!G409</f>
        <v>0</v>
      </c>
      <c r="CF8" s="16">
        <f>Resumo!G414</f>
        <v>0</v>
      </c>
      <c r="CG8" s="16">
        <f>Resumo!G419</f>
        <v>0</v>
      </c>
      <c r="CH8" s="16">
        <f>Resumo!G424</f>
        <v>0</v>
      </c>
      <c r="CI8" s="16">
        <f>Resumo!G429</f>
        <v>0</v>
      </c>
      <c r="CJ8" s="16">
        <f>Resumo!G434</f>
        <v>0</v>
      </c>
      <c r="CK8" s="16">
        <f>Resumo!G439</f>
        <v>0</v>
      </c>
      <c r="CL8" s="16">
        <f>Resumo!G444</f>
        <v>0</v>
      </c>
      <c r="CM8" s="16">
        <f>Resumo!G449</f>
        <v>0</v>
      </c>
      <c r="CN8" s="16">
        <f>Resumo!G454</f>
        <v>0</v>
      </c>
      <c r="CO8" s="16">
        <f>Resumo!G459</f>
        <v>0</v>
      </c>
      <c r="CP8" s="16">
        <f>Resumo!G464</f>
        <v>0</v>
      </c>
      <c r="CQ8" s="16">
        <f>Resumo!G469</f>
        <v>0</v>
      </c>
      <c r="CR8" s="16">
        <f>Resumo!G474</f>
        <v>0</v>
      </c>
      <c r="CS8" s="16">
        <f>Resumo!G479</f>
        <v>0</v>
      </c>
      <c r="CT8" s="16">
        <f>Resumo!G484</f>
        <v>0</v>
      </c>
      <c r="CU8" s="16">
        <f>Resumo!G489</f>
        <v>0</v>
      </c>
      <c r="CV8" s="16">
        <f>Resumo!G494</f>
        <v>0</v>
      </c>
      <c r="CW8" s="16">
        <f>Resumo!G499</f>
        <v>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0</v>
      </c>
      <c r="C9" s="20">
        <f>Resumo!G10</f>
        <v>0</v>
      </c>
      <c r="D9" s="20">
        <f>Resumo!G15</f>
        <v>0</v>
      </c>
      <c r="E9" s="20">
        <f>Resumo!G20</f>
        <v>0</v>
      </c>
      <c r="F9" s="20">
        <f>Resumo!G25</f>
        <v>0</v>
      </c>
      <c r="G9" s="20">
        <f>Resumo!G30</f>
        <v>0</v>
      </c>
      <c r="H9" s="20">
        <f>Resumo!G35</f>
        <v>0</v>
      </c>
      <c r="I9" s="20">
        <f>Resumo!G40</f>
        <v>0</v>
      </c>
      <c r="J9" s="20">
        <f>Resumo!G45</f>
        <v>0</v>
      </c>
      <c r="K9" s="20">
        <f>Resumo!G50</f>
        <v>0</v>
      </c>
      <c r="L9" s="20">
        <f>Resumo!G55</f>
        <v>0</v>
      </c>
      <c r="M9" s="20">
        <f>Resumo!G60</f>
        <v>0</v>
      </c>
      <c r="N9" s="20">
        <f>Resumo!G65</f>
        <v>0</v>
      </c>
      <c r="O9" s="20">
        <f>Resumo!G70</f>
        <v>0</v>
      </c>
      <c r="P9" s="20">
        <f>Resumo!G75</f>
        <v>0</v>
      </c>
      <c r="Q9" s="20">
        <f>Resumo!G80</f>
        <v>0</v>
      </c>
      <c r="R9" s="20">
        <f>Resumo!G85</f>
        <v>0</v>
      </c>
      <c r="S9" s="20">
        <f>Resumo!G90</f>
        <v>0</v>
      </c>
      <c r="T9" s="20">
        <f>Resumo!G95</f>
        <v>0</v>
      </c>
      <c r="U9" s="20">
        <f>Resumo!G100</f>
        <v>0</v>
      </c>
      <c r="V9" s="20">
        <f>Resumo!G105</f>
        <v>0</v>
      </c>
      <c r="W9" s="20">
        <f>Resumo!G110</f>
        <v>0</v>
      </c>
      <c r="X9" s="20">
        <f>Resumo!G115</f>
        <v>0</v>
      </c>
      <c r="Y9" s="20">
        <f>Resumo!G120</f>
        <v>0</v>
      </c>
      <c r="Z9" s="20">
        <f>Resumo!G125</f>
        <v>0</v>
      </c>
      <c r="AA9" s="20">
        <f>Resumo!G130</f>
        <v>0</v>
      </c>
      <c r="AB9" s="20">
        <f>Resumo!G135</f>
        <v>0</v>
      </c>
      <c r="AC9" s="20">
        <f>Resumo!G140</f>
        <v>0</v>
      </c>
      <c r="AD9" s="20">
        <f>Resumo!G145</f>
        <v>0</v>
      </c>
      <c r="AE9" s="20">
        <f>Resumo!G150</f>
        <v>0</v>
      </c>
      <c r="AF9" s="20">
        <f>Resumo!G155</f>
        <v>0</v>
      </c>
      <c r="AG9" s="20">
        <f>Resumo!G160</f>
        <v>0</v>
      </c>
      <c r="AH9" s="20">
        <f>Resumo!G165</f>
        <v>0</v>
      </c>
      <c r="AI9" s="20">
        <f>Resumo!G170</f>
        <v>0</v>
      </c>
      <c r="AJ9" s="20">
        <f>Resumo!G175</f>
        <v>0</v>
      </c>
      <c r="AK9" s="20">
        <f>Resumo!G180</f>
        <v>0</v>
      </c>
      <c r="AL9" s="20">
        <f>Resumo!G185</f>
        <v>0</v>
      </c>
      <c r="AM9" s="20">
        <f>Resumo!G190</f>
        <v>0</v>
      </c>
      <c r="AN9" s="20">
        <f>Resumo!G195</f>
        <v>0</v>
      </c>
      <c r="AO9" s="20">
        <f>Resumo!G200</f>
        <v>0</v>
      </c>
      <c r="AP9" s="20">
        <f>Resumo!G205</f>
        <v>0</v>
      </c>
      <c r="AQ9" s="20">
        <f>Resumo!G210</f>
        <v>0</v>
      </c>
      <c r="AR9" s="20">
        <f>Resumo!G215</f>
        <v>0</v>
      </c>
      <c r="AS9" s="20">
        <f>Resumo!G220</f>
        <v>0</v>
      </c>
      <c r="AT9" s="20">
        <f>Resumo!G225</f>
        <v>0</v>
      </c>
      <c r="AU9" s="20">
        <f>Resumo!G230</f>
        <v>0</v>
      </c>
      <c r="AV9" s="20">
        <f>Resumo!G235</f>
        <v>0</v>
      </c>
      <c r="AW9" s="20">
        <f>Resumo!G240</f>
        <v>0</v>
      </c>
      <c r="AX9" s="20">
        <f>Resumo!G245</f>
        <v>0</v>
      </c>
      <c r="AY9" s="20">
        <f>Resumo!G250</f>
        <v>0</v>
      </c>
      <c r="AZ9" s="20">
        <f>Resumo!G255</f>
        <v>0</v>
      </c>
      <c r="BA9" s="20">
        <f>Resumo!G260</f>
        <v>0</v>
      </c>
      <c r="BB9" s="20">
        <f>Resumo!G265</f>
        <v>0</v>
      </c>
      <c r="BC9" s="20">
        <f>Resumo!G270</f>
        <v>0</v>
      </c>
      <c r="BD9" s="20">
        <f>Resumo!G275</f>
        <v>0</v>
      </c>
      <c r="BE9" s="20">
        <f>Resumo!G280</f>
        <v>0</v>
      </c>
      <c r="BF9" s="20">
        <f>Resumo!G285</f>
        <v>0</v>
      </c>
      <c r="BG9" s="20">
        <f>Resumo!G290</f>
        <v>0</v>
      </c>
      <c r="BH9" s="20">
        <f>Resumo!G295</f>
        <v>0</v>
      </c>
      <c r="BI9" s="20">
        <f>Resumo!G300</f>
        <v>0</v>
      </c>
      <c r="BJ9" s="20">
        <f>Resumo!G305</f>
        <v>0</v>
      </c>
      <c r="BK9" s="20">
        <f>Resumo!G310</f>
        <v>0</v>
      </c>
      <c r="BL9" s="20">
        <f>Resumo!G315</f>
        <v>0</v>
      </c>
      <c r="BM9" s="20">
        <f>Resumo!G320</f>
        <v>0</v>
      </c>
      <c r="BN9" s="20">
        <f>Resumo!G325</f>
        <v>0</v>
      </c>
      <c r="BO9" s="20">
        <f>Resumo!G330</f>
        <v>0</v>
      </c>
      <c r="BP9" s="20">
        <f>Resumo!G335</f>
        <v>0</v>
      </c>
      <c r="BQ9" s="20">
        <f>Resumo!G340</f>
        <v>0</v>
      </c>
      <c r="BR9" s="20">
        <f>Resumo!G345</f>
        <v>0</v>
      </c>
      <c r="BS9" s="20">
        <f>Resumo!G350</f>
        <v>0</v>
      </c>
      <c r="BT9" s="20">
        <f>Resumo!G355</f>
        <v>0</v>
      </c>
      <c r="BU9" s="20">
        <f>Resumo!G360</f>
        <v>0</v>
      </c>
      <c r="BV9" s="20">
        <f>Resumo!G365</f>
        <v>0</v>
      </c>
      <c r="BW9" s="20">
        <f>Resumo!G370</f>
        <v>0</v>
      </c>
      <c r="BX9" s="20">
        <f>Resumo!G375</f>
        <v>0</v>
      </c>
      <c r="BY9" s="20">
        <f>Resumo!G380</f>
        <v>0</v>
      </c>
      <c r="BZ9" s="20">
        <f>Resumo!G385</f>
        <v>0</v>
      </c>
      <c r="CA9" s="20">
        <f>Resumo!G390</f>
        <v>0</v>
      </c>
      <c r="CB9" s="20">
        <f>Resumo!G395</f>
        <v>0</v>
      </c>
      <c r="CC9" s="20">
        <f>Resumo!G400</f>
        <v>0</v>
      </c>
      <c r="CD9" s="20">
        <f>Resumo!G405</f>
        <v>0</v>
      </c>
      <c r="CE9" s="20">
        <f>Resumo!G410</f>
        <v>0</v>
      </c>
      <c r="CF9" s="20">
        <f>Resumo!G415</f>
        <v>0</v>
      </c>
      <c r="CG9" s="20">
        <f>Resumo!G420</f>
        <v>0</v>
      </c>
      <c r="CH9" s="20">
        <f>Resumo!G425</f>
        <v>0</v>
      </c>
      <c r="CI9" s="20">
        <f>Resumo!G430</f>
        <v>0</v>
      </c>
      <c r="CJ9" s="20">
        <f>Resumo!G435</f>
        <v>0</v>
      </c>
      <c r="CK9" s="20">
        <f>Resumo!G440</f>
        <v>0</v>
      </c>
      <c r="CL9" s="20">
        <f>Resumo!G445</f>
        <v>0</v>
      </c>
      <c r="CM9" s="20">
        <f>Resumo!G450</f>
        <v>0</v>
      </c>
      <c r="CN9" s="20">
        <f>Resumo!G455</f>
        <v>0</v>
      </c>
      <c r="CO9" s="20">
        <f>Resumo!G460</f>
        <v>0</v>
      </c>
      <c r="CP9" s="20">
        <f>Resumo!G465</f>
        <v>0</v>
      </c>
      <c r="CQ9" s="20">
        <f>Resumo!G470</f>
        <v>0</v>
      </c>
      <c r="CR9" s="20">
        <f>Resumo!G475</f>
        <v>0</v>
      </c>
      <c r="CS9" s="20">
        <f>Resumo!G480</f>
        <v>0</v>
      </c>
      <c r="CT9" s="20">
        <f>Resumo!G485</f>
        <v>0</v>
      </c>
      <c r="CU9" s="20">
        <f>Resumo!G490</f>
        <v>0</v>
      </c>
      <c r="CV9" s="20">
        <f>Resumo!G495</f>
        <v>0</v>
      </c>
      <c r="CW9" s="20">
        <f>Resumo!G500</f>
        <v>0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 t="e">
        <f t="shared" ref="B10:BM10" si="0">B20/B22</f>
        <v>#DIV/0!</v>
      </c>
      <c r="C10" s="23" t="e">
        <f t="shared" si="0"/>
        <v>#DIV/0!</v>
      </c>
      <c r="D10" s="23" t="e">
        <f t="shared" si="0"/>
        <v>#DIV/0!</v>
      </c>
      <c r="E10" s="23" t="e">
        <f t="shared" si="0"/>
        <v>#DIV/0!</v>
      </c>
      <c r="F10" s="23" t="e">
        <f t="shared" si="0"/>
        <v>#DIV/0!</v>
      </c>
      <c r="G10" s="23" t="e">
        <f t="shared" si="0"/>
        <v>#DIV/0!</v>
      </c>
      <c r="H10" s="23" t="e">
        <f t="shared" si="0"/>
        <v>#DIV/0!</v>
      </c>
      <c r="I10" s="23" t="e">
        <f t="shared" si="0"/>
        <v>#DIV/0!</v>
      </c>
      <c r="J10" s="23" t="e">
        <f t="shared" si="0"/>
        <v>#DIV/0!</v>
      </c>
      <c r="K10" s="23" t="e">
        <f t="shared" si="0"/>
        <v>#DIV/0!</v>
      </c>
      <c r="L10" s="23" t="e">
        <f t="shared" si="0"/>
        <v>#DIV/0!</v>
      </c>
      <c r="M10" s="23" t="e">
        <f t="shared" si="0"/>
        <v>#DIV/0!</v>
      </c>
      <c r="N10" s="23" t="e">
        <f t="shared" si="0"/>
        <v>#DIV/0!</v>
      </c>
      <c r="O10" s="23" t="e">
        <f t="shared" si="0"/>
        <v>#DIV/0!</v>
      </c>
      <c r="P10" s="23" t="e">
        <f t="shared" si="0"/>
        <v>#DIV/0!</v>
      </c>
      <c r="Q10" s="23" t="e">
        <f t="shared" si="0"/>
        <v>#DIV/0!</v>
      </c>
      <c r="R10" s="23" t="e">
        <f t="shared" si="0"/>
        <v>#DIV/0!</v>
      </c>
      <c r="S10" s="23" t="e">
        <f t="shared" si="0"/>
        <v>#DIV/0!</v>
      </c>
      <c r="T10" s="23" t="e">
        <f t="shared" si="0"/>
        <v>#DIV/0!</v>
      </c>
      <c r="U10" s="23" t="e">
        <f t="shared" si="0"/>
        <v>#DIV/0!</v>
      </c>
      <c r="V10" s="23" t="e">
        <f t="shared" si="0"/>
        <v>#DIV/0!</v>
      </c>
      <c r="W10" s="23" t="e">
        <f t="shared" si="0"/>
        <v>#DIV/0!</v>
      </c>
      <c r="X10" s="23" t="e">
        <f t="shared" si="0"/>
        <v>#DIV/0!</v>
      </c>
      <c r="Y10" s="23" t="e">
        <f t="shared" si="0"/>
        <v>#DIV/0!</v>
      </c>
      <c r="Z10" s="23" t="e">
        <f t="shared" si="0"/>
        <v>#DIV/0!</v>
      </c>
      <c r="AA10" s="23" t="e">
        <f t="shared" si="0"/>
        <v>#DIV/0!</v>
      </c>
      <c r="AB10" s="23" t="e">
        <f t="shared" si="0"/>
        <v>#DIV/0!</v>
      </c>
      <c r="AC10" s="23" t="e">
        <f t="shared" si="0"/>
        <v>#DIV/0!</v>
      </c>
      <c r="AD10" s="23" t="e">
        <f t="shared" si="0"/>
        <v>#DIV/0!</v>
      </c>
      <c r="AE10" s="23" t="e">
        <f t="shared" si="0"/>
        <v>#DIV/0!</v>
      </c>
      <c r="AF10" s="23" t="e">
        <f t="shared" si="0"/>
        <v>#DIV/0!</v>
      </c>
      <c r="AG10" s="23" t="e">
        <f t="shared" si="0"/>
        <v>#DIV/0!</v>
      </c>
      <c r="AH10" s="23" t="e">
        <f t="shared" si="0"/>
        <v>#DIV/0!</v>
      </c>
      <c r="AI10" s="23" t="e">
        <f t="shared" si="0"/>
        <v>#DIV/0!</v>
      </c>
      <c r="AJ10" s="23" t="e">
        <f t="shared" si="0"/>
        <v>#DIV/0!</v>
      </c>
      <c r="AK10" s="23" t="e">
        <f t="shared" si="0"/>
        <v>#DIV/0!</v>
      </c>
      <c r="AL10" s="23" t="e">
        <f t="shared" si="0"/>
        <v>#DIV/0!</v>
      </c>
      <c r="AM10" s="23" t="e">
        <f t="shared" si="0"/>
        <v>#DIV/0!</v>
      </c>
      <c r="AN10" s="23" t="e">
        <f t="shared" si="0"/>
        <v>#DIV/0!</v>
      </c>
      <c r="AO10" s="23" t="e">
        <f t="shared" si="0"/>
        <v>#DIV/0!</v>
      </c>
      <c r="AP10" s="23" t="e">
        <f t="shared" si="0"/>
        <v>#DIV/0!</v>
      </c>
      <c r="AQ10" s="23" t="e">
        <f t="shared" si="0"/>
        <v>#DIV/0!</v>
      </c>
      <c r="AR10" s="23" t="e">
        <f t="shared" si="0"/>
        <v>#DIV/0!</v>
      </c>
      <c r="AS10" s="23" t="e">
        <f t="shared" si="0"/>
        <v>#DIV/0!</v>
      </c>
      <c r="AT10" s="23" t="e">
        <f t="shared" si="0"/>
        <v>#DIV/0!</v>
      </c>
      <c r="AU10" s="23" t="e">
        <f t="shared" si="0"/>
        <v>#DIV/0!</v>
      </c>
      <c r="AV10" s="23" t="e">
        <f t="shared" si="0"/>
        <v>#DIV/0!</v>
      </c>
      <c r="AW10" s="23" t="e">
        <f t="shared" si="0"/>
        <v>#DIV/0!</v>
      </c>
      <c r="AX10" s="23" t="e">
        <f t="shared" si="0"/>
        <v>#DIV/0!</v>
      </c>
      <c r="AY10" s="23" t="e">
        <f t="shared" si="0"/>
        <v>#DIV/0!</v>
      </c>
      <c r="AZ10" s="23" t="e">
        <f t="shared" si="0"/>
        <v>#DIV/0!</v>
      </c>
      <c r="BA10" s="23" t="e">
        <f t="shared" si="0"/>
        <v>#DIV/0!</v>
      </c>
      <c r="BB10" s="23" t="e">
        <f t="shared" si="0"/>
        <v>#DIV/0!</v>
      </c>
      <c r="BC10" s="23" t="e">
        <f t="shared" si="0"/>
        <v>#DIV/0!</v>
      </c>
      <c r="BD10" s="23" t="e">
        <f t="shared" si="0"/>
        <v>#DIV/0!</v>
      </c>
      <c r="BE10" s="23" t="e">
        <f t="shared" si="0"/>
        <v>#DIV/0!</v>
      </c>
      <c r="BF10" s="23" t="e">
        <f t="shared" si="0"/>
        <v>#DIV/0!</v>
      </c>
      <c r="BG10" s="23" t="e">
        <f t="shared" si="0"/>
        <v>#DIV/0!</v>
      </c>
      <c r="BH10" s="23" t="e">
        <f t="shared" si="0"/>
        <v>#DIV/0!</v>
      </c>
      <c r="BI10" s="23" t="e">
        <f t="shared" si="0"/>
        <v>#DIV/0!</v>
      </c>
      <c r="BJ10" s="23" t="e">
        <f t="shared" si="0"/>
        <v>#DIV/0!</v>
      </c>
      <c r="BK10" s="23" t="e">
        <f t="shared" si="0"/>
        <v>#DIV/0!</v>
      </c>
      <c r="BL10" s="23" t="e">
        <f t="shared" si="0"/>
        <v>#DIV/0!</v>
      </c>
      <c r="BM10" s="23" t="e">
        <f t="shared" si="0"/>
        <v>#DIV/0!</v>
      </c>
      <c r="BN10" s="23" t="e">
        <f t="shared" ref="BN10:CW10" si="1">BN20/BN22</f>
        <v>#DIV/0!</v>
      </c>
      <c r="BO10" s="23" t="e">
        <f t="shared" si="1"/>
        <v>#DIV/0!</v>
      </c>
      <c r="BP10" s="23" t="e">
        <f t="shared" si="1"/>
        <v>#DIV/0!</v>
      </c>
      <c r="BQ10" s="23" t="e">
        <f t="shared" si="1"/>
        <v>#DIV/0!</v>
      </c>
      <c r="BR10" s="23" t="e">
        <f t="shared" si="1"/>
        <v>#DIV/0!</v>
      </c>
      <c r="BS10" s="23" t="e">
        <f t="shared" si="1"/>
        <v>#DIV/0!</v>
      </c>
      <c r="BT10" s="23" t="e">
        <f t="shared" si="1"/>
        <v>#DIV/0!</v>
      </c>
      <c r="BU10" s="23" t="e">
        <f t="shared" si="1"/>
        <v>#DIV/0!</v>
      </c>
      <c r="BV10" s="23" t="e">
        <f t="shared" si="1"/>
        <v>#DIV/0!</v>
      </c>
      <c r="BW10" s="23" t="e">
        <f t="shared" si="1"/>
        <v>#DIV/0!</v>
      </c>
      <c r="BX10" s="23" t="e">
        <f t="shared" si="1"/>
        <v>#DIV/0!</v>
      </c>
      <c r="BY10" s="23" t="e">
        <f t="shared" si="1"/>
        <v>#DIV/0!</v>
      </c>
      <c r="BZ10" s="23" t="e">
        <f t="shared" si="1"/>
        <v>#DIV/0!</v>
      </c>
      <c r="CA10" s="23" t="e">
        <f t="shared" si="1"/>
        <v>#DIV/0!</v>
      </c>
      <c r="CB10" s="23" t="e">
        <f t="shared" si="1"/>
        <v>#DIV/0!</v>
      </c>
      <c r="CC10" s="23" t="e">
        <f t="shared" si="1"/>
        <v>#DIV/0!</v>
      </c>
      <c r="CD10" s="23" t="e">
        <f t="shared" si="1"/>
        <v>#DIV/0!</v>
      </c>
      <c r="CE10" s="23" t="e">
        <f t="shared" si="1"/>
        <v>#DIV/0!</v>
      </c>
      <c r="CF10" s="23" t="e">
        <f t="shared" si="1"/>
        <v>#DIV/0!</v>
      </c>
      <c r="CG10" s="23" t="e">
        <f t="shared" si="1"/>
        <v>#DIV/0!</v>
      </c>
      <c r="CH10" s="23" t="e">
        <f t="shared" si="1"/>
        <v>#DIV/0!</v>
      </c>
      <c r="CI10" s="23" t="e">
        <f t="shared" si="1"/>
        <v>#DIV/0!</v>
      </c>
      <c r="CJ10" s="23" t="e">
        <f t="shared" si="1"/>
        <v>#DIV/0!</v>
      </c>
      <c r="CK10" s="23" t="e">
        <f t="shared" si="1"/>
        <v>#DIV/0!</v>
      </c>
      <c r="CL10" s="23" t="e">
        <f t="shared" si="1"/>
        <v>#DIV/0!</v>
      </c>
      <c r="CM10" s="23" t="e">
        <f t="shared" si="1"/>
        <v>#DIV/0!</v>
      </c>
      <c r="CN10" s="23" t="e">
        <f t="shared" si="1"/>
        <v>#DIV/0!</v>
      </c>
      <c r="CO10" s="23" t="e">
        <f t="shared" si="1"/>
        <v>#DIV/0!</v>
      </c>
      <c r="CP10" s="23" t="e">
        <f t="shared" si="1"/>
        <v>#DIV/0!</v>
      </c>
      <c r="CQ10" s="23" t="e">
        <f t="shared" si="1"/>
        <v>#DIV/0!</v>
      </c>
      <c r="CR10" s="23" t="e">
        <f t="shared" si="1"/>
        <v>#DIV/0!</v>
      </c>
      <c r="CS10" s="23" t="e">
        <f t="shared" si="1"/>
        <v>#DIV/0!</v>
      </c>
      <c r="CT10" s="23" t="e">
        <f t="shared" si="1"/>
        <v>#DIV/0!</v>
      </c>
      <c r="CU10" s="23" t="e">
        <f t="shared" si="1"/>
        <v>#DIV/0!</v>
      </c>
      <c r="CV10" s="23" t="e">
        <f t="shared" si="1"/>
        <v>#DIV/0!</v>
      </c>
      <c r="CW10" s="23" t="e">
        <f t="shared" si="1"/>
        <v>#DIV/0!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 t="e">
        <f>B6/B$9</f>
        <v>#DIV/0!</v>
      </c>
      <c r="C11" s="25" t="e">
        <f t="shared" ref="C11:BN11" si="2">C6/C$9</f>
        <v>#DIV/0!</v>
      </c>
      <c r="D11" s="25" t="e">
        <f t="shared" si="2"/>
        <v>#DIV/0!</v>
      </c>
      <c r="E11" s="25" t="e">
        <f t="shared" si="2"/>
        <v>#DIV/0!</v>
      </c>
      <c r="F11" s="25" t="e">
        <f t="shared" si="2"/>
        <v>#DIV/0!</v>
      </c>
      <c r="G11" s="25" t="e">
        <f t="shared" si="2"/>
        <v>#DIV/0!</v>
      </c>
      <c r="H11" s="25" t="e">
        <f t="shared" si="2"/>
        <v>#DIV/0!</v>
      </c>
      <c r="I11" s="25" t="e">
        <f t="shared" si="2"/>
        <v>#DIV/0!</v>
      </c>
      <c r="J11" s="25" t="e">
        <f t="shared" si="2"/>
        <v>#DIV/0!</v>
      </c>
      <c r="K11" s="25" t="e">
        <f t="shared" si="2"/>
        <v>#DIV/0!</v>
      </c>
      <c r="L11" s="25" t="e">
        <f t="shared" si="2"/>
        <v>#DIV/0!</v>
      </c>
      <c r="M11" s="25" t="e">
        <f t="shared" si="2"/>
        <v>#DIV/0!</v>
      </c>
      <c r="N11" s="25" t="e">
        <f t="shared" si="2"/>
        <v>#DIV/0!</v>
      </c>
      <c r="O11" s="25" t="e">
        <f t="shared" si="2"/>
        <v>#DIV/0!</v>
      </c>
      <c r="P11" s="25" t="e">
        <f t="shared" si="2"/>
        <v>#DIV/0!</v>
      </c>
      <c r="Q11" s="25" t="e">
        <f t="shared" si="2"/>
        <v>#DIV/0!</v>
      </c>
      <c r="R11" s="25" t="e">
        <f t="shared" si="2"/>
        <v>#DIV/0!</v>
      </c>
      <c r="S11" s="25" t="e">
        <f t="shared" si="2"/>
        <v>#DIV/0!</v>
      </c>
      <c r="T11" s="25" t="e">
        <f t="shared" si="2"/>
        <v>#DIV/0!</v>
      </c>
      <c r="U11" s="25" t="e">
        <f t="shared" si="2"/>
        <v>#DIV/0!</v>
      </c>
      <c r="V11" s="25" t="e">
        <f t="shared" si="2"/>
        <v>#DIV/0!</v>
      </c>
      <c r="W11" s="25" t="e">
        <f t="shared" si="2"/>
        <v>#DIV/0!</v>
      </c>
      <c r="X11" s="25" t="e">
        <f t="shared" si="2"/>
        <v>#DIV/0!</v>
      </c>
      <c r="Y11" s="25" t="e">
        <f t="shared" si="2"/>
        <v>#DIV/0!</v>
      </c>
      <c r="Z11" s="25" t="e">
        <f t="shared" si="2"/>
        <v>#DIV/0!</v>
      </c>
      <c r="AA11" s="25" t="e">
        <f t="shared" si="2"/>
        <v>#DIV/0!</v>
      </c>
      <c r="AB11" s="25" t="e">
        <f t="shared" si="2"/>
        <v>#DIV/0!</v>
      </c>
      <c r="AC11" s="25" t="e">
        <f t="shared" si="2"/>
        <v>#DIV/0!</v>
      </c>
      <c r="AD11" s="25" t="e">
        <f t="shared" si="2"/>
        <v>#DIV/0!</v>
      </c>
      <c r="AE11" s="25" t="e">
        <f t="shared" si="2"/>
        <v>#DIV/0!</v>
      </c>
      <c r="AF11" s="25" t="e">
        <f t="shared" si="2"/>
        <v>#DIV/0!</v>
      </c>
      <c r="AG11" s="25" t="e">
        <f t="shared" si="2"/>
        <v>#DIV/0!</v>
      </c>
      <c r="AH11" s="25" t="e">
        <f t="shared" si="2"/>
        <v>#DIV/0!</v>
      </c>
      <c r="AI11" s="25" t="e">
        <f t="shared" si="2"/>
        <v>#DIV/0!</v>
      </c>
      <c r="AJ11" s="25" t="e">
        <f t="shared" si="2"/>
        <v>#DIV/0!</v>
      </c>
      <c r="AK11" s="25" t="e">
        <f t="shared" si="2"/>
        <v>#DIV/0!</v>
      </c>
      <c r="AL11" s="25" t="e">
        <f t="shared" si="2"/>
        <v>#DIV/0!</v>
      </c>
      <c r="AM11" s="25" t="e">
        <f t="shared" si="2"/>
        <v>#DIV/0!</v>
      </c>
      <c r="AN11" s="25" t="e">
        <f t="shared" si="2"/>
        <v>#DIV/0!</v>
      </c>
      <c r="AO11" s="25" t="e">
        <f t="shared" si="2"/>
        <v>#DIV/0!</v>
      </c>
      <c r="AP11" s="25" t="e">
        <f t="shared" si="2"/>
        <v>#DIV/0!</v>
      </c>
      <c r="AQ11" s="25" t="e">
        <f t="shared" si="2"/>
        <v>#DIV/0!</v>
      </c>
      <c r="AR11" s="25" t="e">
        <f t="shared" si="2"/>
        <v>#DIV/0!</v>
      </c>
      <c r="AS11" s="25" t="e">
        <f t="shared" si="2"/>
        <v>#DIV/0!</v>
      </c>
      <c r="AT11" s="25" t="e">
        <f t="shared" si="2"/>
        <v>#DIV/0!</v>
      </c>
      <c r="AU11" s="25" t="e">
        <f t="shared" si="2"/>
        <v>#DIV/0!</v>
      </c>
      <c r="AV11" s="25" t="e">
        <f t="shared" si="2"/>
        <v>#DIV/0!</v>
      </c>
      <c r="AW11" s="25" t="e">
        <f t="shared" si="2"/>
        <v>#DIV/0!</v>
      </c>
      <c r="AX11" s="25" t="e">
        <f t="shared" si="2"/>
        <v>#DIV/0!</v>
      </c>
      <c r="AY11" s="25" t="e">
        <f t="shared" si="2"/>
        <v>#DIV/0!</v>
      </c>
      <c r="AZ11" s="25" t="e">
        <f t="shared" si="2"/>
        <v>#DIV/0!</v>
      </c>
      <c r="BA11" s="25" t="e">
        <f t="shared" si="2"/>
        <v>#DIV/0!</v>
      </c>
      <c r="BB11" s="25" t="e">
        <f t="shared" si="2"/>
        <v>#DIV/0!</v>
      </c>
      <c r="BC11" s="25" t="e">
        <f t="shared" si="2"/>
        <v>#DIV/0!</v>
      </c>
      <c r="BD11" s="25" t="e">
        <f t="shared" si="2"/>
        <v>#DIV/0!</v>
      </c>
      <c r="BE11" s="25" t="e">
        <f t="shared" si="2"/>
        <v>#DIV/0!</v>
      </c>
      <c r="BF11" s="25" t="e">
        <f t="shared" si="2"/>
        <v>#DIV/0!</v>
      </c>
      <c r="BG11" s="25" t="e">
        <f t="shared" si="2"/>
        <v>#DIV/0!</v>
      </c>
      <c r="BH11" s="25" t="e">
        <f t="shared" si="2"/>
        <v>#DIV/0!</v>
      </c>
      <c r="BI11" s="25" t="e">
        <f t="shared" si="2"/>
        <v>#DIV/0!</v>
      </c>
      <c r="BJ11" s="25" t="e">
        <f t="shared" si="2"/>
        <v>#DIV/0!</v>
      </c>
      <c r="BK11" s="25" t="e">
        <f t="shared" si="2"/>
        <v>#DIV/0!</v>
      </c>
      <c r="BL11" s="25" t="e">
        <f t="shared" si="2"/>
        <v>#DIV/0!</v>
      </c>
      <c r="BM11" s="25" t="e">
        <f t="shared" si="2"/>
        <v>#DIV/0!</v>
      </c>
      <c r="BN11" s="25" t="e">
        <f t="shared" si="2"/>
        <v>#DIV/0!</v>
      </c>
      <c r="BO11" s="25" t="e">
        <f t="shared" ref="BO11:CW11" si="3">BO6/BO$9</f>
        <v>#DIV/0!</v>
      </c>
      <c r="BP11" s="25" t="e">
        <f t="shared" si="3"/>
        <v>#DIV/0!</v>
      </c>
      <c r="BQ11" s="25" t="e">
        <f t="shared" si="3"/>
        <v>#DIV/0!</v>
      </c>
      <c r="BR11" s="25" t="e">
        <f t="shared" si="3"/>
        <v>#DIV/0!</v>
      </c>
      <c r="BS11" s="25" t="e">
        <f t="shared" si="3"/>
        <v>#DIV/0!</v>
      </c>
      <c r="BT11" s="25" t="e">
        <f t="shared" si="3"/>
        <v>#DIV/0!</v>
      </c>
      <c r="BU11" s="25" t="e">
        <f t="shared" si="3"/>
        <v>#DIV/0!</v>
      </c>
      <c r="BV11" s="25" t="e">
        <f t="shared" si="3"/>
        <v>#DIV/0!</v>
      </c>
      <c r="BW11" s="25" t="e">
        <f t="shared" si="3"/>
        <v>#DIV/0!</v>
      </c>
      <c r="BX11" s="25" t="e">
        <f t="shared" si="3"/>
        <v>#DIV/0!</v>
      </c>
      <c r="BY11" s="25" t="e">
        <f t="shared" si="3"/>
        <v>#DIV/0!</v>
      </c>
      <c r="BZ11" s="25" t="e">
        <f t="shared" si="3"/>
        <v>#DIV/0!</v>
      </c>
      <c r="CA11" s="25" t="e">
        <f t="shared" si="3"/>
        <v>#DIV/0!</v>
      </c>
      <c r="CB11" s="25" t="e">
        <f t="shared" si="3"/>
        <v>#DIV/0!</v>
      </c>
      <c r="CC11" s="25" t="e">
        <f t="shared" si="3"/>
        <v>#DIV/0!</v>
      </c>
      <c r="CD11" s="25" t="e">
        <f t="shared" si="3"/>
        <v>#DIV/0!</v>
      </c>
      <c r="CE11" s="25" t="e">
        <f t="shared" si="3"/>
        <v>#DIV/0!</v>
      </c>
      <c r="CF11" s="25" t="e">
        <f t="shared" si="3"/>
        <v>#DIV/0!</v>
      </c>
      <c r="CG11" s="25" t="e">
        <f t="shared" si="3"/>
        <v>#DIV/0!</v>
      </c>
      <c r="CH11" s="25" t="e">
        <f t="shared" si="3"/>
        <v>#DIV/0!</v>
      </c>
      <c r="CI11" s="25" t="e">
        <f t="shared" si="3"/>
        <v>#DIV/0!</v>
      </c>
      <c r="CJ11" s="25" t="e">
        <f t="shared" si="3"/>
        <v>#DIV/0!</v>
      </c>
      <c r="CK11" s="25" t="e">
        <f t="shared" si="3"/>
        <v>#DIV/0!</v>
      </c>
      <c r="CL11" s="25" t="e">
        <f t="shared" si="3"/>
        <v>#DIV/0!</v>
      </c>
      <c r="CM11" s="25" t="e">
        <f t="shared" si="3"/>
        <v>#DIV/0!</v>
      </c>
      <c r="CN11" s="25" t="e">
        <f t="shared" si="3"/>
        <v>#DIV/0!</v>
      </c>
      <c r="CO11" s="25" t="e">
        <f t="shared" si="3"/>
        <v>#DIV/0!</v>
      </c>
      <c r="CP11" s="25" t="e">
        <f t="shared" si="3"/>
        <v>#DIV/0!</v>
      </c>
      <c r="CQ11" s="25" t="e">
        <f t="shared" si="3"/>
        <v>#DIV/0!</v>
      </c>
      <c r="CR11" s="25" t="e">
        <f t="shared" si="3"/>
        <v>#DIV/0!</v>
      </c>
      <c r="CS11" s="25" t="e">
        <f t="shared" si="3"/>
        <v>#DIV/0!</v>
      </c>
      <c r="CT11" s="25" t="e">
        <f t="shared" si="3"/>
        <v>#DIV/0!</v>
      </c>
      <c r="CU11" s="25" t="e">
        <f t="shared" si="3"/>
        <v>#DIV/0!</v>
      </c>
      <c r="CV11" s="25" t="e">
        <f t="shared" si="3"/>
        <v>#DIV/0!</v>
      </c>
      <c r="CW11" s="25" t="e">
        <f t="shared" si="3"/>
        <v>#DIV/0!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 t="e">
        <f t="shared" ref="B12:Q13" si="4">B7/B$9</f>
        <v>#DIV/0!</v>
      </c>
      <c r="C12" s="25" t="e">
        <f t="shared" si="4"/>
        <v>#DIV/0!</v>
      </c>
      <c r="D12" s="25" t="e">
        <f t="shared" si="4"/>
        <v>#DIV/0!</v>
      </c>
      <c r="E12" s="25" t="e">
        <f t="shared" si="4"/>
        <v>#DIV/0!</v>
      </c>
      <c r="F12" s="25" t="e">
        <f t="shared" si="4"/>
        <v>#DIV/0!</v>
      </c>
      <c r="G12" s="25" t="e">
        <f t="shared" si="4"/>
        <v>#DIV/0!</v>
      </c>
      <c r="H12" s="25" t="e">
        <f t="shared" si="4"/>
        <v>#DIV/0!</v>
      </c>
      <c r="I12" s="25" t="e">
        <f t="shared" si="4"/>
        <v>#DIV/0!</v>
      </c>
      <c r="J12" s="25" t="e">
        <f t="shared" si="4"/>
        <v>#DIV/0!</v>
      </c>
      <c r="K12" s="25" t="e">
        <f t="shared" si="4"/>
        <v>#DIV/0!</v>
      </c>
      <c r="L12" s="25" t="e">
        <f t="shared" si="4"/>
        <v>#DIV/0!</v>
      </c>
      <c r="M12" s="25" t="e">
        <f t="shared" si="4"/>
        <v>#DIV/0!</v>
      </c>
      <c r="N12" s="25" t="e">
        <f t="shared" si="4"/>
        <v>#DIV/0!</v>
      </c>
      <c r="O12" s="25" t="e">
        <f t="shared" si="4"/>
        <v>#DIV/0!</v>
      </c>
      <c r="P12" s="25" t="e">
        <f t="shared" si="4"/>
        <v>#DIV/0!</v>
      </c>
      <c r="Q12" s="25" t="e">
        <f t="shared" si="4"/>
        <v>#DIV/0!</v>
      </c>
      <c r="R12" s="25" t="e">
        <f t="shared" ref="R12:CC12" si="5">R7/R$9</f>
        <v>#DIV/0!</v>
      </c>
      <c r="S12" s="25" t="e">
        <f t="shared" si="5"/>
        <v>#DIV/0!</v>
      </c>
      <c r="T12" s="25" t="e">
        <f t="shared" si="5"/>
        <v>#DIV/0!</v>
      </c>
      <c r="U12" s="25" t="e">
        <f t="shared" si="5"/>
        <v>#DIV/0!</v>
      </c>
      <c r="V12" s="25" t="e">
        <f t="shared" si="5"/>
        <v>#DIV/0!</v>
      </c>
      <c r="W12" s="25" t="e">
        <f t="shared" si="5"/>
        <v>#DIV/0!</v>
      </c>
      <c r="X12" s="25" t="e">
        <f t="shared" si="5"/>
        <v>#DIV/0!</v>
      </c>
      <c r="Y12" s="25" t="e">
        <f t="shared" si="5"/>
        <v>#DIV/0!</v>
      </c>
      <c r="Z12" s="25" t="e">
        <f t="shared" si="5"/>
        <v>#DIV/0!</v>
      </c>
      <c r="AA12" s="25" t="e">
        <f t="shared" si="5"/>
        <v>#DIV/0!</v>
      </c>
      <c r="AB12" s="25" t="e">
        <f t="shared" si="5"/>
        <v>#DIV/0!</v>
      </c>
      <c r="AC12" s="25" t="e">
        <f t="shared" si="5"/>
        <v>#DIV/0!</v>
      </c>
      <c r="AD12" s="25" t="e">
        <f t="shared" si="5"/>
        <v>#DIV/0!</v>
      </c>
      <c r="AE12" s="25" t="e">
        <f t="shared" si="5"/>
        <v>#DIV/0!</v>
      </c>
      <c r="AF12" s="25" t="e">
        <f t="shared" si="5"/>
        <v>#DIV/0!</v>
      </c>
      <c r="AG12" s="25" t="e">
        <f t="shared" si="5"/>
        <v>#DIV/0!</v>
      </c>
      <c r="AH12" s="25" t="e">
        <f t="shared" si="5"/>
        <v>#DIV/0!</v>
      </c>
      <c r="AI12" s="25" t="e">
        <f t="shared" si="5"/>
        <v>#DIV/0!</v>
      </c>
      <c r="AJ12" s="25" t="e">
        <f t="shared" si="5"/>
        <v>#DIV/0!</v>
      </c>
      <c r="AK12" s="25" t="e">
        <f t="shared" si="5"/>
        <v>#DIV/0!</v>
      </c>
      <c r="AL12" s="25" t="e">
        <f t="shared" si="5"/>
        <v>#DIV/0!</v>
      </c>
      <c r="AM12" s="25" t="e">
        <f t="shared" si="5"/>
        <v>#DIV/0!</v>
      </c>
      <c r="AN12" s="25" t="e">
        <f t="shared" si="5"/>
        <v>#DIV/0!</v>
      </c>
      <c r="AO12" s="25" t="e">
        <f t="shared" si="5"/>
        <v>#DIV/0!</v>
      </c>
      <c r="AP12" s="25" t="e">
        <f t="shared" si="5"/>
        <v>#DIV/0!</v>
      </c>
      <c r="AQ12" s="25" t="e">
        <f t="shared" si="5"/>
        <v>#DIV/0!</v>
      </c>
      <c r="AR12" s="25" t="e">
        <f t="shared" si="5"/>
        <v>#DIV/0!</v>
      </c>
      <c r="AS12" s="25" t="e">
        <f t="shared" si="5"/>
        <v>#DIV/0!</v>
      </c>
      <c r="AT12" s="25" t="e">
        <f t="shared" si="5"/>
        <v>#DIV/0!</v>
      </c>
      <c r="AU12" s="25" t="e">
        <f t="shared" si="5"/>
        <v>#DIV/0!</v>
      </c>
      <c r="AV12" s="25" t="e">
        <f t="shared" si="5"/>
        <v>#DIV/0!</v>
      </c>
      <c r="AW12" s="25" t="e">
        <f t="shared" si="5"/>
        <v>#DIV/0!</v>
      </c>
      <c r="AX12" s="25" t="e">
        <f t="shared" si="5"/>
        <v>#DIV/0!</v>
      </c>
      <c r="AY12" s="25" t="e">
        <f t="shared" si="5"/>
        <v>#DIV/0!</v>
      </c>
      <c r="AZ12" s="25" t="e">
        <f t="shared" si="5"/>
        <v>#DIV/0!</v>
      </c>
      <c r="BA12" s="25" t="e">
        <f t="shared" si="5"/>
        <v>#DIV/0!</v>
      </c>
      <c r="BB12" s="25" t="e">
        <f t="shared" si="5"/>
        <v>#DIV/0!</v>
      </c>
      <c r="BC12" s="25" t="e">
        <f t="shared" si="5"/>
        <v>#DIV/0!</v>
      </c>
      <c r="BD12" s="25" t="e">
        <f t="shared" si="5"/>
        <v>#DIV/0!</v>
      </c>
      <c r="BE12" s="25" t="e">
        <f t="shared" si="5"/>
        <v>#DIV/0!</v>
      </c>
      <c r="BF12" s="25" t="e">
        <f t="shared" si="5"/>
        <v>#DIV/0!</v>
      </c>
      <c r="BG12" s="25" t="e">
        <f t="shared" si="5"/>
        <v>#DIV/0!</v>
      </c>
      <c r="BH12" s="25" t="e">
        <f t="shared" si="5"/>
        <v>#DIV/0!</v>
      </c>
      <c r="BI12" s="25" t="e">
        <f t="shared" si="5"/>
        <v>#DIV/0!</v>
      </c>
      <c r="BJ12" s="25" t="e">
        <f t="shared" si="5"/>
        <v>#DIV/0!</v>
      </c>
      <c r="BK12" s="25" t="e">
        <f t="shared" si="5"/>
        <v>#DIV/0!</v>
      </c>
      <c r="BL12" s="25" t="e">
        <f t="shared" si="5"/>
        <v>#DIV/0!</v>
      </c>
      <c r="BM12" s="25" t="e">
        <f t="shared" si="5"/>
        <v>#DIV/0!</v>
      </c>
      <c r="BN12" s="25" t="e">
        <f t="shared" si="5"/>
        <v>#DIV/0!</v>
      </c>
      <c r="BO12" s="25" t="e">
        <f t="shared" si="5"/>
        <v>#DIV/0!</v>
      </c>
      <c r="BP12" s="25" t="e">
        <f t="shared" si="5"/>
        <v>#DIV/0!</v>
      </c>
      <c r="BQ12" s="25" t="e">
        <f t="shared" si="5"/>
        <v>#DIV/0!</v>
      </c>
      <c r="BR12" s="25" t="e">
        <f t="shared" si="5"/>
        <v>#DIV/0!</v>
      </c>
      <c r="BS12" s="25" t="e">
        <f t="shared" si="5"/>
        <v>#DIV/0!</v>
      </c>
      <c r="BT12" s="25" t="e">
        <f t="shared" si="5"/>
        <v>#DIV/0!</v>
      </c>
      <c r="BU12" s="25" t="e">
        <f t="shared" si="5"/>
        <v>#DIV/0!</v>
      </c>
      <c r="BV12" s="25" t="e">
        <f t="shared" si="5"/>
        <v>#DIV/0!</v>
      </c>
      <c r="BW12" s="25" t="e">
        <f t="shared" si="5"/>
        <v>#DIV/0!</v>
      </c>
      <c r="BX12" s="25" t="e">
        <f t="shared" si="5"/>
        <v>#DIV/0!</v>
      </c>
      <c r="BY12" s="25" t="e">
        <f t="shared" si="5"/>
        <v>#DIV/0!</v>
      </c>
      <c r="BZ12" s="25" t="e">
        <f t="shared" si="5"/>
        <v>#DIV/0!</v>
      </c>
      <c r="CA12" s="25" t="e">
        <f t="shared" si="5"/>
        <v>#DIV/0!</v>
      </c>
      <c r="CB12" s="25" t="e">
        <f t="shared" si="5"/>
        <v>#DIV/0!</v>
      </c>
      <c r="CC12" s="25" t="e">
        <f t="shared" si="5"/>
        <v>#DIV/0!</v>
      </c>
      <c r="CD12" s="25" t="e">
        <f t="shared" ref="CD12:CW12" si="6">CD7/CD$9</f>
        <v>#DIV/0!</v>
      </c>
      <c r="CE12" s="25" t="e">
        <f t="shared" si="6"/>
        <v>#DIV/0!</v>
      </c>
      <c r="CF12" s="25" t="e">
        <f t="shared" si="6"/>
        <v>#DIV/0!</v>
      </c>
      <c r="CG12" s="25" t="e">
        <f t="shared" si="6"/>
        <v>#DIV/0!</v>
      </c>
      <c r="CH12" s="25" t="e">
        <f t="shared" si="6"/>
        <v>#DIV/0!</v>
      </c>
      <c r="CI12" s="25" t="e">
        <f t="shared" si="6"/>
        <v>#DIV/0!</v>
      </c>
      <c r="CJ12" s="25" t="e">
        <f t="shared" si="6"/>
        <v>#DIV/0!</v>
      </c>
      <c r="CK12" s="25" t="e">
        <f t="shared" si="6"/>
        <v>#DIV/0!</v>
      </c>
      <c r="CL12" s="25" t="e">
        <f t="shared" si="6"/>
        <v>#DIV/0!</v>
      </c>
      <c r="CM12" s="25" t="e">
        <f t="shared" si="6"/>
        <v>#DIV/0!</v>
      </c>
      <c r="CN12" s="25" t="e">
        <f t="shared" si="6"/>
        <v>#DIV/0!</v>
      </c>
      <c r="CO12" s="25" t="e">
        <f t="shared" si="6"/>
        <v>#DIV/0!</v>
      </c>
      <c r="CP12" s="25" t="e">
        <f t="shared" si="6"/>
        <v>#DIV/0!</v>
      </c>
      <c r="CQ12" s="25" t="e">
        <f t="shared" si="6"/>
        <v>#DIV/0!</v>
      </c>
      <c r="CR12" s="25" t="e">
        <f t="shared" si="6"/>
        <v>#DIV/0!</v>
      </c>
      <c r="CS12" s="25" t="e">
        <f t="shared" si="6"/>
        <v>#DIV/0!</v>
      </c>
      <c r="CT12" s="25" t="e">
        <f t="shared" si="6"/>
        <v>#DIV/0!</v>
      </c>
      <c r="CU12" s="25" t="e">
        <f t="shared" si="6"/>
        <v>#DIV/0!</v>
      </c>
      <c r="CV12" s="25" t="e">
        <f t="shared" si="6"/>
        <v>#DIV/0!</v>
      </c>
      <c r="CW12" s="25" t="e">
        <f t="shared" si="6"/>
        <v>#DIV/0!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 t="e">
        <f t="shared" si="4"/>
        <v>#DIV/0!</v>
      </c>
      <c r="C13" s="25" t="e">
        <f t="shared" si="4"/>
        <v>#DIV/0!</v>
      </c>
      <c r="D13" s="25" t="e">
        <f t="shared" si="4"/>
        <v>#DIV/0!</v>
      </c>
      <c r="E13" s="25" t="e">
        <f t="shared" si="4"/>
        <v>#DIV/0!</v>
      </c>
      <c r="F13" s="25" t="e">
        <f t="shared" si="4"/>
        <v>#DIV/0!</v>
      </c>
      <c r="G13" s="25" t="e">
        <f t="shared" si="4"/>
        <v>#DIV/0!</v>
      </c>
      <c r="H13" s="25" t="e">
        <f t="shared" si="4"/>
        <v>#DIV/0!</v>
      </c>
      <c r="I13" s="25" t="e">
        <f t="shared" si="4"/>
        <v>#DIV/0!</v>
      </c>
      <c r="J13" s="25" t="e">
        <f t="shared" si="4"/>
        <v>#DIV/0!</v>
      </c>
      <c r="K13" s="25" t="e">
        <f t="shared" si="4"/>
        <v>#DIV/0!</v>
      </c>
      <c r="L13" s="25" t="e">
        <f t="shared" si="4"/>
        <v>#DIV/0!</v>
      </c>
      <c r="M13" s="25" t="e">
        <f t="shared" si="4"/>
        <v>#DIV/0!</v>
      </c>
      <c r="N13" s="25" t="e">
        <f t="shared" si="4"/>
        <v>#DIV/0!</v>
      </c>
      <c r="O13" s="25" t="e">
        <f t="shared" si="4"/>
        <v>#DIV/0!</v>
      </c>
      <c r="P13" s="25" t="e">
        <f t="shared" si="4"/>
        <v>#DIV/0!</v>
      </c>
      <c r="Q13" s="25" t="e">
        <f t="shared" si="4"/>
        <v>#DIV/0!</v>
      </c>
      <c r="R13" s="25" t="e">
        <f t="shared" ref="R13:CC13" si="7">R8/R$9</f>
        <v>#DIV/0!</v>
      </c>
      <c r="S13" s="25" t="e">
        <f t="shared" si="7"/>
        <v>#DIV/0!</v>
      </c>
      <c r="T13" s="25" t="e">
        <f t="shared" si="7"/>
        <v>#DIV/0!</v>
      </c>
      <c r="U13" s="25" t="e">
        <f t="shared" si="7"/>
        <v>#DIV/0!</v>
      </c>
      <c r="V13" s="25" t="e">
        <f t="shared" si="7"/>
        <v>#DIV/0!</v>
      </c>
      <c r="W13" s="25" t="e">
        <f t="shared" si="7"/>
        <v>#DIV/0!</v>
      </c>
      <c r="X13" s="25" t="e">
        <f t="shared" si="7"/>
        <v>#DIV/0!</v>
      </c>
      <c r="Y13" s="25" t="e">
        <f t="shared" si="7"/>
        <v>#DIV/0!</v>
      </c>
      <c r="Z13" s="25" t="e">
        <f t="shared" si="7"/>
        <v>#DIV/0!</v>
      </c>
      <c r="AA13" s="25" t="e">
        <f t="shared" si="7"/>
        <v>#DIV/0!</v>
      </c>
      <c r="AB13" s="25" t="e">
        <f t="shared" si="7"/>
        <v>#DIV/0!</v>
      </c>
      <c r="AC13" s="25" t="e">
        <f t="shared" si="7"/>
        <v>#DIV/0!</v>
      </c>
      <c r="AD13" s="25" t="e">
        <f t="shared" si="7"/>
        <v>#DIV/0!</v>
      </c>
      <c r="AE13" s="25" t="e">
        <f t="shared" si="7"/>
        <v>#DIV/0!</v>
      </c>
      <c r="AF13" s="25" t="e">
        <f t="shared" si="7"/>
        <v>#DIV/0!</v>
      </c>
      <c r="AG13" s="25" t="e">
        <f t="shared" si="7"/>
        <v>#DIV/0!</v>
      </c>
      <c r="AH13" s="25" t="e">
        <f t="shared" si="7"/>
        <v>#DIV/0!</v>
      </c>
      <c r="AI13" s="25" t="e">
        <f t="shared" si="7"/>
        <v>#DIV/0!</v>
      </c>
      <c r="AJ13" s="25" t="e">
        <f t="shared" si="7"/>
        <v>#DIV/0!</v>
      </c>
      <c r="AK13" s="25" t="e">
        <f t="shared" si="7"/>
        <v>#DIV/0!</v>
      </c>
      <c r="AL13" s="25" t="e">
        <f t="shared" si="7"/>
        <v>#DIV/0!</v>
      </c>
      <c r="AM13" s="25" t="e">
        <f t="shared" si="7"/>
        <v>#DIV/0!</v>
      </c>
      <c r="AN13" s="25" t="e">
        <f t="shared" si="7"/>
        <v>#DIV/0!</v>
      </c>
      <c r="AO13" s="25" t="e">
        <f t="shared" si="7"/>
        <v>#DIV/0!</v>
      </c>
      <c r="AP13" s="25" t="e">
        <f t="shared" si="7"/>
        <v>#DIV/0!</v>
      </c>
      <c r="AQ13" s="25" t="e">
        <f t="shared" si="7"/>
        <v>#DIV/0!</v>
      </c>
      <c r="AR13" s="25" t="e">
        <f t="shared" si="7"/>
        <v>#DIV/0!</v>
      </c>
      <c r="AS13" s="25" t="e">
        <f t="shared" si="7"/>
        <v>#DIV/0!</v>
      </c>
      <c r="AT13" s="25" t="e">
        <f t="shared" si="7"/>
        <v>#DIV/0!</v>
      </c>
      <c r="AU13" s="25" t="e">
        <f t="shared" si="7"/>
        <v>#DIV/0!</v>
      </c>
      <c r="AV13" s="25" t="e">
        <f t="shared" si="7"/>
        <v>#DIV/0!</v>
      </c>
      <c r="AW13" s="25" t="e">
        <f t="shared" si="7"/>
        <v>#DIV/0!</v>
      </c>
      <c r="AX13" s="25" t="e">
        <f t="shared" si="7"/>
        <v>#DIV/0!</v>
      </c>
      <c r="AY13" s="25" t="e">
        <f t="shared" si="7"/>
        <v>#DIV/0!</v>
      </c>
      <c r="AZ13" s="25" t="e">
        <f t="shared" si="7"/>
        <v>#DIV/0!</v>
      </c>
      <c r="BA13" s="25" t="e">
        <f t="shared" si="7"/>
        <v>#DIV/0!</v>
      </c>
      <c r="BB13" s="25" t="e">
        <f t="shared" si="7"/>
        <v>#DIV/0!</v>
      </c>
      <c r="BC13" s="25" t="e">
        <f t="shared" si="7"/>
        <v>#DIV/0!</v>
      </c>
      <c r="BD13" s="25" t="e">
        <f t="shared" si="7"/>
        <v>#DIV/0!</v>
      </c>
      <c r="BE13" s="25" t="e">
        <f t="shared" si="7"/>
        <v>#DIV/0!</v>
      </c>
      <c r="BF13" s="25" t="e">
        <f t="shared" si="7"/>
        <v>#DIV/0!</v>
      </c>
      <c r="BG13" s="25" t="e">
        <f t="shared" si="7"/>
        <v>#DIV/0!</v>
      </c>
      <c r="BH13" s="25" t="e">
        <f t="shared" si="7"/>
        <v>#DIV/0!</v>
      </c>
      <c r="BI13" s="25" t="e">
        <f t="shared" si="7"/>
        <v>#DIV/0!</v>
      </c>
      <c r="BJ13" s="25" t="e">
        <f t="shared" si="7"/>
        <v>#DIV/0!</v>
      </c>
      <c r="BK13" s="25" t="e">
        <f t="shared" si="7"/>
        <v>#DIV/0!</v>
      </c>
      <c r="BL13" s="25" t="e">
        <f t="shared" si="7"/>
        <v>#DIV/0!</v>
      </c>
      <c r="BM13" s="25" t="e">
        <f t="shared" si="7"/>
        <v>#DIV/0!</v>
      </c>
      <c r="BN13" s="25" t="e">
        <f t="shared" si="7"/>
        <v>#DIV/0!</v>
      </c>
      <c r="BO13" s="25" t="e">
        <f t="shared" si="7"/>
        <v>#DIV/0!</v>
      </c>
      <c r="BP13" s="25" t="e">
        <f t="shared" si="7"/>
        <v>#DIV/0!</v>
      </c>
      <c r="BQ13" s="25" t="e">
        <f t="shared" si="7"/>
        <v>#DIV/0!</v>
      </c>
      <c r="BR13" s="25" t="e">
        <f t="shared" si="7"/>
        <v>#DIV/0!</v>
      </c>
      <c r="BS13" s="25" t="e">
        <f t="shared" si="7"/>
        <v>#DIV/0!</v>
      </c>
      <c r="BT13" s="25" t="e">
        <f t="shared" si="7"/>
        <v>#DIV/0!</v>
      </c>
      <c r="BU13" s="25" t="e">
        <f t="shared" si="7"/>
        <v>#DIV/0!</v>
      </c>
      <c r="BV13" s="25" t="e">
        <f t="shared" si="7"/>
        <v>#DIV/0!</v>
      </c>
      <c r="BW13" s="25" t="e">
        <f t="shared" si="7"/>
        <v>#DIV/0!</v>
      </c>
      <c r="BX13" s="25" t="e">
        <f t="shared" si="7"/>
        <v>#DIV/0!</v>
      </c>
      <c r="BY13" s="25" t="e">
        <f t="shared" si="7"/>
        <v>#DIV/0!</v>
      </c>
      <c r="BZ13" s="25" t="e">
        <f t="shared" si="7"/>
        <v>#DIV/0!</v>
      </c>
      <c r="CA13" s="25" t="e">
        <f t="shared" si="7"/>
        <v>#DIV/0!</v>
      </c>
      <c r="CB13" s="25" t="e">
        <f t="shared" si="7"/>
        <v>#DIV/0!</v>
      </c>
      <c r="CC13" s="25" t="e">
        <f t="shared" si="7"/>
        <v>#DIV/0!</v>
      </c>
      <c r="CD13" s="25" t="e">
        <f t="shared" ref="CD13:CW13" si="8">CD8/CD$9</f>
        <v>#DIV/0!</v>
      </c>
      <c r="CE13" s="25" t="e">
        <f t="shared" si="8"/>
        <v>#DIV/0!</v>
      </c>
      <c r="CF13" s="25" t="e">
        <f t="shared" si="8"/>
        <v>#DIV/0!</v>
      </c>
      <c r="CG13" s="25" t="e">
        <f t="shared" si="8"/>
        <v>#DIV/0!</v>
      </c>
      <c r="CH13" s="25" t="e">
        <f t="shared" si="8"/>
        <v>#DIV/0!</v>
      </c>
      <c r="CI13" s="25" t="e">
        <f t="shared" si="8"/>
        <v>#DIV/0!</v>
      </c>
      <c r="CJ13" s="25" t="e">
        <f t="shared" si="8"/>
        <v>#DIV/0!</v>
      </c>
      <c r="CK13" s="25" t="e">
        <f t="shared" si="8"/>
        <v>#DIV/0!</v>
      </c>
      <c r="CL13" s="25" t="e">
        <f t="shared" si="8"/>
        <v>#DIV/0!</v>
      </c>
      <c r="CM13" s="25" t="e">
        <f t="shared" si="8"/>
        <v>#DIV/0!</v>
      </c>
      <c r="CN13" s="25" t="e">
        <f t="shared" si="8"/>
        <v>#DIV/0!</v>
      </c>
      <c r="CO13" s="25" t="e">
        <f t="shared" si="8"/>
        <v>#DIV/0!</v>
      </c>
      <c r="CP13" s="25" t="e">
        <f t="shared" si="8"/>
        <v>#DIV/0!</v>
      </c>
      <c r="CQ13" s="25" t="e">
        <f t="shared" si="8"/>
        <v>#DIV/0!</v>
      </c>
      <c r="CR13" s="25" t="e">
        <f t="shared" si="8"/>
        <v>#DIV/0!</v>
      </c>
      <c r="CS13" s="25" t="e">
        <f t="shared" si="8"/>
        <v>#DIV/0!</v>
      </c>
      <c r="CT13" s="25" t="e">
        <f t="shared" si="8"/>
        <v>#DIV/0!</v>
      </c>
      <c r="CU13" s="25" t="e">
        <f t="shared" si="8"/>
        <v>#DIV/0!</v>
      </c>
      <c r="CV13" s="25" t="e">
        <f t="shared" si="8"/>
        <v>#DIV/0!</v>
      </c>
      <c r="CW13" s="25" t="e">
        <f t="shared" si="8"/>
        <v>#DIV/0!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229" customFormat="1" x14ac:dyDescent="0.2">
      <c r="A14" s="229" t="s">
        <v>20</v>
      </c>
      <c r="B14" s="230"/>
      <c r="C14" s="230"/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230"/>
      <c r="W14" s="230"/>
      <c r="X14" s="230"/>
      <c r="Y14" s="230"/>
      <c r="Z14" s="230"/>
      <c r="AA14" s="230"/>
      <c r="AB14" s="230"/>
      <c r="AC14" s="230"/>
      <c r="AD14" s="230"/>
      <c r="AE14" s="230"/>
      <c r="AF14" s="230"/>
      <c r="AG14" s="230"/>
      <c r="AH14" s="230"/>
      <c r="AI14" s="230"/>
      <c r="AJ14" s="230"/>
      <c r="AK14" s="230"/>
      <c r="AL14" s="230"/>
      <c r="AM14" s="230"/>
      <c r="AN14" s="230"/>
      <c r="AO14" s="230"/>
      <c r="AP14" s="230"/>
      <c r="AQ14" s="230"/>
      <c r="AR14" s="230"/>
      <c r="AS14" s="230"/>
      <c r="AT14" s="230"/>
      <c r="AU14" s="230"/>
      <c r="AV14" s="230"/>
      <c r="AW14" s="230"/>
      <c r="AX14" s="230"/>
      <c r="AY14" s="230"/>
      <c r="AZ14" s="230"/>
      <c r="BA14" s="230"/>
      <c r="BB14" s="230"/>
      <c r="BC14" s="230"/>
      <c r="BD14" s="230"/>
      <c r="BE14" s="230"/>
      <c r="BF14" s="230"/>
      <c r="BG14" s="230"/>
      <c r="BH14" s="230"/>
      <c r="BI14" s="230"/>
      <c r="BJ14" s="230"/>
      <c r="BK14" s="230"/>
      <c r="BL14" s="230"/>
      <c r="BM14" s="230"/>
      <c r="BN14" s="230"/>
      <c r="BO14" s="230"/>
      <c r="BP14" s="230"/>
      <c r="BQ14" s="230"/>
      <c r="BR14" s="230"/>
      <c r="BS14" s="230"/>
      <c r="BT14" s="230"/>
      <c r="BU14" s="230"/>
      <c r="BV14" s="230"/>
      <c r="BW14" s="230"/>
      <c r="BX14" s="230"/>
      <c r="BY14" s="230"/>
      <c r="BZ14" s="230"/>
      <c r="CA14" s="230"/>
      <c r="CB14" s="230"/>
      <c r="CC14" s="230"/>
      <c r="CD14" s="230"/>
      <c r="CE14" s="230"/>
      <c r="CF14" s="230"/>
      <c r="CG14" s="230"/>
      <c r="CH14" s="230"/>
      <c r="CI14" s="230"/>
      <c r="CJ14" s="230"/>
      <c r="CK14" s="230"/>
      <c r="CL14" s="230"/>
      <c r="CM14" s="230"/>
      <c r="CN14" s="230"/>
      <c r="CO14" s="230"/>
      <c r="CP14" s="230"/>
      <c r="CQ14" s="230"/>
      <c r="CR14" s="230"/>
      <c r="CS14" s="230"/>
      <c r="CT14" s="230"/>
      <c r="CU14" s="230"/>
      <c r="CV14" s="230"/>
      <c r="CW14" s="230"/>
      <c r="CX14" s="230"/>
      <c r="CY14" s="230"/>
      <c r="CZ14" s="230"/>
      <c r="DA14" s="230"/>
      <c r="DB14" s="230"/>
      <c r="DC14" s="230"/>
      <c r="DD14" s="230"/>
      <c r="DE14" s="230"/>
      <c r="DF14" s="230"/>
      <c r="DG14" s="230"/>
      <c r="DH14" s="230"/>
      <c r="DI14" s="230"/>
      <c r="DJ14" s="230"/>
      <c r="DK14" s="230"/>
      <c r="DL14" s="230"/>
      <c r="DM14" s="230"/>
      <c r="DN14" s="230"/>
      <c r="DO14" s="230"/>
      <c r="DP14" s="230"/>
      <c r="DQ14" s="230"/>
      <c r="DR14" s="230"/>
      <c r="DS14" s="230"/>
      <c r="DT14" s="230"/>
      <c r="DU14" s="230"/>
      <c r="DV14" s="230"/>
      <c r="DW14" s="230"/>
      <c r="DX14" s="230"/>
      <c r="DY14" s="230"/>
      <c r="DZ14" s="230"/>
      <c r="EA14" s="230"/>
      <c r="EB14" s="230"/>
      <c r="EC14" s="230"/>
      <c r="ED14" s="230"/>
      <c r="EE14" s="230"/>
      <c r="EF14" s="230"/>
      <c r="EG14" s="230"/>
      <c r="EH14" s="230"/>
      <c r="EI14" s="230"/>
      <c r="EJ14" s="230"/>
      <c r="EK14" s="230"/>
      <c r="EL14" s="230"/>
      <c r="EM14" s="230"/>
      <c r="EN14" s="230"/>
      <c r="EO14" s="230"/>
      <c r="EP14" s="230"/>
      <c r="EQ14" s="230"/>
      <c r="ER14" s="230"/>
      <c r="ES14" s="230"/>
      <c r="ET14" s="230"/>
      <c r="EU14" s="230"/>
      <c r="EV14" s="230"/>
      <c r="EW14" s="230"/>
      <c r="EX14" s="230"/>
      <c r="EY14" s="230"/>
      <c r="EZ14" s="230"/>
      <c r="FA14" s="230"/>
      <c r="FB14" s="230"/>
      <c r="FC14" s="230"/>
      <c r="FD14" s="230"/>
      <c r="FE14" s="230"/>
      <c r="FF14" s="230"/>
      <c r="FG14" s="230"/>
      <c r="FH14" s="230"/>
      <c r="FI14" s="230"/>
      <c r="FJ14" s="230"/>
      <c r="FK14" s="230"/>
      <c r="FL14" s="230"/>
      <c r="FM14" s="230"/>
      <c r="FN14" s="230"/>
      <c r="FO14" s="230"/>
      <c r="FP14" s="230"/>
      <c r="FQ14" s="230"/>
      <c r="FR14" s="230"/>
      <c r="FS14" s="230"/>
      <c r="FT14" s="230"/>
      <c r="FU14" s="230"/>
      <c r="FV14" s="230"/>
      <c r="FW14" s="230"/>
      <c r="FX14" s="230"/>
      <c r="FY14" s="230"/>
      <c r="FZ14" s="230"/>
      <c r="GA14" s="230"/>
      <c r="GB14" s="230"/>
      <c r="GC14" s="230"/>
      <c r="GD14" s="230"/>
      <c r="GE14" s="230"/>
      <c r="GF14" s="230"/>
      <c r="GG14" s="230"/>
      <c r="GH14" s="230"/>
      <c r="GI14" s="230"/>
      <c r="GJ14" s="230"/>
      <c r="GK14" s="230"/>
      <c r="GL14" s="230"/>
      <c r="GM14" s="230"/>
      <c r="GN14" s="230"/>
      <c r="GO14" s="230"/>
      <c r="GP14" s="230"/>
      <c r="GQ14" s="230"/>
      <c r="GR14" s="230"/>
      <c r="GS14" s="230"/>
    </row>
    <row r="15" spans="1:201" x14ac:dyDescent="0.2">
      <c r="A15" s="7" t="s">
        <v>21</v>
      </c>
      <c r="B15" s="26" t="e">
        <f t="shared" ref="B15:BM15" si="9">B6/B9</f>
        <v>#DIV/0!</v>
      </c>
      <c r="C15" s="26" t="e">
        <f t="shared" si="9"/>
        <v>#DIV/0!</v>
      </c>
      <c r="D15" s="26" t="e">
        <f t="shared" si="9"/>
        <v>#DIV/0!</v>
      </c>
      <c r="E15" s="26" t="e">
        <f t="shared" si="9"/>
        <v>#DIV/0!</v>
      </c>
      <c r="F15" s="26" t="e">
        <f t="shared" si="9"/>
        <v>#DIV/0!</v>
      </c>
      <c r="G15" s="26" t="e">
        <f t="shared" si="9"/>
        <v>#DIV/0!</v>
      </c>
      <c r="H15" s="26" t="e">
        <f t="shared" si="9"/>
        <v>#DIV/0!</v>
      </c>
      <c r="I15" s="26" t="e">
        <f t="shared" si="9"/>
        <v>#DIV/0!</v>
      </c>
      <c r="J15" s="26" t="e">
        <f t="shared" si="9"/>
        <v>#DIV/0!</v>
      </c>
      <c r="K15" s="26" t="e">
        <f t="shared" si="9"/>
        <v>#DIV/0!</v>
      </c>
      <c r="L15" s="26" t="e">
        <f t="shared" si="9"/>
        <v>#DIV/0!</v>
      </c>
      <c r="M15" s="26" t="e">
        <f t="shared" si="9"/>
        <v>#DIV/0!</v>
      </c>
      <c r="N15" s="26" t="e">
        <f t="shared" si="9"/>
        <v>#DIV/0!</v>
      </c>
      <c r="O15" s="26" t="e">
        <f t="shared" si="9"/>
        <v>#DIV/0!</v>
      </c>
      <c r="P15" s="26" t="e">
        <f t="shared" si="9"/>
        <v>#DIV/0!</v>
      </c>
      <c r="Q15" s="26" t="e">
        <f t="shared" si="9"/>
        <v>#DIV/0!</v>
      </c>
      <c r="R15" s="26" t="e">
        <f t="shared" si="9"/>
        <v>#DIV/0!</v>
      </c>
      <c r="S15" s="26" t="e">
        <f t="shared" si="9"/>
        <v>#DIV/0!</v>
      </c>
      <c r="T15" s="26" t="e">
        <f t="shared" si="9"/>
        <v>#DIV/0!</v>
      </c>
      <c r="U15" s="26" t="e">
        <f t="shared" si="9"/>
        <v>#DIV/0!</v>
      </c>
      <c r="V15" s="26" t="e">
        <f t="shared" si="9"/>
        <v>#DIV/0!</v>
      </c>
      <c r="W15" s="26" t="e">
        <f t="shared" si="9"/>
        <v>#DIV/0!</v>
      </c>
      <c r="X15" s="26" t="e">
        <f t="shared" si="9"/>
        <v>#DIV/0!</v>
      </c>
      <c r="Y15" s="26" t="e">
        <f t="shared" si="9"/>
        <v>#DIV/0!</v>
      </c>
      <c r="Z15" s="26" t="e">
        <f t="shared" si="9"/>
        <v>#DIV/0!</v>
      </c>
      <c r="AA15" s="26" t="e">
        <f t="shared" si="9"/>
        <v>#DIV/0!</v>
      </c>
      <c r="AB15" s="26" t="e">
        <f t="shared" si="9"/>
        <v>#DIV/0!</v>
      </c>
      <c r="AC15" s="26" t="e">
        <f t="shared" si="9"/>
        <v>#DIV/0!</v>
      </c>
      <c r="AD15" s="26" t="e">
        <f t="shared" si="9"/>
        <v>#DIV/0!</v>
      </c>
      <c r="AE15" s="26" t="e">
        <f t="shared" si="9"/>
        <v>#DIV/0!</v>
      </c>
      <c r="AF15" s="26" t="e">
        <f t="shared" si="9"/>
        <v>#DIV/0!</v>
      </c>
      <c r="AG15" s="26" t="e">
        <f t="shared" si="9"/>
        <v>#DIV/0!</v>
      </c>
      <c r="AH15" s="26" t="e">
        <f t="shared" si="9"/>
        <v>#DIV/0!</v>
      </c>
      <c r="AI15" s="26" t="e">
        <f t="shared" si="9"/>
        <v>#DIV/0!</v>
      </c>
      <c r="AJ15" s="26" t="e">
        <f t="shared" si="9"/>
        <v>#DIV/0!</v>
      </c>
      <c r="AK15" s="26" t="e">
        <f t="shared" si="9"/>
        <v>#DIV/0!</v>
      </c>
      <c r="AL15" s="26" t="e">
        <f t="shared" si="9"/>
        <v>#DIV/0!</v>
      </c>
      <c r="AM15" s="26" t="e">
        <f t="shared" si="9"/>
        <v>#DIV/0!</v>
      </c>
      <c r="AN15" s="26" t="e">
        <f t="shared" si="9"/>
        <v>#DIV/0!</v>
      </c>
      <c r="AO15" s="26" t="e">
        <f t="shared" si="9"/>
        <v>#DIV/0!</v>
      </c>
      <c r="AP15" s="26" t="e">
        <f t="shared" si="9"/>
        <v>#DIV/0!</v>
      </c>
      <c r="AQ15" s="26" t="e">
        <f t="shared" si="9"/>
        <v>#DIV/0!</v>
      </c>
      <c r="AR15" s="26" t="e">
        <f t="shared" si="9"/>
        <v>#DIV/0!</v>
      </c>
      <c r="AS15" s="26" t="e">
        <f t="shared" si="9"/>
        <v>#DIV/0!</v>
      </c>
      <c r="AT15" s="26" t="e">
        <f t="shared" si="9"/>
        <v>#DIV/0!</v>
      </c>
      <c r="AU15" s="26" t="e">
        <f t="shared" si="9"/>
        <v>#DIV/0!</v>
      </c>
      <c r="AV15" s="26" t="e">
        <f t="shared" si="9"/>
        <v>#DIV/0!</v>
      </c>
      <c r="AW15" s="26" t="e">
        <f t="shared" si="9"/>
        <v>#DIV/0!</v>
      </c>
      <c r="AX15" s="26" t="e">
        <f t="shared" si="9"/>
        <v>#DIV/0!</v>
      </c>
      <c r="AY15" s="26" t="e">
        <f t="shared" si="9"/>
        <v>#DIV/0!</v>
      </c>
      <c r="AZ15" s="26" t="e">
        <f t="shared" si="9"/>
        <v>#DIV/0!</v>
      </c>
      <c r="BA15" s="26" t="e">
        <f t="shared" si="9"/>
        <v>#DIV/0!</v>
      </c>
      <c r="BB15" s="26" t="e">
        <f t="shared" si="9"/>
        <v>#DIV/0!</v>
      </c>
      <c r="BC15" s="26" t="e">
        <f t="shared" si="9"/>
        <v>#DIV/0!</v>
      </c>
      <c r="BD15" s="26" t="e">
        <f t="shared" si="9"/>
        <v>#DIV/0!</v>
      </c>
      <c r="BE15" s="26" t="e">
        <f t="shared" si="9"/>
        <v>#DIV/0!</v>
      </c>
      <c r="BF15" s="26" t="e">
        <f t="shared" si="9"/>
        <v>#DIV/0!</v>
      </c>
      <c r="BG15" s="26" t="e">
        <f t="shared" si="9"/>
        <v>#DIV/0!</v>
      </c>
      <c r="BH15" s="26" t="e">
        <f t="shared" si="9"/>
        <v>#DIV/0!</v>
      </c>
      <c r="BI15" s="26" t="e">
        <f t="shared" si="9"/>
        <v>#DIV/0!</v>
      </c>
      <c r="BJ15" s="26" t="e">
        <f t="shared" si="9"/>
        <v>#DIV/0!</v>
      </c>
      <c r="BK15" s="26" t="e">
        <f t="shared" si="9"/>
        <v>#DIV/0!</v>
      </c>
      <c r="BL15" s="26" t="e">
        <f t="shared" si="9"/>
        <v>#DIV/0!</v>
      </c>
      <c r="BM15" s="26" t="e">
        <f t="shared" si="9"/>
        <v>#DIV/0!</v>
      </c>
      <c r="BN15" s="26" t="e">
        <f t="shared" ref="BN15:CW15" si="10">BN6/BN9</f>
        <v>#DIV/0!</v>
      </c>
      <c r="BO15" s="26" t="e">
        <f t="shared" si="10"/>
        <v>#DIV/0!</v>
      </c>
      <c r="BP15" s="26" t="e">
        <f t="shared" si="10"/>
        <v>#DIV/0!</v>
      </c>
      <c r="BQ15" s="26" t="e">
        <f t="shared" si="10"/>
        <v>#DIV/0!</v>
      </c>
      <c r="BR15" s="26" t="e">
        <f t="shared" si="10"/>
        <v>#DIV/0!</v>
      </c>
      <c r="BS15" s="26" t="e">
        <f t="shared" si="10"/>
        <v>#DIV/0!</v>
      </c>
      <c r="BT15" s="26" t="e">
        <f t="shared" si="10"/>
        <v>#DIV/0!</v>
      </c>
      <c r="BU15" s="26" t="e">
        <f t="shared" si="10"/>
        <v>#DIV/0!</v>
      </c>
      <c r="BV15" s="26" t="e">
        <f t="shared" si="10"/>
        <v>#DIV/0!</v>
      </c>
      <c r="BW15" s="26" t="e">
        <f t="shared" si="10"/>
        <v>#DIV/0!</v>
      </c>
      <c r="BX15" s="26" t="e">
        <f t="shared" si="10"/>
        <v>#DIV/0!</v>
      </c>
      <c r="BY15" s="26" t="e">
        <f t="shared" si="10"/>
        <v>#DIV/0!</v>
      </c>
      <c r="BZ15" s="26" t="e">
        <f t="shared" si="10"/>
        <v>#DIV/0!</v>
      </c>
      <c r="CA15" s="26" t="e">
        <f t="shared" si="10"/>
        <v>#DIV/0!</v>
      </c>
      <c r="CB15" s="26" t="e">
        <f t="shared" si="10"/>
        <v>#DIV/0!</v>
      </c>
      <c r="CC15" s="26" t="e">
        <f t="shared" si="10"/>
        <v>#DIV/0!</v>
      </c>
      <c r="CD15" s="26" t="e">
        <f t="shared" si="10"/>
        <v>#DIV/0!</v>
      </c>
      <c r="CE15" s="26" t="e">
        <f t="shared" si="10"/>
        <v>#DIV/0!</v>
      </c>
      <c r="CF15" s="26" t="e">
        <f t="shared" si="10"/>
        <v>#DIV/0!</v>
      </c>
      <c r="CG15" s="26" t="e">
        <f t="shared" si="10"/>
        <v>#DIV/0!</v>
      </c>
      <c r="CH15" s="26" t="e">
        <f t="shared" si="10"/>
        <v>#DIV/0!</v>
      </c>
      <c r="CI15" s="26" t="e">
        <f t="shared" si="10"/>
        <v>#DIV/0!</v>
      </c>
      <c r="CJ15" s="26" t="e">
        <f t="shared" si="10"/>
        <v>#DIV/0!</v>
      </c>
      <c r="CK15" s="26" t="e">
        <f t="shared" si="10"/>
        <v>#DIV/0!</v>
      </c>
      <c r="CL15" s="26" t="e">
        <f t="shared" si="10"/>
        <v>#DIV/0!</v>
      </c>
      <c r="CM15" s="26" t="e">
        <f t="shared" si="10"/>
        <v>#DIV/0!</v>
      </c>
      <c r="CN15" s="26" t="e">
        <f t="shared" si="10"/>
        <v>#DIV/0!</v>
      </c>
      <c r="CO15" s="26" t="e">
        <f t="shared" si="10"/>
        <v>#DIV/0!</v>
      </c>
      <c r="CP15" s="26" t="e">
        <f t="shared" si="10"/>
        <v>#DIV/0!</v>
      </c>
      <c r="CQ15" s="26" t="e">
        <f t="shared" si="10"/>
        <v>#DIV/0!</v>
      </c>
      <c r="CR15" s="26" t="e">
        <f t="shared" si="10"/>
        <v>#DIV/0!</v>
      </c>
      <c r="CS15" s="26" t="e">
        <f t="shared" si="10"/>
        <v>#DIV/0!</v>
      </c>
      <c r="CT15" s="26" t="e">
        <f t="shared" si="10"/>
        <v>#DIV/0!</v>
      </c>
      <c r="CU15" s="26" t="e">
        <f t="shared" si="10"/>
        <v>#DIV/0!</v>
      </c>
      <c r="CV15" s="26" t="e">
        <f t="shared" si="10"/>
        <v>#DIV/0!</v>
      </c>
      <c r="CW15" s="26" t="e">
        <f t="shared" si="10"/>
        <v>#DIV/0!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 t="e">
        <f t="shared" ref="B16:BM16" si="11">B7/B9</f>
        <v>#DIV/0!</v>
      </c>
      <c r="C16" s="26" t="e">
        <f t="shared" si="11"/>
        <v>#DIV/0!</v>
      </c>
      <c r="D16" s="26" t="e">
        <f t="shared" si="11"/>
        <v>#DIV/0!</v>
      </c>
      <c r="E16" s="26" t="e">
        <f t="shared" si="11"/>
        <v>#DIV/0!</v>
      </c>
      <c r="F16" s="26" t="e">
        <f t="shared" si="11"/>
        <v>#DIV/0!</v>
      </c>
      <c r="G16" s="26" t="e">
        <f t="shared" si="11"/>
        <v>#DIV/0!</v>
      </c>
      <c r="H16" s="26" t="e">
        <f t="shared" si="11"/>
        <v>#DIV/0!</v>
      </c>
      <c r="I16" s="26" t="e">
        <f t="shared" si="11"/>
        <v>#DIV/0!</v>
      </c>
      <c r="J16" s="26" t="e">
        <f t="shared" si="11"/>
        <v>#DIV/0!</v>
      </c>
      <c r="K16" s="26" t="e">
        <f t="shared" si="11"/>
        <v>#DIV/0!</v>
      </c>
      <c r="L16" s="26" t="e">
        <f t="shared" si="11"/>
        <v>#DIV/0!</v>
      </c>
      <c r="M16" s="26" t="e">
        <f t="shared" si="11"/>
        <v>#DIV/0!</v>
      </c>
      <c r="N16" s="26" t="e">
        <f t="shared" si="11"/>
        <v>#DIV/0!</v>
      </c>
      <c r="O16" s="26" t="e">
        <f t="shared" si="11"/>
        <v>#DIV/0!</v>
      </c>
      <c r="P16" s="26" t="e">
        <f t="shared" si="11"/>
        <v>#DIV/0!</v>
      </c>
      <c r="Q16" s="26" t="e">
        <f t="shared" si="11"/>
        <v>#DIV/0!</v>
      </c>
      <c r="R16" s="26" t="e">
        <f t="shared" si="11"/>
        <v>#DIV/0!</v>
      </c>
      <c r="S16" s="26" t="e">
        <f t="shared" si="11"/>
        <v>#DIV/0!</v>
      </c>
      <c r="T16" s="26" t="e">
        <f t="shared" si="11"/>
        <v>#DIV/0!</v>
      </c>
      <c r="U16" s="26" t="e">
        <f t="shared" si="11"/>
        <v>#DIV/0!</v>
      </c>
      <c r="V16" s="26" t="e">
        <f t="shared" si="11"/>
        <v>#DIV/0!</v>
      </c>
      <c r="W16" s="26" t="e">
        <f t="shared" si="11"/>
        <v>#DIV/0!</v>
      </c>
      <c r="X16" s="26" t="e">
        <f t="shared" si="11"/>
        <v>#DIV/0!</v>
      </c>
      <c r="Y16" s="26" t="e">
        <f t="shared" si="11"/>
        <v>#DIV/0!</v>
      </c>
      <c r="Z16" s="26" t="e">
        <f t="shared" si="11"/>
        <v>#DIV/0!</v>
      </c>
      <c r="AA16" s="26" t="e">
        <f t="shared" si="11"/>
        <v>#DIV/0!</v>
      </c>
      <c r="AB16" s="26" t="e">
        <f t="shared" si="11"/>
        <v>#DIV/0!</v>
      </c>
      <c r="AC16" s="26" t="e">
        <f t="shared" si="11"/>
        <v>#DIV/0!</v>
      </c>
      <c r="AD16" s="26" t="e">
        <f t="shared" si="11"/>
        <v>#DIV/0!</v>
      </c>
      <c r="AE16" s="26" t="e">
        <f t="shared" si="11"/>
        <v>#DIV/0!</v>
      </c>
      <c r="AF16" s="26" t="e">
        <f t="shared" si="11"/>
        <v>#DIV/0!</v>
      </c>
      <c r="AG16" s="26" t="e">
        <f t="shared" si="11"/>
        <v>#DIV/0!</v>
      </c>
      <c r="AH16" s="26" t="e">
        <f t="shared" si="11"/>
        <v>#DIV/0!</v>
      </c>
      <c r="AI16" s="26" t="e">
        <f t="shared" si="11"/>
        <v>#DIV/0!</v>
      </c>
      <c r="AJ16" s="26" t="e">
        <f t="shared" si="11"/>
        <v>#DIV/0!</v>
      </c>
      <c r="AK16" s="26" t="e">
        <f t="shared" si="11"/>
        <v>#DIV/0!</v>
      </c>
      <c r="AL16" s="26" t="e">
        <f t="shared" si="11"/>
        <v>#DIV/0!</v>
      </c>
      <c r="AM16" s="26" t="e">
        <f t="shared" si="11"/>
        <v>#DIV/0!</v>
      </c>
      <c r="AN16" s="26" t="e">
        <f t="shared" si="11"/>
        <v>#DIV/0!</v>
      </c>
      <c r="AO16" s="26" t="e">
        <f t="shared" si="11"/>
        <v>#DIV/0!</v>
      </c>
      <c r="AP16" s="26" t="e">
        <f t="shared" si="11"/>
        <v>#DIV/0!</v>
      </c>
      <c r="AQ16" s="26" t="e">
        <f t="shared" si="11"/>
        <v>#DIV/0!</v>
      </c>
      <c r="AR16" s="26" t="e">
        <f t="shared" si="11"/>
        <v>#DIV/0!</v>
      </c>
      <c r="AS16" s="26" t="e">
        <f t="shared" si="11"/>
        <v>#DIV/0!</v>
      </c>
      <c r="AT16" s="26" t="e">
        <f t="shared" si="11"/>
        <v>#DIV/0!</v>
      </c>
      <c r="AU16" s="26" t="e">
        <f t="shared" si="11"/>
        <v>#DIV/0!</v>
      </c>
      <c r="AV16" s="26" t="e">
        <f t="shared" si="11"/>
        <v>#DIV/0!</v>
      </c>
      <c r="AW16" s="26" t="e">
        <f t="shared" si="11"/>
        <v>#DIV/0!</v>
      </c>
      <c r="AX16" s="26" t="e">
        <f t="shared" si="11"/>
        <v>#DIV/0!</v>
      </c>
      <c r="AY16" s="26" t="e">
        <f t="shared" si="11"/>
        <v>#DIV/0!</v>
      </c>
      <c r="AZ16" s="26" t="e">
        <f t="shared" si="11"/>
        <v>#DIV/0!</v>
      </c>
      <c r="BA16" s="26" t="e">
        <f t="shared" si="11"/>
        <v>#DIV/0!</v>
      </c>
      <c r="BB16" s="26" t="e">
        <f t="shared" si="11"/>
        <v>#DIV/0!</v>
      </c>
      <c r="BC16" s="26" t="e">
        <f t="shared" si="11"/>
        <v>#DIV/0!</v>
      </c>
      <c r="BD16" s="26" t="e">
        <f t="shared" si="11"/>
        <v>#DIV/0!</v>
      </c>
      <c r="BE16" s="26" t="e">
        <f t="shared" si="11"/>
        <v>#DIV/0!</v>
      </c>
      <c r="BF16" s="26" t="e">
        <f t="shared" si="11"/>
        <v>#DIV/0!</v>
      </c>
      <c r="BG16" s="26" t="e">
        <f t="shared" si="11"/>
        <v>#DIV/0!</v>
      </c>
      <c r="BH16" s="26" t="e">
        <f t="shared" si="11"/>
        <v>#DIV/0!</v>
      </c>
      <c r="BI16" s="26" t="e">
        <f t="shared" si="11"/>
        <v>#DIV/0!</v>
      </c>
      <c r="BJ16" s="26" t="e">
        <f t="shared" si="11"/>
        <v>#DIV/0!</v>
      </c>
      <c r="BK16" s="26" t="e">
        <f t="shared" si="11"/>
        <v>#DIV/0!</v>
      </c>
      <c r="BL16" s="26" t="e">
        <f t="shared" si="11"/>
        <v>#DIV/0!</v>
      </c>
      <c r="BM16" s="26" t="e">
        <f t="shared" si="11"/>
        <v>#DIV/0!</v>
      </c>
      <c r="BN16" s="26" t="e">
        <f t="shared" ref="BN16:CW16" si="12">BN7/BN9</f>
        <v>#DIV/0!</v>
      </c>
      <c r="BO16" s="26" t="e">
        <f t="shared" si="12"/>
        <v>#DIV/0!</v>
      </c>
      <c r="BP16" s="26" t="e">
        <f t="shared" si="12"/>
        <v>#DIV/0!</v>
      </c>
      <c r="BQ16" s="26" t="e">
        <f t="shared" si="12"/>
        <v>#DIV/0!</v>
      </c>
      <c r="BR16" s="26" t="e">
        <f t="shared" si="12"/>
        <v>#DIV/0!</v>
      </c>
      <c r="BS16" s="26" t="e">
        <f t="shared" si="12"/>
        <v>#DIV/0!</v>
      </c>
      <c r="BT16" s="26" t="e">
        <f t="shared" si="12"/>
        <v>#DIV/0!</v>
      </c>
      <c r="BU16" s="26" t="e">
        <f t="shared" si="12"/>
        <v>#DIV/0!</v>
      </c>
      <c r="BV16" s="26" t="e">
        <f t="shared" si="12"/>
        <v>#DIV/0!</v>
      </c>
      <c r="BW16" s="26" t="e">
        <f t="shared" si="12"/>
        <v>#DIV/0!</v>
      </c>
      <c r="BX16" s="26" t="e">
        <f t="shared" si="12"/>
        <v>#DIV/0!</v>
      </c>
      <c r="BY16" s="26" t="e">
        <f t="shared" si="12"/>
        <v>#DIV/0!</v>
      </c>
      <c r="BZ16" s="26" t="e">
        <f t="shared" si="12"/>
        <v>#DIV/0!</v>
      </c>
      <c r="CA16" s="26" t="e">
        <f t="shared" si="12"/>
        <v>#DIV/0!</v>
      </c>
      <c r="CB16" s="26" t="e">
        <f t="shared" si="12"/>
        <v>#DIV/0!</v>
      </c>
      <c r="CC16" s="26" t="e">
        <f t="shared" si="12"/>
        <v>#DIV/0!</v>
      </c>
      <c r="CD16" s="26" t="e">
        <f t="shared" si="12"/>
        <v>#DIV/0!</v>
      </c>
      <c r="CE16" s="26" t="e">
        <f t="shared" si="12"/>
        <v>#DIV/0!</v>
      </c>
      <c r="CF16" s="26" t="e">
        <f t="shared" si="12"/>
        <v>#DIV/0!</v>
      </c>
      <c r="CG16" s="26" t="e">
        <f t="shared" si="12"/>
        <v>#DIV/0!</v>
      </c>
      <c r="CH16" s="26" t="e">
        <f t="shared" si="12"/>
        <v>#DIV/0!</v>
      </c>
      <c r="CI16" s="26" t="e">
        <f t="shared" si="12"/>
        <v>#DIV/0!</v>
      </c>
      <c r="CJ16" s="26" t="e">
        <f t="shared" si="12"/>
        <v>#DIV/0!</v>
      </c>
      <c r="CK16" s="26" t="e">
        <f t="shared" si="12"/>
        <v>#DIV/0!</v>
      </c>
      <c r="CL16" s="26" t="e">
        <f t="shared" si="12"/>
        <v>#DIV/0!</v>
      </c>
      <c r="CM16" s="26" t="e">
        <f t="shared" si="12"/>
        <v>#DIV/0!</v>
      </c>
      <c r="CN16" s="26" t="e">
        <f t="shared" si="12"/>
        <v>#DIV/0!</v>
      </c>
      <c r="CO16" s="26" t="e">
        <f t="shared" si="12"/>
        <v>#DIV/0!</v>
      </c>
      <c r="CP16" s="26" t="e">
        <f t="shared" si="12"/>
        <v>#DIV/0!</v>
      </c>
      <c r="CQ16" s="26" t="e">
        <f t="shared" si="12"/>
        <v>#DIV/0!</v>
      </c>
      <c r="CR16" s="26" t="e">
        <f t="shared" si="12"/>
        <v>#DIV/0!</v>
      </c>
      <c r="CS16" s="26" t="e">
        <f t="shared" si="12"/>
        <v>#DIV/0!</v>
      </c>
      <c r="CT16" s="26" t="e">
        <f t="shared" si="12"/>
        <v>#DIV/0!</v>
      </c>
      <c r="CU16" s="26" t="e">
        <f t="shared" si="12"/>
        <v>#DIV/0!</v>
      </c>
      <c r="CV16" s="26" t="e">
        <f t="shared" si="12"/>
        <v>#DIV/0!</v>
      </c>
      <c r="CW16" s="26" t="e">
        <f t="shared" si="12"/>
        <v>#DIV/0!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 t="e">
        <f t="shared" ref="B17:BM17" si="13">B8/B9</f>
        <v>#DIV/0!</v>
      </c>
      <c r="C17" s="30" t="e">
        <f t="shared" si="13"/>
        <v>#DIV/0!</v>
      </c>
      <c r="D17" s="30" t="e">
        <f t="shared" si="13"/>
        <v>#DIV/0!</v>
      </c>
      <c r="E17" s="30" t="e">
        <f t="shared" si="13"/>
        <v>#DIV/0!</v>
      </c>
      <c r="F17" s="30" t="e">
        <f t="shared" si="13"/>
        <v>#DIV/0!</v>
      </c>
      <c r="G17" s="30" t="e">
        <f t="shared" si="13"/>
        <v>#DIV/0!</v>
      </c>
      <c r="H17" s="30" t="e">
        <f t="shared" si="13"/>
        <v>#DIV/0!</v>
      </c>
      <c r="I17" s="30" t="e">
        <f t="shared" si="13"/>
        <v>#DIV/0!</v>
      </c>
      <c r="J17" s="30" t="e">
        <f t="shared" si="13"/>
        <v>#DIV/0!</v>
      </c>
      <c r="K17" s="30" t="e">
        <f t="shared" si="13"/>
        <v>#DIV/0!</v>
      </c>
      <c r="L17" s="30" t="e">
        <f t="shared" si="13"/>
        <v>#DIV/0!</v>
      </c>
      <c r="M17" s="30" t="e">
        <f t="shared" si="13"/>
        <v>#DIV/0!</v>
      </c>
      <c r="N17" s="30" t="e">
        <f t="shared" si="13"/>
        <v>#DIV/0!</v>
      </c>
      <c r="O17" s="30" t="e">
        <f t="shared" si="13"/>
        <v>#DIV/0!</v>
      </c>
      <c r="P17" s="30" t="e">
        <f t="shared" si="13"/>
        <v>#DIV/0!</v>
      </c>
      <c r="Q17" s="30" t="e">
        <f t="shared" si="13"/>
        <v>#DIV/0!</v>
      </c>
      <c r="R17" s="30" t="e">
        <f t="shared" si="13"/>
        <v>#DIV/0!</v>
      </c>
      <c r="S17" s="30" t="e">
        <f t="shared" si="13"/>
        <v>#DIV/0!</v>
      </c>
      <c r="T17" s="30" t="e">
        <f t="shared" si="13"/>
        <v>#DIV/0!</v>
      </c>
      <c r="U17" s="30" t="e">
        <f t="shared" si="13"/>
        <v>#DIV/0!</v>
      </c>
      <c r="V17" s="30" t="e">
        <f t="shared" si="13"/>
        <v>#DIV/0!</v>
      </c>
      <c r="W17" s="30" t="e">
        <f t="shared" si="13"/>
        <v>#DIV/0!</v>
      </c>
      <c r="X17" s="30" t="e">
        <f t="shared" si="13"/>
        <v>#DIV/0!</v>
      </c>
      <c r="Y17" s="30" t="e">
        <f t="shared" si="13"/>
        <v>#DIV/0!</v>
      </c>
      <c r="Z17" s="30" t="e">
        <f t="shared" si="13"/>
        <v>#DIV/0!</v>
      </c>
      <c r="AA17" s="30" t="e">
        <f t="shared" si="13"/>
        <v>#DIV/0!</v>
      </c>
      <c r="AB17" s="30" t="e">
        <f t="shared" si="13"/>
        <v>#DIV/0!</v>
      </c>
      <c r="AC17" s="30" t="e">
        <f t="shared" si="13"/>
        <v>#DIV/0!</v>
      </c>
      <c r="AD17" s="30" t="e">
        <f t="shared" si="13"/>
        <v>#DIV/0!</v>
      </c>
      <c r="AE17" s="30" t="e">
        <f t="shared" si="13"/>
        <v>#DIV/0!</v>
      </c>
      <c r="AF17" s="30" t="e">
        <f t="shared" si="13"/>
        <v>#DIV/0!</v>
      </c>
      <c r="AG17" s="30" t="e">
        <f t="shared" si="13"/>
        <v>#DIV/0!</v>
      </c>
      <c r="AH17" s="30" t="e">
        <f t="shared" si="13"/>
        <v>#DIV/0!</v>
      </c>
      <c r="AI17" s="30" t="e">
        <f t="shared" si="13"/>
        <v>#DIV/0!</v>
      </c>
      <c r="AJ17" s="30" t="e">
        <f t="shared" si="13"/>
        <v>#DIV/0!</v>
      </c>
      <c r="AK17" s="30" t="e">
        <f t="shared" si="13"/>
        <v>#DIV/0!</v>
      </c>
      <c r="AL17" s="30" t="e">
        <f t="shared" si="13"/>
        <v>#DIV/0!</v>
      </c>
      <c r="AM17" s="30" t="e">
        <f t="shared" si="13"/>
        <v>#DIV/0!</v>
      </c>
      <c r="AN17" s="30" t="e">
        <f t="shared" si="13"/>
        <v>#DIV/0!</v>
      </c>
      <c r="AO17" s="30" t="e">
        <f t="shared" si="13"/>
        <v>#DIV/0!</v>
      </c>
      <c r="AP17" s="30" t="e">
        <f t="shared" si="13"/>
        <v>#DIV/0!</v>
      </c>
      <c r="AQ17" s="30" t="e">
        <f t="shared" si="13"/>
        <v>#DIV/0!</v>
      </c>
      <c r="AR17" s="30" t="e">
        <f t="shared" si="13"/>
        <v>#DIV/0!</v>
      </c>
      <c r="AS17" s="30" t="e">
        <f t="shared" si="13"/>
        <v>#DIV/0!</v>
      </c>
      <c r="AT17" s="30" t="e">
        <f t="shared" si="13"/>
        <v>#DIV/0!</v>
      </c>
      <c r="AU17" s="30" t="e">
        <f t="shared" si="13"/>
        <v>#DIV/0!</v>
      </c>
      <c r="AV17" s="30" t="e">
        <f t="shared" si="13"/>
        <v>#DIV/0!</v>
      </c>
      <c r="AW17" s="30" t="e">
        <f t="shared" si="13"/>
        <v>#DIV/0!</v>
      </c>
      <c r="AX17" s="30" t="e">
        <f t="shared" si="13"/>
        <v>#DIV/0!</v>
      </c>
      <c r="AY17" s="30" t="e">
        <f t="shared" si="13"/>
        <v>#DIV/0!</v>
      </c>
      <c r="AZ17" s="30" t="e">
        <f t="shared" si="13"/>
        <v>#DIV/0!</v>
      </c>
      <c r="BA17" s="30" t="e">
        <f t="shared" si="13"/>
        <v>#DIV/0!</v>
      </c>
      <c r="BB17" s="30" t="e">
        <f t="shared" si="13"/>
        <v>#DIV/0!</v>
      </c>
      <c r="BC17" s="30" t="e">
        <f t="shared" si="13"/>
        <v>#DIV/0!</v>
      </c>
      <c r="BD17" s="30" t="e">
        <f t="shared" si="13"/>
        <v>#DIV/0!</v>
      </c>
      <c r="BE17" s="30" t="e">
        <f t="shared" si="13"/>
        <v>#DIV/0!</v>
      </c>
      <c r="BF17" s="30" t="e">
        <f t="shared" si="13"/>
        <v>#DIV/0!</v>
      </c>
      <c r="BG17" s="30" t="e">
        <f t="shared" si="13"/>
        <v>#DIV/0!</v>
      </c>
      <c r="BH17" s="30" t="e">
        <f t="shared" si="13"/>
        <v>#DIV/0!</v>
      </c>
      <c r="BI17" s="30" t="e">
        <f t="shared" si="13"/>
        <v>#DIV/0!</v>
      </c>
      <c r="BJ17" s="30" t="e">
        <f t="shared" si="13"/>
        <v>#DIV/0!</v>
      </c>
      <c r="BK17" s="30" t="e">
        <f t="shared" si="13"/>
        <v>#DIV/0!</v>
      </c>
      <c r="BL17" s="30" t="e">
        <f t="shared" si="13"/>
        <v>#DIV/0!</v>
      </c>
      <c r="BM17" s="30" t="e">
        <f t="shared" si="13"/>
        <v>#DIV/0!</v>
      </c>
      <c r="BN17" s="30" t="e">
        <f t="shared" ref="BN17:CW17" si="14">BN8/BN9</f>
        <v>#DIV/0!</v>
      </c>
      <c r="BO17" s="30" t="e">
        <f t="shared" si="14"/>
        <v>#DIV/0!</v>
      </c>
      <c r="BP17" s="30" t="e">
        <f t="shared" si="14"/>
        <v>#DIV/0!</v>
      </c>
      <c r="BQ17" s="30" t="e">
        <f t="shared" si="14"/>
        <v>#DIV/0!</v>
      </c>
      <c r="BR17" s="30" t="e">
        <f t="shared" si="14"/>
        <v>#DIV/0!</v>
      </c>
      <c r="BS17" s="30" t="e">
        <f t="shared" si="14"/>
        <v>#DIV/0!</v>
      </c>
      <c r="BT17" s="30" t="e">
        <f t="shared" si="14"/>
        <v>#DIV/0!</v>
      </c>
      <c r="BU17" s="30" t="e">
        <f t="shared" si="14"/>
        <v>#DIV/0!</v>
      </c>
      <c r="BV17" s="30" t="e">
        <f t="shared" si="14"/>
        <v>#DIV/0!</v>
      </c>
      <c r="BW17" s="30" t="e">
        <f t="shared" si="14"/>
        <v>#DIV/0!</v>
      </c>
      <c r="BX17" s="30" t="e">
        <f t="shared" si="14"/>
        <v>#DIV/0!</v>
      </c>
      <c r="BY17" s="30" t="e">
        <f t="shared" si="14"/>
        <v>#DIV/0!</v>
      </c>
      <c r="BZ17" s="30" t="e">
        <f t="shared" si="14"/>
        <v>#DIV/0!</v>
      </c>
      <c r="CA17" s="30" t="e">
        <f t="shared" si="14"/>
        <v>#DIV/0!</v>
      </c>
      <c r="CB17" s="30" t="e">
        <f t="shared" si="14"/>
        <v>#DIV/0!</v>
      </c>
      <c r="CC17" s="30" t="e">
        <f t="shared" si="14"/>
        <v>#DIV/0!</v>
      </c>
      <c r="CD17" s="30" t="e">
        <f t="shared" si="14"/>
        <v>#DIV/0!</v>
      </c>
      <c r="CE17" s="30" t="e">
        <f t="shared" si="14"/>
        <v>#DIV/0!</v>
      </c>
      <c r="CF17" s="30" t="e">
        <f t="shared" si="14"/>
        <v>#DIV/0!</v>
      </c>
      <c r="CG17" s="30" t="e">
        <f t="shared" si="14"/>
        <v>#DIV/0!</v>
      </c>
      <c r="CH17" s="30" t="e">
        <f t="shared" si="14"/>
        <v>#DIV/0!</v>
      </c>
      <c r="CI17" s="30" t="e">
        <f t="shared" si="14"/>
        <v>#DIV/0!</v>
      </c>
      <c r="CJ17" s="30" t="e">
        <f t="shared" si="14"/>
        <v>#DIV/0!</v>
      </c>
      <c r="CK17" s="30" t="e">
        <f t="shared" si="14"/>
        <v>#DIV/0!</v>
      </c>
      <c r="CL17" s="30" t="e">
        <f t="shared" si="14"/>
        <v>#DIV/0!</v>
      </c>
      <c r="CM17" s="30" t="e">
        <f t="shared" si="14"/>
        <v>#DIV/0!</v>
      </c>
      <c r="CN17" s="30" t="e">
        <f t="shared" si="14"/>
        <v>#DIV/0!</v>
      </c>
      <c r="CO17" s="30" t="e">
        <f t="shared" si="14"/>
        <v>#DIV/0!</v>
      </c>
      <c r="CP17" s="30" t="e">
        <f t="shared" si="14"/>
        <v>#DIV/0!</v>
      </c>
      <c r="CQ17" s="30" t="e">
        <f t="shared" si="14"/>
        <v>#DIV/0!</v>
      </c>
      <c r="CR17" s="30" t="e">
        <f t="shared" si="14"/>
        <v>#DIV/0!</v>
      </c>
      <c r="CS17" s="30" t="e">
        <f t="shared" si="14"/>
        <v>#DIV/0!</v>
      </c>
      <c r="CT17" s="30" t="e">
        <f t="shared" si="14"/>
        <v>#DIV/0!</v>
      </c>
      <c r="CU17" s="30" t="e">
        <f t="shared" si="14"/>
        <v>#DIV/0!</v>
      </c>
      <c r="CV17" s="30" t="e">
        <f t="shared" si="14"/>
        <v>#DIV/0!</v>
      </c>
      <c r="CW17" s="30" t="e">
        <f t="shared" si="14"/>
        <v>#DIV/0!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 t="e">
        <f t="shared" ref="B18:BM18" si="15">B15+B16</f>
        <v>#DIV/0!</v>
      </c>
      <c r="C18" s="35" t="e">
        <f t="shared" si="15"/>
        <v>#DIV/0!</v>
      </c>
      <c r="D18" s="35" t="e">
        <f t="shared" si="15"/>
        <v>#DIV/0!</v>
      </c>
      <c r="E18" s="35" t="e">
        <f t="shared" si="15"/>
        <v>#DIV/0!</v>
      </c>
      <c r="F18" s="35" t="e">
        <f t="shared" si="15"/>
        <v>#DIV/0!</v>
      </c>
      <c r="G18" s="35" t="e">
        <f t="shared" si="15"/>
        <v>#DIV/0!</v>
      </c>
      <c r="H18" s="35" t="e">
        <f t="shared" si="15"/>
        <v>#DIV/0!</v>
      </c>
      <c r="I18" s="35" t="e">
        <f t="shared" si="15"/>
        <v>#DIV/0!</v>
      </c>
      <c r="J18" s="35" t="e">
        <f t="shared" si="15"/>
        <v>#DIV/0!</v>
      </c>
      <c r="K18" s="35" t="e">
        <f t="shared" si="15"/>
        <v>#DIV/0!</v>
      </c>
      <c r="L18" s="35" t="e">
        <f t="shared" si="15"/>
        <v>#DIV/0!</v>
      </c>
      <c r="M18" s="35" t="e">
        <f t="shared" si="15"/>
        <v>#DIV/0!</v>
      </c>
      <c r="N18" s="35" t="e">
        <f t="shared" si="15"/>
        <v>#DIV/0!</v>
      </c>
      <c r="O18" s="35" t="e">
        <f t="shared" si="15"/>
        <v>#DIV/0!</v>
      </c>
      <c r="P18" s="35" t="e">
        <f t="shared" si="15"/>
        <v>#DIV/0!</v>
      </c>
      <c r="Q18" s="35" t="e">
        <f t="shared" si="15"/>
        <v>#DIV/0!</v>
      </c>
      <c r="R18" s="35" t="e">
        <f t="shared" si="15"/>
        <v>#DIV/0!</v>
      </c>
      <c r="S18" s="35" t="e">
        <f t="shared" si="15"/>
        <v>#DIV/0!</v>
      </c>
      <c r="T18" s="35" t="e">
        <f t="shared" si="15"/>
        <v>#DIV/0!</v>
      </c>
      <c r="U18" s="35" t="e">
        <f t="shared" si="15"/>
        <v>#DIV/0!</v>
      </c>
      <c r="V18" s="35" t="e">
        <f t="shared" si="15"/>
        <v>#DIV/0!</v>
      </c>
      <c r="W18" s="35" t="e">
        <f t="shared" si="15"/>
        <v>#DIV/0!</v>
      </c>
      <c r="X18" s="35" t="e">
        <f t="shared" si="15"/>
        <v>#DIV/0!</v>
      </c>
      <c r="Y18" s="35" t="e">
        <f t="shared" si="15"/>
        <v>#DIV/0!</v>
      </c>
      <c r="Z18" s="35" t="e">
        <f t="shared" si="15"/>
        <v>#DIV/0!</v>
      </c>
      <c r="AA18" s="35" t="e">
        <f t="shared" si="15"/>
        <v>#DIV/0!</v>
      </c>
      <c r="AB18" s="35" t="e">
        <f t="shared" si="15"/>
        <v>#DIV/0!</v>
      </c>
      <c r="AC18" s="35" t="e">
        <f t="shared" si="15"/>
        <v>#DIV/0!</v>
      </c>
      <c r="AD18" s="35" t="e">
        <f t="shared" si="15"/>
        <v>#DIV/0!</v>
      </c>
      <c r="AE18" s="35" t="e">
        <f t="shared" si="15"/>
        <v>#DIV/0!</v>
      </c>
      <c r="AF18" s="35" t="e">
        <f t="shared" si="15"/>
        <v>#DIV/0!</v>
      </c>
      <c r="AG18" s="35" t="e">
        <f t="shared" si="15"/>
        <v>#DIV/0!</v>
      </c>
      <c r="AH18" s="35" t="e">
        <f t="shared" si="15"/>
        <v>#DIV/0!</v>
      </c>
      <c r="AI18" s="35" t="e">
        <f t="shared" si="15"/>
        <v>#DIV/0!</v>
      </c>
      <c r="AJ18" s="35" t="e">
        <f t="shared" si="15"/>
        <v>#DIV/0!</v>
      </c>
      <c r="AK18" s="35" t="e">
        <f t="shared" si="15"/>
        <v>#DIV/0!</v>
      </c>
      <c r="AL18" s="35" t="e">
        <f t="shared" si="15"/>
        <v>#DIV/0!</v>
      </c>
      <c r="AM18" s="35" t="e">
        <f t="shared" si="15"/>
        <v>#DIV/0!</v>
      </c>
      <c r="AN18" s="35" t="e">
        <f t="shared" si="15"/>
        <v>#DIV/0!</v>
      </c>
      <c r="AO18" s="35" t="e">
        <f t="shared" si="15"/>
        <v>#DIV/0!</v>
      </c>
      <c r="AP18" s="35" t="e">
        <f t="shared" si="15"/>
        <v>#DIV/0!</v>
      </c>
      <c r="AQ18" s="35" t="e">
        <f t="shared" si="15"/>
        <v>#DIV/0!</v>
      </c>
      <c r="AR18" s="35" t="e">
        <f t="shared" si="15"/>
        <v>#DIV/0!</v>
      </c>
      <c r="AS18" s="35" t="e">
        <f t="shared" si="15"/>
        <v>#DIV/0!</v>
      </c>
      <c r="AT18" s="35" t="e">
        <f t="shared" si="15"/>
        <v>#DIV/0!</v>
      </c>
      <c r="AU18" s="35" t="e">
        <f t="shared" si="15"/>
        <v>#DIV/0!</v>
      </c>
      <c r="AV18" s="35" t="e">
        <f t="shared" si="15"/>
        <v>#DIV/0!</v>
      </c>
      <c r="AW18" s="35" t="e">
        <f t="shared" si="15"/>
        <v>#DIV/0!</v>
      </c>
      <c r="AX18" s="35" t="e">
        <f t="shared" si="15"/>
        <v>#DIV/0!</v>
      </c>
      <c r="AY18" s="35" t="e">
        <f t="shared" si="15"/>
        <v>#DIV/0!</v>
      </c>
      <c r="AZ18" s="35" t="e">
        <f t="shared" si="15"/>
        <v>#DIV/0!</v>
      </c>
      <c r="BA18" s="35" t="e">
        <f t="shared" si="15"/>
        <v>#DIV/0!</v>
      </c>
      <c r="BB18" s="35" t="e">
        <f t="shared" si="15"/>
        <v>#DIV/0!</v>
      </c>
      <c r="BC18" s="35" t="e">
        <f t="shared" si="15"/>
        <v>#DIV/0!</v>
      </c>
      <c r="BD18" s="35" t="e">
        <f t="shared" si="15"/>
        <v>#DIV/0!</v>
      </c>
      <c r="BE18" s="35" t="e">
        <f t="shared" si="15"/>
        <v>#DIV/0!</v>
      </c>
      <c r="BF18" s="35" t="e">
        <f t="shared" si="15"/>
        <v>#DIV/0!</v>
      </c>
      <c r="BG18" s="35" t="e">
        <f t="shared" si="15"/>
        <v>#DIV/0!</v>
      </c>
      <c r="BH18" s="35" t="e">
        <f t="shared" si="15"/>
        <v>#DIV/0!</v>
      </c>
      <c r="BI18" s="35" t="e">
        <f t="shared" si="15"/>
        <v>#DIV/0!</v>
      </c>
      <c r="BJ18" s="35" t="e">
        <f t="shared" si="15"/>
        <v>#DIV/0!</v>
      </c>
      <c r="BK18" s="35" t="e">
        <f t="shared" si="15"/>
        <v>#DIV/0!</v>
      </c>
      <c r="BL18" s="35" t="e">
        <f t="shared" si="15"/>
        <v>#DIV/0!</v>
      </c>
      <c r="BM18" s="35" t="e">
        <f t="shared" si="15"/>
        <v>#DIV/0!</v>
      </c>
      <c r="BN18" s="35" t="e">
        <f t="shared" ref="BN18:CW18" si="16">BN15+BN16</f>
        <v>#DIV/0!</v>
      </c>
      <c r="BO18" s="35" t="e">
        <f t="shared" si="16"/>
        <v>#DIV/0!</v>
      </c>
      <c r="BP18" s="35" t="e">
        <f t="shared" si="16"/>
        <v>#DIV/0!</v>
      </c>
      <c r="BQ18" s="35" t="e">
        <f t="shared" si="16"/>
        <v>#DIV/0!</v>
      </c>
      <c r="BR18" s="35" t="e">
        <f t="shared" si="16"/>
        <v>#DIV/0!</v>
      </c>
      <c r="BS18" s="35" t="e">
        <f t="shared" si="16"/>
        <v>#DIV/0!</v>
      </c>
      <c r="BT18" s="35" t="e">
        <f t="shared" si="16"/>
        <v>#DIV/0!</v>
      </c>
      <c r="BU18" s="35" t="e">
        <f t="shared" si="16"/>
        <v>#DIV/0!</v>
      </c>
      <c r="BV18" s="35" t="e">
        <f t="shared" si="16"/>
        <v>#DIV/0!</v>
      </c>
      <c r="BW18" s="35" t="e">
        <f t="shared" si="16"/>
        <v>#DIV/0!</v>
      </c>
      <c r="BX18" s="35" t="e">
        <f t="shared" si="16"/>
        <v>#DIV/0!</v>
      </c>
      <c r="BY18" s="35" t="e">
        <f t="shared" si="16"/>
        <v>#DIV/0!</v>
      </c>
      <c r="BZ18" s="35" t="e">
        <f t="shared" si="16"/>
        <v>#DIV/0!</v>
      </c>
      <c r="CA18" s="35" t="e">
        <f t="shared" si="16"/>
        <v>#DIV/0!</v>
      </c>
      <c r="CB18" s="35" t="e">
        <f t="shared" si="16"/>
        <v>#DIV/0!</v>
      </c>
      <c r="CC18" s="35" t="e">
        <f t="shared" si="16"/>
        <v>#DIV/0!</v>
      </c>
      <c r="CD18" s="35" t="e">
        <f t="shared" si="16"/>
        <v>#DIV/0!</v>
      </c>
      <c r="CE18" s="35" t="e">
        <f t="shared" si="16"/>
        <v>#DIV/0!</v>
      </c>
      <c r="CF18" s="35" t="e">
        <f t="shared" si="16"/>
        <v>#DIV/0!</v>
      </c>
      <c r="CG18" s="35" t="e">
        <f t="shared" si="16"/>
        <v>#DIV/0!</v>
      </c>
      <c r="CH18" s="35" t="e">
        <f t="shared" si="16"/>
        <v>#DIV/0!</v>
      </c>
      <c r="CI18" s="35" t="e">
        <f t="shared" si="16"/>
        <v>#DIV/0!</v>
      </c>
      <c r="CJ18" s="35" t="e">
        <f t="shared" si="16"/>
        <v>#DIV/0!</v>
      </c>
      <c r="CK18" s="35" t="e">
        <f t="shared" si="16"/>
        <v>#DIV/0!</v>
      </c>
      <c r="CL18" s="35" t="e">
        <f t="shared" si="16"/>
        <v>#DIV/0!</v>
      </c>
      <c r="CM18" s="35" t="e">
        <f t="shared" si="16"/>
        <v>#DIV/0!</v>
      </c>
      <c r="CN18" s="35" t="e">
        <f t="shared" si="16"/>
        <v>#DIV/0!</v>
      </c>
      <c r="CO18" s="35" t="e">
        <f t="shared" si="16"/>
        <v>#DIV/0!</v>
      </c>
      <c r="CP18" s="35" t="e">
        <f t="shared" si="16"/>
        <v>#DIV/0!</v>
      </c>
      <c r="CQ18" s="35" t="e">
        <f t="shared" si="16"/>
        <v>#DIV/0!</v>
      </c>
      <c r="CR18" s="35" t="e">
        <f t="shared" si="16"/>
        <v>#DIV/0!</v>
      </c>
      <c r="CS18" s="35" t="e">
        <f t="shared" si="16"/>
        <v>#DIV/0!</v>
      </c>
      <c r="CT18" s="35" t="e">
        <f t="shared" si="16"/>
        <v>#DIV/0!</v>
      </c>
      <c r="CU18" s="35" t="e">
        <f t="shared" si="16"/>
        <v>#DIV/0!</v>
      </c>
      <c r="CV18" s="35" t="e">
        <f t="shared" si="16"/>
        <v>#DIV/0!</v>
      </c>
      <c r="CW18" s="35" t="e">
        <f t="shared" si="16"/>
        <v>#DIV/0!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 t="e">
        <f t="shared" ref="B19:BM19" si="17">B15+B16+B17</f>
        <v>#DIV/0!</v>
      </c>
      <c r="C19" s="35" t="e">
        <f t="shared" si="17"/>
        <v>#DIV/0!</v>
      </c>
      <c r="D19" s="35" t="e">
        <f t="shared" si="17"/>
        <v>#DIV/0!</v>
      </c>
      <c r="E19" s="35" t="e">
        <f t="shared" si="17"/>
        <v>#DIV/0!</v>
      </c>
      <c r="F19" s="35" t="e">
        <f t="shared" si="17"/>
        <v>#DIV/0!</v>
      </c>
      <c r="G19" s="35" t="e">
        <f t="shared" si="17"/>
        <v>#DIV/0!</v>
      </c>
      <c r="H19" s="35" t="e">
        <f t="shared" si="17"/>
        <v>#DIV/0!</v>
      </c>
      <c r="I19" s="35" t="e">
        <f t="shared" si="17"/>
        <v>#DIV/0!</v>
      </c>
      <c r="J19" s="35" t="e">
        <f t="shared" si="17"/>
        <v>#DIV/0!</v>
      </c>
      <c r="K19" s="35" t="e">
        <f t="shared" si="17"/>
        <v>#DIV/0!</v>
      </c>
      <c r="L19" s="35" t="e">
        <f t="shared" si="17"/>
        <v>#DIV/0!</v>
      </c>
      <c r="M19" s="35" t="e">
        <f t="shared" si="17"/>
        <v>#DIV/0!</v>
      </c>
      <c r="N19" s="35" t="e">
        <f t="shared" si="17"/>
        <v>#DIV/0!</v>
      </c>
      <c r="O19" s="35" t="e">
        <f t="shared" si="17"/>
        <v>#DIV/0!</v>
      </c>
      <c r="P19" s="35" t="e">
        <f t="shared" si="17"/>
        <v>#DIV/0!</v>
      </c>
      <c r="Q19" s="35" t="e">
        <f t="shared" si="17"/>
        <v>#DIV/0!</v>
      </c>
      <c r="R19" s="35" t="e">
        <f t="shared" si="17"/>
        <v>#DIV/0!</v>
      </c>
      <c r="S19" s="35" t="e">
        <f t="shared" si="17"/>
        <v>#DIV/0!</v>
      </c>
      <c r="T19" s="35" t="e">
        <f t="shared" si="17"/>
        <v>#DIV/0!</v>
      </c>
      <c r="U19" s="35" t="e">
        <f t="shared" si="17"/>
        <v>#DIV/0!</v>
      </c>
      <c r="V19" s="35" t="e">
        <f t="shared" si="17"/>
        <v>#DIV/0!</v>
      </c>
      <c r="W19" s="35" t="e">
        <f t="shared" si="17"/>
        <v>#DIV/0!</v>
      </c>
      <c r="X19" s="35" t="e">
        <f t="shared" si="17"/>
        <v>#DIV/0!</v>
      </c>
      <c r="Y19" s="35" t="e">
        <f t="shared" si="17"/>
        <v>#DIV/0!</v>
      </c>
      <c r="Z19" s="35" t="e">
        <f t="shared" si="17"/>
        <v>#DIV/0!</v>
      </c>
      <c r="AA19" s="35" t="e">
        <f t="shared" si="17"/>
        <v>#DIV/0!</v>
      </c>
      <c r="AB19" s="35" t="e">
        <f t="shared" si="17"/>
        <v>#DIV/0!</v>
      </c>
      <c r="AC19" s="35" t="e">
        <f t="shared" si="17"/>
        <v>#DIV/0!</v>
      </c>
      <c r="AD19" s="35" t="e">
        <f t="shared" si="17"/>
        <v>#DIV/0!</v>
      </c>
      <c r="AE19" s="35" t="e">
        <f t="shared" si="17"/>
        <v>#DIV/0!</v>
      </c>
      <c r="AF19" s="35" t="e">
        <f t="shared" si="17"/>
        <v>#DIV/0!</v>
      </c>
      <c r="AG19" s="35" t="e">
        <f t="shared" si="17"/>
        <v>#DIV/0!</v>
      </c>
      <c r="AH19" s="35" t="e">
        <f t="shared" si="17"/>
        <v>#DIV/0!</v>
      </c>
      <c r="AI19" s="35" t="e">
        <f t="shared" si="17"/>
        <v>#DIV/0!</v>
      </c>
      <c r="AJ19" s="35" t="e">
        <f t="shared" si="17"/>
        <v>#DIV/0!</v>
      </c>
      <c r="AK19" s="200" t="e">
        <f t="shared" si="17"/>
        <v>#DIV/0!</v>
      </c>
      <c r="AL19" s="35" t="e">
        <f t="shared" si="17"/>
        <v>#DIV/0!</v>
      </c>
      <c r="AM19" s="35" t="e">
        <f t="shared" si="17"/>
        <v>#DIV/0!</v>
      </c>
      <c r="AN19" s="35" t="e">
        <f t="shared" si="17"/>
        <v>#DIV/0!</v>
      </c>
      <c r="AO19" s="35" t="e">
        <f t="shared" si="17"/>
        <v>#DIV/0!</v>
      </c>
      <c r="AP19" s="35" t="e">
        <f t="shared" si="17"/>
        <v>#DIV/0!</v>
      </c>
      <c r="AQ19" s="35" t="e">
        <f t="shared" si="17"/>
        <v>#DIV/0!</v>
      </c>
      <c r="AR19" s="35" t="e">
        <f t="shared" si="17"/>
        <v>#DIV/0!</v>
      </c>
      <c r="AS19" s="35" t="e">
        <f t="shared" si="17"/>
        <v>#DIV/0!</v>
      </c>
      <c r="AT19" s="35" t="e">
        <f t="shared" si="17"/>
        <v>#DIV/0!</v>
      </c>
      <c r="AU19" s="35" t="e">
        <f t="shared" si="17"/>
        <v>#DIV/0!</v>
      </c>
      <c r="AV19" s="35" t="e">
        <f t="shared" si="17"/>
        <v>#DIV/0!</v>
      </c>
      <c r="AW19" s="35" t="e">
        <f t="shared" si="17"/>
        <v>#DIV/0!</v>
      </c>
      <c r="AX19" s="35" t="e">
        <f t="shared" si="17"/>
        <v>#DIV/0!</v>
      </c>
      <c r="AY19" s="35" t="e">
        <f t="shared" si="17"/>
        <v>#DIV/0!</v>
      </c>
      <c r="AZ19" s="35" t="e">
        <f t="shared" si="17"/>
        <v>#DIV/0!</v>
      </c>
      <c r="BA19" s="35" t="e">
        <f t="shared" si="17"/>
        <v>#DIV/0!</v>
      </c>
      <c r="BB19" s="35" t="e">
        <f t="shared" si="17"/>
        <v>#DIV/0!</v>
      </c>
      <c r="BC19" s="35" t="e">
        <f t="shared" si="17"/>
        <v>#DIV/0!</v>
      </c>
      <c r="BD19" s="35" t="e">
        <f t="shared" si="17"/>
        <v>#DIV/0!</v>
      </c>
      <c r="BE19" s="35" t="e">
        <f t="shared" si="17"/>
        <v>#DIV/0!</v>
      </c>
      <c r="BF19" s="35" t="e">
        <f t="shared" si="17"/>
        <v>#DIV/0!</v>
      </c>
      <c r="BG19" s="35" t="e">
        <f t="shared" si="17"/>
        <v>#DIV/0!</v>
      </c>
      <c r="BH19" s="35" t="e">
        <f t="shared" si="17"/>
        <v>#DIV/0!</v>
      </c>
      <c r="BI19" s="35" t="e">
        <f t="shared" si="17"/>
        <v>#DIV/0!</v>
      </c>
      <c r="BJ19" s="35" t="e">
        <f t="shared" si="17"/>
        <v>#DIV/0!</v>
      </c>
      <c r="BK19" s="35" t="e">
        <f t="shared" si="17"/>
        <v>#DIV/0!</v>
      </c>
      <c r="BL19" s="35" t="e">
        <f t="shared" si="17"/>
        <v>#DIV/0!</v>
      </c>
      <c r="BM19" s="35" t="e">
        <f t="shared" si="17"/>
        <v>#DIV/0!</v>
      </c>
      <c r="BN19" s="35" t="e">
        <f t="shared" ref="BN19:CW19" si="18">BN15+BN16+BN17</f>
        <v>#DIV/0!</v>
      </c>
      <c r="BO19" s="35" t="e">
        <f t="shared" si="18"/>
        <v>#DIV/0!</v>
      </c>
      <c r="BP19" s="35" t="e">
        <f t="shared" si="18"/>
        <v>#DIV/0!</v>
      </c>
      <c r="BQ19" s="35" t="e">
        <f t="shared" si="18"/>
        <v>#DIV/0!</v>
      </c>
      <c r="BR19" s="35" t="e">
        <f t="shared" si="18"/>
        <v>#DIV/0!</v>
      </c>
      <c r="BS19" s="35" t="e">
        <f t="shared" si="18"/>
        <v>#DIV/0!</v>
      </c>
      <c r="BT19" s="35" t="e">
        <f t="shared" si="18"/>
        <v>#DIV/0!</v>
      </c>
      <c r="BU19" s="35" t="e">
        <f t="shared" si="18"/>
        <v>#DIV/0!</v>
      </c>
      <c r="BV19" s="35" t="e">
        <f t="shared" si="18"/>
        <v>#DIV/0!</v>
      </c>
      <c r="BW19" s="35" t="e">
        <f t="shared" si="18"/>
        <v>#DIV/0!</v>
      </c>
      <c r="BX19" s="35" t="e">
        <f t="shared" si="18"/>
        <v>#DIV/0!</v>
      </c>
      <c r="BY19" s="35" t="e">
        <f t="shared" si="18"/>
        <v>#DIV/0!</v>
      </c>
      <c r="BZ19" s="35" t="e">
        <f t="shared" si="18"/>
        <v>#DIV/0!</v>
      </c>
      <c r="CA19" s="35" t="e">
        <f t="shared" si="18"/>
        <v>#DIV/0!</v>
      </c>
      <c r="CB19" s="35" t="e">
        <f t="shared" si="18"/>
        <v>#DIV/0!</v>
      </c>
      <c r="CC19" s="35" t="e">
        <f t="shared" si="18"/>
        <v>#DIV/0!</v>
      </c>
      <c r="CD19" s="35" t="e">
        <f t="shared" si="18"/>
        <v>#DIV/0!</v>
      </c>
      <c r="CE19" s="35" t="e">
        <f t="shared" si="18"/>
        <v>#DIV/0!</v>
      </c>
      <c r="CF19" s="35" t="e">
        <f t="shared" si="18"/>
        <v>#DIV/0!</v>
      </c>
      <c r="CG19" s="35" t="e">
        <f t="shared" si="18"/>
        <v>#DIV/0!</v>
      </c>
      <c r="CH19" s="35" t="e">
        <f t="shared" si="18"/>
        <v>#DIV/0!</v>
      </c>
      <c r="CI19" s="35" t="e">
        <f t="shared" si="18"/>
        <v>#DIV/0!</v>
      </c>
      <c r="CJ19" s="35" t="e">
        <f t="shared" si="18"/>
        <v>#DIV/0!</v>
      </c>
      <c r="CK19" s="35" t="e">
        <f t="shared" si="18"/>
        <v>#DIV/0!</v>
      </c>
      <c r="CL19" s="35" t="e">
        <f t="shared" si="18"/>
        <v>#DIV/0!</v>
      </c>
      <c r="CM19" s="35" t="e">
        <f t="shared" si="18"/>
        <v>#DIV/0!</v>
      </c>
      <c r="CN19" s="35" t="e">
        <f t="shared" si="18"/>
        <v>#DIV/0!</v>
      </c>
      <c r="CO19" s="35" t="e">
        <f t="shared" si="18"/>
        <v>#DIV/0!</v>
      </c>
      <c r="CP19" s="35" t="e">
        <f t="shared" si="18"/>
        <v>#DIV/0!</v>
      </c>
      <c r="CQ19" s="35" t="e">
        <f t="shared" si="18"/>
        <v>#DIV/0!</v>
      </c>
      <c r="CR19" s="35" t="e">
        <f t="shared" si="18"/>
        <v>#DIV/0!</v>
      </c>
      <c r="CS19" s="35" t="e">
        <f t="shared" si="18"/>
        <v>#DIV/0!</v>
      </c>
      <c r="CT19" s="35" t="e">
        <f t="shared" si="18"/>
        <v>#DIV/0!</v>
      </c>
      <c r="CU19" s="35" t="e">
        <f t="shared" si="18"/>
        <v>#DIV/0!</v>
      </c>
      <c r="CV19" s="35" t="e">
        <f t="shared" si="18"/>
        <v>#DIV/0!</v>
      </c>
      <c r="CW19" s="35" t="e">
        <f t="shared" si="18"/>
        <v>#DIV/0!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 t="e">
        <f t="shared" ref="B20:BM20" si="19">1/B17</f>
        <v>#DIV/0!</v>
      </c>
      <c r="C20" s="41" t="e">
        <f t="shared" si="19"/>
        <v>#DIV/0!</v>
      </c>
      <c r="D20" s="41" t="e">
        <f t="shared" si="19"/>
        <v>#DIV/0!</v>
      </c>
      <c r="E20" s="41" t="e">
        <f t="shared" si="19"/>
        <v>#DIV/0!</v>
      </c>
      <c r="F20" s="41" t="e">
        <f t="shared" si="19"/>
        <v>#DIV/0!</v>
      </c>
      <c r="G20" s="41" t="e">
        <f t="shared" si="19"/>
        <v>#DIV/0!</v>
      </c>
      <c r="H20" s="41" t="e">
        <f t="shared" si="19"/>
        <v>#DIV/0!</v>
      </c>
      <c r="I20" s="41" t="e">
        <f t="shared" si="19"/>
        <v>#DIV/0!</v>
      </c>
      <c r="J20" s="41" t="e">
        <f t="shared" si="19"/>
        <v>#DIV/0!</v>
      </c>
      <c r="K20" s="41" t="e">
        <f t="shared" si="19"/>
        <v>#DIV/0!</v>
      </c>
      <c r="L20" s="41" t="e">
        <f t="shared" si="19"/>
        <v>#DIV/0!</v>
      </c>
      <c r="M20" s="41" t="e">
        <f t="shared" si="19"/>
        <v>#DIV/0!</v>
      </c>
      <c r="N20" s="41" t="e">
        <f t="shared" si="19"/>
        <v>#DIV/0!</v>
      </c>
      <c r="O20" s="41" t="e">
        <f t="shared" si="19"/>
        <v>#DIV/0!</v>
      </c>
      <c r="P20" s="41" t="e">
        <f t="shared" si="19"/>
        <v>#DIV/0!</v>
      </c>
      <c r="Q20" s="41" t="e">
        <f t="shared" si="19"/>
        <v>#DIV/0!</v>
      </c>
      <c r="R20" s="41" t="e">
        <f t="shared" si="19"/>
        <v>#DIV/0!</v>
      </c>
      <c r="S20" s="41" t="e">
        <f t="shared" si="19"/>
        <v>#DIV/0!</v>
      </c>
      <c r="T20" s="41" t="e">
        <f t="shared" si="19"/>
        <v>#DIV/0!</v>
      </c>
      <c r="U20" s="41" t="e">
        <f t="shared" si="19"/>
        <v>#DIV/0!</v>
      </c>
      <c r="V20" s="41" t="e">
        <f t="shared" si="19"/>
        <v>#DIV/0!</v>
      </c>
      <c r="W20" s="41" t="e">
        <f t="shared" si="19"/>
        <v>#DIV/0!</v>
      </c>
      <c r="X20" s="41" t="e">
        <f t="shared" si="19"/>
        <v>#DIV/0!</v>
      </c>
      <c r="Y20" s="41" t="e">
        <f t="shared" si="19"/>
        <v>#DIV/0!</v>
      </c>
      <c r="Z20" s="41" t="e">
        <f t="shared" si="19"/>
        <v>#DIV/0!</v>
      </c>
      <c r="AA20" s="41" t="e">
        <f t="shared" si="19"/>
        <v>#DIV/0!</v>
      </c>
      <c r="AB20" s="41" t="e">
        <f t="shared" si="19"/>
        <v>#DIV/0!</v>
      </c>
      <c r="AC20" s="41" t="e">
        <f t="shared" si="19"/>
        <v>#DIV/0!</v>
      </c>
      <c r="AD20" s="41" t="e">
        <f t="shared" si="19"/>
        <v>#DIV/0!</v>
      </c>
      <c r="AE20" s="41" t="e">
        <f t="shared" si="19"/>
        <v>#DIV/0!</v>
      </c>
      <c r="AF20" s="41" t="e">
        <f t="shared" si="19"/>
        <v>#DIV/0!</v>
      </c>
      <c r="AG20" s="41" t="e">
        <f t="shared" si="19"/>
        <v>#DIV/0!</v>
      </c>
      <c r="AH20" s="41" t="e">
        <f t="shared" si="19"/>
        <v>#DIV/0!</v>
      </c>
      <c r="AI20" s="41" t="e">
        <f t="shared" si="19"/>
        <v>#DIV/0!</v>
      </c>
      <c r="AJ20" s="41" t="e">
        <f t="shared" si="19"/>
        <v>#DIV/0!</v>
      </c>
      <c r="AK20" s="41" t="e">
        <f t="shared" si="19"/>
        <v>#DIV/0!</v>
      </c>
      <c r="AL20" s="41" t="e">
        <f t="shared" si="19"/>
        <v>#DIV/0!</v>
      </c>
      <c r="AM20" s="41" t="e">
        <f t="shared" si="19"/>
        <v>#DIV/0!</v>
      </c>
      <c r="AN20" s="41" t="e">
        <f t="shared" si="19"/>
        <v>#DIV/0!</v>
      </c>
      <c r="AO20" s="41" t="e">
        <f t="shared" si="19"/>
        <v>#DIV/0!</v>
      </c>
      <c r="AP20" s="41" t="e">
        <f t="shared" si="19"/>
        <v>#DIV/0!</v>
      </c>
      <c r="AQ20" s="41" t="e">
        <f t="shared" si="19"/>
        <v>#DIV/0!</v>
      </c>
      <c r="AR20" s="41" t="e">
        <f t="shared" si="19"/>
        <v>#DIV/0!</v>
      </c>
      <c r="AS20" s="41" t="e">
        <f t="shared" si="19"/>
        <v>#DIV/0!</v>
      </c>
      <c r="AT20" s="41" t="e">
        <f t="shared" si="19"/>
        <v>#DIV/0!</v>
      </c>
      <c r="AU20" s="41" t="e">
        <f t="shared" si="19"/>
        <v>#DIV/0!</v>
      </c>
      <c r="AV20" s="41" t="e">
        <f t="shared" si="19"/>
        <v>#DIV/0!</v>
      </c>
      <c r="AW20" s="41" t="e">
        <f t="shared" si="19"/>
        <v>#DIV/0!</v>
      </c>
      <c r="AX20" s="41" t="e">
        <f t="shared" si="19"/>
        <v>#DIV/0!</v>
      </c>
      <c r="AY20" s="41" t="e">
        <f t="shared" si="19"/>
        <v>#DIV/0!</v>
      </c>
      <c r="AZ20" s="41" t="e">
        <f t="shared" si="19"/>
        <v>#DIV/0!</v>
      </c>
      <c r="BA20" s="41" t="e">
        <f t="shared" si="19"/>
        <v>#DIV/0!</v>
      </c>
      <c r="BB20" s="41" t="e">
        <f t="shared" si="19"/>
        <v>#DIV/0!</v>
      </c>
      <c r="BC20" s="41" t="e">
        <f t="shared" si="19"/>
        <v>#DIV/0!</v>
      </c>
      <c r="BD20" s="41" t="e">
        <f t="shared" si="19"/>
        <v>#DIV/0!</v>
      </c>
      <c r="BE20" s="41" t="e">
        <f t="shared" si="19"/>
        <v>#DIV/0!</v>
      </c>
      <c r="BF20" s="41" t="e">
        <f t="shared" si="19"/>
        <v>#DIV/0!</v>
      </c>
      <c r="BG20" s="41" t="e">
        <f t="shared" si="19"/>
        <v>#DIV/0!</v>
      </c>
      <c r="BH20" s="41" t="e">
        <f t="shared" si="19"/>
        <v>#DIV/0!</v>
      </c>
      <c r="BI20" s="41" t="e">
        <f t="shared" si="19"/>
        <v>#DIV/0!</v>
      </c>
      <c r="BJ20" s="41" t="e">
        <f t="shared" si="19"/>
        <v>#DIV/0!</v>
      </c>
      <c r="BK20" s="41" t="e">
        <f t="shared" si="19"/>
        <v>#DIV/0!</v>
      </c>
      <c r="BL20" s="41" t="e">
        <f t="shared" si="19"/>
        <v>#DIV/0!</v>
      </c>
      <c r="BM20" s="41" t="e">
        <f t="shared" si="19"/>
        <v>#DIV/0!</v>
      </c>
      <c r="BN20" s="41" t="e">
        <f t="shared" ref="BN20:CW20" si="20">1/BN17</f>
        <v>#DIV/0!</v>
      </c>
      <c r="BO20" s="41" t="e">
        <f t="shared" si="20"/>
        <v>#DIV/0!</v>
      </c>
      <c r="BP20" s="41" t="e">
        <f t="shared" si="20"/>
        <v>#DIV/0!</v>
      </c>
      <c r="BQ20" s="41" t="e">
        <f t="shared" si="20"/>
        <v>#DIV/0!</v>
      </c>
      <c r="BR20" s="41" t="e">
        <f t="shared" si="20"/>
        <v>#DIV/0!</v>
      </c>
      <c r="BS20" s="41" t="e">
        <f t="shared" si="20"/>
        <v>#DIV/0!</v>
      </c>
      <c r="BT20" s="41" t="e">
        <f t="shared" si="20"/>
        <v>#DIV/0!</v>
      </c>
      <c r="BU20" s="41" t="e">
        <f t="shared" si="20"/>
        <v>#DIV/0!</v>
      </c>
      <c r="BV20" s="41" t="e">
        <f t="shared" si="20"/>
        <v>#DIV/0!</v>
      </c>
      <c r="BW20" s="41" t="e">
        <f t="shared" si="20"/>
        <v>#DIV/0!</v>
      </c>
      <c r="BX20" s="41" t="e">
        <f t="shared" si="20"/>
        <v>#DIV/0!</v>
      </c>
      <c r="BY20" s="41" t="e">
        <f t="shared" si="20"/>
        <v>#DIV/0!</v>
      </c>
      <c r="BZ20" s="41" t="e">
        <f t="shared" si="20"/>
        <v>#DIV/0!</v>
      </c>
      <c r="CA20" s="41" t="e">
        <f t="shared" si="20"/>
        <v>#DIV/0!</v>
      </c>
      <c r="CB20" s="41" t="e">
        <f t="shared" si="20"/>
        <v>#DIV/0!</v>
      </c>
      <c r="CC20" s="41" t="e">
        <f t="shared" si="20"/>
        <v>#DIV/0!</v>
      </c>
      <c r="CD20" s="41" t="e">
        <f t="shared" si="20"/>
        <v>#DIV/0!</v>
      </c>
      <c r="CE20" s="41" t="e">
        <f t="shared" si="20"/>
        <v>#DIV/0!</v>
      </c>
      <c r="CF20" s="41" t="e">
        <f t="shared" si="20"/>
        <v>#DIV/0!</v>
      </c>
      <c r="CG20" s="41" t="e">
        <f t="shared" si="20"/>
        <v>#DIV/0!</v>
      </c>
      <c r="CH20" s="41" t="e">
        <f t="shared" si="20"/>
        <v>#DIV/0!</v>
      </c>
      <c r="CI20" s="41" t="e">
        <f t="shared" si="20"/>
        <v>#DIV/0!</v>
      </c>
      <c r="CJ20" s="41" t="e">
        <f t="shared" si="20"/>
        <v>#DIV/0!</v>
      </c>
      <c r="CK20" s="41" t="e">
        <f t="shared" si="20"/>
        <v>#DIV/0!</v>
      </c>
      <c r="CL20" s="41" t="e">
        <f t="shared" si="20"/>
        <v>#DIV/0!</v>
      </c>
      <c r="CM20" s="41" t="e">
        <f t="shared" si="20"/>
        <v>#DIV/0!</v>
      </c>
      <c r="CN20" s="41" t="e">
        <f t="shared" si="20"/>
        <v>#DIV/0!</v>
      </c>
      <c r="CO20" s="41" t="e">
        <f t="shared" si="20"/>
        <v>#DIV/0!</v>
      </c>
      <c r="CP20" s="41" t="e">
        <f t="shared" si="20"/>
        <v>#DIV/0!</v>
      </c>
      <c r="CQ20" s="41" t="e">
        <f t="shared" si="20"/>
        <v>#DIV/0!</v>
      </c>
      <c r="CR20" s="41" t="e">
        <f t="shared" si="20"/>
        <v>#DIV/0!</v>
      </c>
      <c r="CS20" s="41" t="e">
        <f t="shared" si="20"/>
        <v>#DIV/0!</v>
      </c>
      <c r="CT20" s="41" t="e">
        <f t="shared" si="20"/>
        <v>#DIV/0!</v>
      </c>
      <c r="CU20" s="41" t="e">
        <f t="shared" si="20"/>
        <v>#DIV/0!</v>
      </c>
      <c r="CV20" s="41" t="e">
        <f t="shared" si="20"/>
        <v>#DIV/0!</v>
      </c>
      <c r="CW20" s="41" t="e">
        <f t="shared" si="20"/>
        <v>#DIV/0!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 t="e">
        <f t="shared" ref="B21:BM21" si="21">B17/(1-B17)</f>
        <v>#DIV/0!</v>
      </c>
      <c r="C21" s="46" t="e">
        <f t="shared" si="21"/>
        <v>#DIV/0!</v>
      </c>
      <c r="D21" s="46" t="e">
        <f t="shared" si="21"/>
        <v>#DIV/0!</v>
      </c>
      <c r="E21" s="46" t="e">
        <f t="shared" si="21"/>
        <v>#DIV/0!</v>
      </c>
      <c r="F21" s="46" t="e">
        <f t="shared" si="21"/>
        <v>#DIV/0!</v>
      </c>
      <c r="G21" s="46" t="e">
        <f t="shared" si="21"/>
        <v>#DIV/0!</v>
      </c>
      <c r="H21" s="46" t="e">
        <f t="shared" si="21"/>
        <v>#DIV/0!</v>
      </c>
      <c r="I21" s="46" t="e">
        <f t="shared" si="21"/>
        <v>#DIV/0!</v>
      </c>
      <c r="J21" s="46" t="e">
        <f t="shared" si="21"/>
        <v>#DIV/0!</v>
      </c>
      <c r="K21" s="46" t="e">
        <f t="shared" si="21"/>
        <v>#DIV/0!</v>
      </c>
      <c r="L21" s="46" t="e">
        <f t="shared" si="21"/>
        <v>#DIV/0!</v>
      </c>
      <c r="M21" s="46" t="e">
        <f t="shared" si="21"/>
        <v>#DIV/0!</v>
      </c>
      <c r="N21" s="46" t="e">
        <f t="shared" si="21"/>
        <v>#DIV/0!</v>
      </c>
      <c r="O21" s="46" t="e">
        <f t="shared" si="21"/>
        <v>#DIV/0!</v>
      </c>
      <c r="P21" s="46" t="e">
        <f t="shared" si="21"/>
        <v>#DIV/0!</v>
      </c>
      <c r="Q21" s="46" t="e">
        <f t="shared" si="21"/>
        <v>#DIV/0!</v>
      </c>
      <c r="R21" s="46" t="e">
        <f t="shared" si="21"/>
        <v>#DIV/0!</v>
      </c>
      <c r="S21" s="46" t="e">
        <f t="shared" si="21"/>
        <v>#DIV/0!</v>
      </c>
      <c r="T21" s="46" t="e">
        <f t="shared" si="21"/>
        <v>#DIV/0!</v>
      </c>
      <c r="U21" s="46" t="e">
        <f t="shared" si="21"/>
        <v>#DIV/0!</v>
      </c>
      <c r="V21" s="46" t="e">
        <f t="shared" si="21"/>
        <v>#DIV/0!</v>
      </c>
      <c r="W21" s="46" t="e">
        <f t="shared" si="21"/>
        <v>#DIV/0!</v>
      </c>
      <c r="X21" s="46" t="e">
        <f t="shared" si="21"/>
        <v>#DIV/0!</v>
      </c>
      <c r="Y21" s="46" t="e">
        <f t="shared" si="21"/>
        <v>#DIV/0!</v>
      </c>
      <c r="Z21" s="46" t="e">
        <f t="shared" si="21"/>
        <v>#DIV/0!</v>
      </c>
      <c r="AA21" s="46" t="e">
        <f t="shared" si="21"/>
        <v>#DIV/0!</v>
      </c>
      <c r="AB21" s="46" t="e">
        <f t="shared" si="21"/>
        <v>#DIV/0!</v>
      </c>
      <c r="AC21" s="46" t="e">
        <f t="shared" si="21"/>
        <v>#DIV/0!</v>
      </c>
      <c r="AD21" s="46" t="e">
        <f t="shared" si="21"/>
        <v>#DIV/0!</v>
      </c>
      <c r="AE21" s="46" t="e">
        <f t="shared" si="21"/>
        <v>#DIV/0!</v>
      </c>
      <c r="AF21" s="46" t="e">
        <f t="shared" si="21"/>
        <v>#DIV/0!</v>
      </c>
      <c r="AG21" s="46" t="e">
        <f t="shared" si="21"/>
        <v>#DIV/0!</v>
      </c>
      <c r="AH21" s="46" t="e">
        <f t="shared" si="21"/>
        <v>#DIV/0!</v>
      </c>
      <c r="AI21" s="46" t="e">
        <f t="shared" si="21"/>
        <v>#DIV/0!</v>
      </c>
      <c r="AJ21" s="46" t="e">
        <f t="shared" si="21"/>
        <v>#DIV/0!</v>
      </c>
      <c r="AK21" s="46" t="e">
        <f t="shared" si="21"/>
        <v>#DIV/0!</v>
      </c>
      <c r="AL21" s="46" t="e">
        <f t="shared" si="21"/>
        <v>#DIV/0!</v>
      </c>
      <c r="AM21" s="46" t="e">
        <f t="shared" si="21"/>
        <v>#DIV/0!</v>
      </c>
      <c r="AN21" s="46" t="e">
        <f t="shared" si="21"/>
        <v>#DIV/0!</v>
      </c>
      <c r="AO21" s="46" t="e">
        <f t="shared" si="21"/>
        <v>#DIV/0!</v>
      </c>
      <c r="AP21" s="46" t="e">
        <f t="shared" si="21"/>
        <v>#DIV/0!</v>
      </c>
      <c r="AQ21" s="46" t="e">
        <f t="shared" si="21"/>
        <v>#DIV/0!</v>
      </c>
      <c r="AR21" s="46" t="e">
        <f t="shared" si="21"/>
        <v>#DIV/0!</v>
      </c>
      <c r="AS21" s="46" t="e">
        <f t="shared" si="21"/>
        <v>#DIV/0!</v>
      </c>
      <c r="AT21" s="46" t="e">
        <f t="shared" si="21"/>
        <v>#DIV/0!</v>
      </c>
      <c r="AU21" s="46" t="e">
        <f t="shared" si="21"/>
        <v>#DIV/0!</v>
      </c>
      <c r="AV21" s="46" t="e">
        <f t="shared" si="21"/>
        <v>#DIV/0!</v>
      </c>
      <c r="AW21" s="46" t="e">
        <f t="shared" si="21"/>
        <v>#DIV/0!</v>
      </c>
      <c r="AX21" s="46" t="e">
        <f t="shared" si="21"/>
        <v>#DIV/0!</v>
      </c>
      <c r="AY21" s="46" t="e">
        <f t="shared" si="21"/>
        <v>#DIV/0!</v>
      </c>
      <c r="AZ21" s="46" t="e">
        <f t="shared" si="21"/>
        <v>#DIV/0!</v>
      </c>
      <c r="BA21" s="46" t="e">
        <f t="shared" si="21"/>
        <v>#DIV/0!</v>
      </c>
      <c r="BB21" s="46" t="e">
        <f t="shared" si="21"/>
        <v>#DIV/0!</v>
      </c>
      <c r="BC21" s="46" t="e">
        <f t="shared" si="21"/>
        <v>#DIV/0!</v>
      </c>
      <c r="BD21" s="46" t="e">
        <f t="shared" si="21"/>
        <v>#DIV/0!</v>
      </c>
      <c r="BE21" s="46" t="e">
        <f t="shared" si="21"/>
        <v>#DIV/0!</v>
      </c>
      <c r="BF21" s="46" t="e">
        <f t="shared" si="21"/>
        <v>#DIV/0!</v>
      </c>
      <c r="BG21" s="46" t="e">
        <f t="shared" si="21"/>
        <v>#DIV/0!</v>
      </c>
      <c r="BH21" s="46" t="e">
        <f t="shared" si="21"/>
        <v>#DIV/0!</v>
      </c>
      <c r="BI21" s="46" t="e">
        <f t="shared" si="21"/>
        <v>#DIV/0!</v>
      </c>
      <c r="BJ21" s="46" t="e">
        <f t="shared" si="21"/>
        <v>#DIV/0!</v>
      </c>
      <c r="BK21" s="46" t="e">
        <f t="shared" si="21"/>
        <v>#DIV/0!</v>
      </c>
      <c r="BL21" s="46" t="e">
        <f t="shared" si="21"/>
        <v>#DIV/0!</v>
      </c>
      <c r="BM21" s="46" t="e">
        <f t="shared" si="21"/>
        <v>#DIV/0!</v>
      </c>
      <c r="BN21" s="46" t="e">
        <f t="shared" ref="BN21:CW21" si="22">BN17/(1-BN17)</f>
        <v>#DIV/0!</v>
      </c>
      <c r="BO21" s="46" t="e">
        <f t="shared" si="22"/>
        <v>#DIV/0!</v>
      </c>
      <c r="BP21" s="46" t="e">
        <f t="shared" si="22"/>
        <v>#DIV/0!</v>
      </c>
      <c r="BQ21" s="46" t="e">
        <f t="shared" si="22"/>
        <v>#DIV/0!</v>
      </c>
      <c r="BR21" s="46" t="e">
        <f t="shared" si="22"/>
        <v>#DIV/0!</v>
      </c>
      <c r="BS21" s="46" t="e">
        <f t="shared" si="22"/>
        <v>#DIV/0!</v>
      </c>
      <c r="BT21" s="46" t="e">
        <f t="shared" si="22"/>
        <v>#DIV/0!</v>
      </c>
      <c r="BU21" s="46" t="e">
        <f t="shared" si="22"/>
        <v>#DIV/0!</v>
      </c>
      <c r="BV21" s="46" t="e">
        <f t="shared" si="22"/>
        <v>#DIV/0!</v>
      </c>
      <c r="BW21" s="46" t="e">
        <f t="shared" si="22"/>
        <v>#DIV/0!</v>
      </c>
      <c r="BX21" s="46" t="e">
        <f t="shared" si="22"/>
        <v>#DIV/0!</v>
      </c>
      <c r="BY21" s="46" t="e">
        <f t="shared" si="22"/>
        <v>#DIV/0!</v>
      </c>
      <c r="BZ21" s="46" t="e">
        <f t="shared" si="22"/>
        <v>#DIV/0!</v>
      </c>
      <c r="CA21" s="46" t="e">
        <f t="shared" si="22"/>
        <v>#DIV/0!</v>
      </c>
      <c r="CB21" s="46" t="e">
        <f t="shared" si="22"/>
        <v>#DIV/0!</v>
      </c>
      <c r="CC21" s="46" t="e">
        <f t="shared" si="22"/>
        <v>#DIV/0!</v>
      </c>
      <c r="CD21" s="46" t="e">
        <f t="shared" si="22"/>
        <v>#DIV/0!</v>
      </c>
      <c r="CE21" s="46" t="e">
        <f t="shared" si="22"/>
        <v>#DIV/0!</v>
      </c>
      <c r="CF21" s="46" t="e">
        <f t="shared" si="22"/>
        <v>#DIV/0!</v>
      </c>
      <c r="CG21" s="46" t="e">
        <f t="shared" si="22"/>
        <v>#DIV/0!</v>
      </c>
      <c r="CH21" s="46" t="e">
        <f t="shared" si="22"/>
        <v>#DIV/0!</v>
      </c>
      <c r="CI21" s="46" t="e">
        <f t="shared" si="22"/>
        <v>#DIV/0!</v>
      </c>
      <c r="CJ21" s="46" t="e">
        <f t="shared" si="22"/>
        <v>#DIV/0!</v>
      </c>
      <c r="CK21" s="46" t="e">
        <f t="shared" si="22"/>
        <v>#DIV/0!</v>
      </c>
      <c r="CL21" s="46" t="e">
        <f t="shared" si="22"/>
        <v>#DIV/0!</v>
      </c>
      <c r="CM21" s="46" t="e">
        <f t="shared" si="22"/>
        <v>#DIV/0!</v>
      </c>
      <c r="CN21" s="46" t="e">
        <f t="shared" si="22"/>
        <v>#DIV/0!</v>
      </c>
      <c r="CO21" s="46" t="e">
        <f t="shared" si="22"/>
        <v>#DIV/0!</v>
      </c>
      <c r="CP21" s="46" t="e">
        <f t="shared" si="22"/>
        <v>#DIV/0!</v>
      </c>
      <c r="CQ21" s="46" t="e">
        <f t="shared" si="22"/>
        <v>#DIV/0!</v>
      </c>
      <c r="CR21" s="46" t="e">
        <f t="shared" si="22"/>
        <v>#DIV/0!</v>
      </c>
      <c r="CS21" s="46" t="e">
        <f t="shared" si="22"/>
        <v>#DIV/0!</v>
      </c>
      <c r="CT21" s="46" t="e">
        <f t="shared" si="22"/>
        <v>#DIV/0!</v>
      </c>
      <c r="CU21" s="46" t="e">
        <f t="shared" si="22"/>
        <v>#DIV/0!</v>
      </c>
      <c r="CV21" s="46" t="e">
        <f t="shared" si="22"/>
        <v>#DIV/0!</v>
      </c>
      <c r="CW21" s="46" t="e">
        <f t="shared" si="22"/>
        <v>#DIV/0!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 t="e">
        <f t="shared" ref="B22:BM22" si="23">(1-B15)/B15</f>
        <v>#DIV/0!</v>
      </c>
      <c r="C22" s="47" t="e">
        <f t="shared" si="23"/>
        <v>#DIV/0!</v>
      </c>
      <c r="D22" s="47" t="e">
        <f t="shared" si="23"/>
        <v>#DIV/0!</v>
      </c>
      <c r="E22" s="47" t="e">
        <f t="shared" si="23"/>
        <v>#DIV/0!</v>
      </c>
      <c r="F22" s="47" t="e">
        <f t="shared" si="23"/>
        <v>#DIV/0!</v>
      </c>
      <c r="G22" s="47" t="e">
        <f t="shared" si="23"/>
        <v>#DIV/0!</v>
      </c>
      <c r="H22" s="47" t="e">
        <f t="shared" si="23"/>
        <v>#DIV/0!</v>
      </c>
      <c r="I22" s="47" t="e">
        <f t="shared" si="23"/>
        <v>#DIV/0!</v>
      </c>
      <c r="J22" s="47" t="e">
        <f t="shared" si="23"/>
        <v>#DIV/0!</v>
      </c>
      <c r="K22" s="47" t="e">
        <f t="shared" si="23"/>
        <v>#DIV/0!</v>
      </c>
      <c r="L22" s="47" t="e">
        <f t="shared" si="23"/>
        <v>#DIV/0!</v>
      </c>
      <c r="M22" s="47" t="e">
        <f t="shared" si="23"/>
        <v>#DIV/0!</v>
      </c>
      <c r="N22" s="47" t="e">
        <f t="shared" si="23"/>
        <v>#DIV/0!</v>
      </c>
      <c r="O22" s="47" t="e">
        <f t="shared" si="23"/>
        <v>#DIV/0!</v>
      </c>
      <c r="P22" s="47" t="e">
        <f t="shared" si="23"/>
        <v>#DIV/0!</v>
      </c>
      <c r="Q22" s="47" t="e">
        <f t="shared" si="23"/>
        <v>#DIV/0!</v>
      </c>
      <c r="R22" s="47" t="e">
        <f t="shared" si="23"/>
        <v>#DIV/0!</v>
      </c>
      <c r="S22" s="47" t="e">
        <f t="shared" si="23"/>
        <v>#DIV/0!</v>
      </c>
      <c r="T22" s="47" t="e">
        <f t="shared" si="23"/>
        <v>#DIV/0!</v>
      </c>
      <c r="U22" s="47" t="e">
        <f t="shared" si="23"/>
        <v>#DIV/0!</v>
      </c>
      <c r="V22" s="47" t="e">
        <f t="shared" si="23"/>
        <v>#DIV/0!</v>
      </c>
      <c r="W22" s="47" t="e">
        <f t="shared" si="23"/>
        <v>#DIV/0!</v>
      </c>
      <c r="X22" s="47" t="e">
        <f t="shared" si="23"/>
        <v>#DIV/0!</v>
      </c>
      <c r="Y22" s="47" t="e">
        <f t="shared" si="23"/>
        <v>#DIV/0!</v>
      </c>
      <c r="Z22" s="47" t="e">
        <f t="shared" si="23"/>
        <v>#DIV/0!</v>
      </c>
      <c r="AA22" s="47" t="e">
        <f t="shared" si="23"/>
        <v>#DIV/0!</v>
      </c>
      <c r="AB22" s="47" t="e">
        <f t="shared" si="23"/>
        <v>#DIV/0!</v>
      </c>
      <c r="AC22" s="47" t="e">
        <f t="shared" si="23"/>
        <v>#DIV/0!</v>
      </c>
      <c r="AD22" s="47" t="e">
        <f t="shared" si="23"/>
        <v>#DIV/0!</v>
      </c>
      <c r="AE22" s="47" t="e">
        <f t="shared" si="23"/>
        <v>#DIV/0!</v>
      </c>
      <c r="AF22" s="47" t="e">
        <f t="shared" si="23"/>
        <v>#DIV/0!</v>
      </c>
      <c r="AG22" s="47" t="e">
        <f t="shared" si="23"/>
        <v>#DIV/0!</v>
      </c>
      <c r="AH22" s="47" t="e">
        <f t="shared" si="23"/>
        <v>#DIV/0!</v>
      </c>
      <c r="AI22" s="47" t="e">
        <f t="shared" si="23"/>
        <v>#DIV/0!</v>
      </c>
      <c r="AJ22" s="47" t="e">
        <f t="shared" si="23"/>
        <v>#DIV/0!</v>
      </c>
      <c r="AK22" s="47" t="e">
        <f t="shared" si="23"/>
        <v>#DIV/0!</v>
      </c>
      <c r="AL22" s="47" t="e">
        <f t="shared" si="23"/>
        <v>#DIV/0!</v>
      </c>
      <c r="AM22" s="47" t="e">
        <f t="shared" si="23"/>
        <v>#DIV/0!</v>
      </c>
      <c r="AN22" s="47" t="e">
        <f t="shared" si="23"/>
        <v>#DIV/0!</v>
      </c>
      <c r="AO22" s="47" t="e">
        <f t="shared" si="23"/>
        <v>#DIV/0!</v>
      </c>
      <c r="AP22" s="47" t="e">
        <f t="shared" si="23"/>
        <v>#DIV/0!</v>
      </c>
      <c r="AQ22" s="47" t="e">
        <f t="shared" si="23"/>
        <v>#DIV/0!</v>
      </c>
      <c r="AR22" s="47" t="e">
        <f t="shared" si="23"/>
        <v>#DIV/0!</v>
      </c>
      <c r="AS22" s="47" t="e">
        <f t="shared" si="23"/>
        <v>#DIV/0!</v>
      </c>
      <c r="AT22" s="47" t="e">
        <f t="shared" si="23"/>
        <v>#DIV/0!</v>
      </c>
      <c r="AU22" s="47" t="e">
        <f t="shared" si="23"/>
        <v>#DIV/0!</v>
      </c>
      <c r="AV22" s="47" t="e">
        <f t="shared" si="23"/>
        <v>#DIV/0!</v>
      </c>
      <c r="AW22" s="47" t="e">
        <f t="shared" si="23"/>
        <v>#DIV/0!</v>
      </c>
      <c r="AX22" s="47" t="e">
        <f t="shared" si="23"/>
        <v>#DIV/0!</v>
      </c>
      <c r="AY22" s="47" t="e">
        <f t="shared" si="23"/>
        <v>#DIV/0!</v>
      </c>
      <c r="AZ22" s="47" t="e">
        <f t="shared" si="23"/>
        <v>#DIV/0!</v>
      </c>
      <c r="BA22" s="47" t="e">
        <f t="shared" si="23"/>
        <v>#DIV/0!</v>
      </c>
      <c r="BB22" s="47" t="e">
        <f t="shared" si="23"/>
        <v>#DIV/0!</v>
      </c>
      <c r="BC22" s="47" t="e">
        <f t="shared" si="23"/>
        <v>#DIV/0!</v>
      </c>
      <c r="BD22" s="47" t="e">
        <f t="shared" si="23"/>
        <v>#DIV/0!</v>
      </c>
      <c r="BE22" s="47" t="e">
        <f t="shared" si="23"/>
        <v>#DIV/0!</v>
      </c>
      <c r="BF22" s="47" t="e">
        <f t="shared" si="23"/>
        <v>#DIV/0!</v>
      </c>
      <c r="BG22" s="47" t="e">
        <f t="shared" si="23"/>
        <v>#DIV/0!</v>
      </c>
      <c r="BH22" s="47" t="e">
        <f t="shared" si="23"/>
        <v>#DIV/0!</v>
      </c>
      <c r="BI22" s="47" t="e">
        <f t="shared" si="23"/>
        <v>#DIV/0!</v>
      </c>
      <c r="BJ22" s="47" t="e">
        <f t="shared" si="23"/>
        <v>#DIV/0!</v>
      </c>
      <c r="BK22" s="47" t="e">
        <f t="shared" si="23"/>
        <v>#DIV/0!</v>
      </c>
      <c r="BL22" s="47" t="e">
        <f t="shared" si="23"/>
        <v>#DIV/0!</v>
      </c>
      <c r="BM22" s="47" t="e">
        <f t="shared" si="23"/>
        <v>#DIV/0!</v>
      </c>
      <c r="BN22" s="47" t="e">
        <f t="shared" ref="BN22:CW22" si="24">(1-BN15)/BN15</f>
        <v>#DIV/0!</v>
      </c>
      <c r="BO22" s="47" t="e">
        <f t="shared" si="24"/>
        <v>#DIV/0!</v>
      </c>
      <c r="BP22" s="47" t="e">
        <f t="shared" si="24"/>
        <v>#DIV/0!</v>
      </c>
      <c r="BQ22" s="47" t="e">
        <f t="shared" si="24"/>
        <v>#DIV/0!</v>
      </c>
      <c r="BR22" s="47" t="e">
        <f t="shared" si="24"/>
        <v>#DIV/0!</v>
      </c>
      <c r="BS22" s="47" t="e">
        <f t="shared" si="24"/>
        <v>#DIV/0!</v>
      </c>
      <c r="BT22" s="47" t="e">
        <f t="shared" si="24"/>
        <v>#DIV/0!</v>
      </c>
      <c r="BU22" s="47" t="e">
        <f t="shared" si="24"/>
        <v>#DIV/0!</v>
      </c>
      <c r="BV22" s="47" t="e">
        <f t="shared" si="24"/>
        <v>#DIV/0!</v>
      </c>
      <c r="BW22" s="47" t="e">
        <f t="shared" si="24"/>
        <v>#DIV/0!</v>
      </c>
      <c r="BX22" s="47" t="e">
        <f t="shared" si="24"/>
        <v>#DIV/0!</v>
      </c>
      <c r="BY22" s="47" t="e">
        <f t="shared" si="24"/>
        <v>#DIV/0!</v>
      </c>
      <c r="BZ22" s="47" t="e">
        <f t="shared" si="24"/>
        <v>#DIV/0!</v>
      </c>
      <c r="CA22" s="47" t="e">
        <f t="shared" si="24"/>
        <v>#DIV/0!</v>
      </c>
      <c r="CB22" s="47" t="e">
        <f t="shared" si="24"/>
        <v>#DIV/0!</v>
      </c>
      <c r="CC22" s="47" t="e">
        <f t="shared" si="24"/>
        <v>#DIV/0!</v>
      </c>
      <c r="CD22" s="47" t="e">
        <f t="shared" si="24"/>
        <v>#DIV/0!</v>
      </c>
      <c r="CE22" s="47" t="e">
        <f t="shared" si="24"/>
        <v>#DIV/0!</v>
      </c>
      <c r="CF22" s="47" t="e">
        <f t="shared" si="24"/>
        <v>#DIV/0!</v>
      </c>
      <c r="CG22" s="47" t="e">
        <f t="shared" si="24"/>
        <v>#DIV/0!</v>
      </c>
      <c r="CH22" s="47" t="e">
        <f t="shared" si="24"/>
        <v>#DIV/0!</v>
      </c>
      <c r="CI22" s="47" t="e">
        <f t="shared" si="24"/>
        <v>#DIV/0!</v>
      </c>
      <c r="CJ22" s="47" t="e">
        <f t="shared" si="24"/>
        <v>#DIV/0!</v>
      </c>
      <c r="CK22" s="47" t="e">
        <f t="shared" si="24"/>
        <v>#DIV/0!</v>
      </c>
      <c r="CL22" s="47" t="e">
        <f t="shared" si="24"/>
        <v>#DIV/0!</v>
      </c>
      <c r="CM22" s="47" t="e">
        <f t="shared" si="24"/>
        <v>#DIV/0!</v>
      </c>
      <c r="CN22" s="47" t="e">
        <f t="shared" si="24"/>
        <v>#DIV/0!</v>
      </c>
      <c r="CO22" s="47" t="e">
        <f t="shared" si="24"/>
        <v>#DIV/0!</v>
      </c>
      <c r="CP22" s="47" t="e">
        <f t="shared" si="24"/>
        <v>#DIV/0!</v>
      </c>
      <c r="CQ22" s="47" t="e">
        <f t="shared" si="24"/>
        <v>#DIV/0!</v>
      </c>
      <c r="CR22" s="47" t="e">
        <f t="shared" si="24"/>
        <v>#DIV/0!</v>
      </c>
      <c r="CS22" s="47" t="e">
        <f t="shared" si="24"/>
        <v>#DIV/0!</v>
      </c>
      <c r="CT22" s="47" t="e">
        <f t="shared" si="24"/>
        <v>#DIV/0!</v>
      </c>
      <c r="CU22" s="47" t="e">
        <f t="shared" si="24"/>
        <v>#DIV/0!</v>
      </c>
      <c r="CV22" s="47" t="e">
        <f t="shared" si="24"/>
        <v>#DIV/0!</v>
      </c>
      <c r="CW22" s="47" t="e">
        <f t="shared" si="24"/>
        <v>#DIV/0!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 t="e">
        <f t="shared" ref="B23:BM23" si="25">B20/B22</f>
        <v>#DIV/0!</v>
      </c>
      <c r="C23" s="51" t="e">
        <f t="shared" si="25"/>
        <v>#DIV/0!</v>
      </c>
      <c r="D23" s="51" t="e">
        <f t="shared" si="25"/>
        <v>#DIV/0!</v>
      </c>
      <c r="E23" s="51" t="e">
        <f t="shared" si="25"/>
        <v>#DIV/0!</v>
      </c>
      <c r="F23" s="51" t="e">
        <f t="shared" si="25"/>
        <v>#DIV/0!</v>
      </c>
      <c r="G23" s="51" t="e">
        <f t="shared" si="25"/>
        <v>#DIV/0!</v>
      </c>
      <c r="H23" s="51" t="e">
        <f t="shared" si="25"/>
        <v>#DIV/0!</v>
      </c>
      <c r="I23" s="51" t="e">
        <f t="shared" si="25"/>
        <v>#DIV/0!</v>
      </c>
      <c r="J23" s="51" t="e">
        <f t="shared" si="25"/>
        <v>#DIV/0!</v>
      </c>
      <c r="K23" s="51" t="e">
        <f t="shared" si="25"/>
        <v>#DIV/0!</v>
      </c>
      <c r="L23" s="51" t="e">
        <f t="shared" si="25"/>
        <v>#DIV/0!</v>
      </c>
      <c r="M23" s="51" t="e">
        <f t="shared" si="25"/>
        <v>#DIV/0!</v>
      </c>
      <c r="N23" s="51" t="e">
        <f t="shared" si="25"/>
        <v>#DIV/0!</v>
      </c>
      <c r="O23" s="51" t="e">
        <f t="shared" si="25"/>
        <v>#DIV/0!</v>
      </c>
      <c r="P23" s="51" t="e">
        <f t="shared" si="25"/>
        <v>#DIV/0!</v>
      </c>
      <c r="Q23" s="51" t="e">
        <f t="shared" si="25"/>
        <v>#DIV/0!</v>
      </c>
      <c r="R23" s="51" t="e">
        <f t="shared" si="25"/>
        <v>#DIV/0!</v>
      </c>
      <c r="S23" s="51" t="e">
        <f t="shared" si="25"/>
        <v>#DIV/0!</v>
      </c>
      <c r="T23" s="51" t="e">
        <f t="shared" si="25"/>
        <v>#DIV/0!</v>
      </c>
      <c r="U23" s="51" t="e">
        <f t="shared" si="25"/>
        <v>#DIV/0!</v>
      </c>
      <c r="V23" s="51" t="e">
        <f t="shared" si="25"/>
        <v>#DIV/0!</v>
      </c>
      <c r="W23" s="51" t="e">
        <f t="shared" si="25"/>
        <v>#DIV/0!</v>
      </c>
      <c r="X23" s="51" t="e">
        <f t="shared" si="25"/>
        <v>#DIV/0!</v>
      </c>
      <c r="Y23" s="51" t="e">
        <f t="shared" si="25"/>
        <v>#DIV/0!</v>
      </c>
      <c r="Z23" s="51" t="e">
        <f t="shared" si="25"/>
        <v>#DIV/0!</v>
      </c>
      <c r="AA23" s="51" t="e">
        <f t="shared" si="25"/>
        <v>#DIV/0!</v>
      </c>
      <c r="AB23" s="51" t="e">
        <f t="shared" si="25"/>
        <v>#DIV/0!</v>
      </c>
      <c r="AC23" s="51" t="e">
        <f t="shared" si="25"/>
        <v>#DIV/0!</v>
      </c>
      <c r="AD23" s="51" t="e">
        <f t="shared" si="25"/>
        <v>#DIV/0!</v>
      </c>
      <c r="AE23" s="51" t="e">
        <f t="shared" si="25"/>
        <v>#DIV/0!</v>
      </c>
      <c r="AF23" s="51" t="e">
        <f t="shared" si="25"/>
        <v>#DIV/0!</v>
      </c>
      <c r="AG23" s="51" t="e">
        <f t="shared" si="25"/>
        <v>#DIV/0!</v>
      </c>
      <c r="AH23" s="51" t="e">
        <f t="shared" si="25"/>
        <v>#DIV/0!</v>
      </c>
      <c r="AI23" s="51" t="e">
        <f t="shared" si="25"/>
        <v>#DIV/0!</v>
      </c>
      <c r="AJ23" s="51" t="e">
        <f t="shared" si="25"/>
        <v>#DIV/0!</v>
      </c>
      <c r="AK23" s="51" t="e">
        <f t="shared" si="25"/>
        <v>#DIV/0!</v>
      </c>
      <c r="AL23" s="51" t="e">
        <f t="shared" si="25"/>
        <v>#DIV/0!</v>
      </c>
      <c r="AM23" s="51" t="e">
        <f t="shared" si="25"/>
        <v>#DIV/0!</v>
      </c>
      <c r="AN23" s="51" t="e">
        <f t="shared" si="25"/>
        <v>#DIV/0!</v>
      </c>
      <c r="AO23" s="51" t="e">
        <f t="shared" si="25"/>
        <v>#DIV/0!</v>
      </c>
      <c r="AP23" s="51" t="e">
        <f t="shared" si="25"/>
        <v>#DIV/0!</v>
      </c>
      <c r="AQ23" s="51" t="e">
        <f t="shared" si="25"/>
        <v>#DIV/0!</v>
      </c>
      <c r="AR23" s="51" t="e">
        <f t="shared" si="25"/>
        <v>#DIV/0!</v>
      </c>
      <c r="AS23" s="51" t="e">
        <f t="shared" si="25"/>
        <v>#DIV/0!</v>
      </c>
      <c r="AT23" s="51" t="e">
        <f t="shared" si="25"/>
        <v>#DIV/0!</v>
      </c>
      <c r="AU23" s="51" t="e">
        <f t="shared" si="25"/>
        <v>#DIV/0!</v>
      </c>
      <c r="AV23" s="51" t="e">
        <f t="shared" si="25"/>
        <v>#DIV/0!</v>
      </c>
      <c r="AW23" s="51" t="e">
        <f t="shared" si="25"/>
        <v>#DIV/0!</v>
      </c>
      <c r="AX23" s="51" t="e">
        <f t="shared" si="25"/>
        <v>#DIV/0!</v>
      </c>
      <c r="AY23" s="51" t="e">
        <f t="shared" si="25"/>
        <v>#DIV/0!</v>
      </c>
      <c r="AZ23" s="51" t="e">
        <f t="shared" si="25"/>
        <v>#DIV/0!</v>
      </c>
      <c r="BA23" s="51" t="e">
        <f t="shared" si="25"/>
        <v>#DIV/0!</v>
      </c>
      <c r="BB23" s="51" t="e">
        <f t="shared" si="25"/>
        <v>#DIV/0!</v>
      </c>
      <c r="BC23" s="51" t="e">
        <f t="shared" si="25"/>
        <v>#DIV/0!</v>
      </c>
      <c r="BD23" s="51" t="e">
        <f t="shared" si="25"/>
        <v>#DIV/0!</v>
      </c>
      <c r="BE23" s="51" t="e">
        <f t="shared" si="25"/>
        <v>#DIV/0!</v>
      </c>
      <c r="BF23" s="51" t="e">
        <f t="shared" si="25"/>
        <v>#DIV/0!</v>
      </c>
      <c r="BG23" s="51" t="e">
        <f t="shared" si="25"/>
        <v>#DIV/0!</v>
      </c>
      <c r="BH23" s="51" t="e">
        <f t="shared" si="25"/>
        <v>#DIV/0!</v>
      </c>
      <c r="BI23" s="51" t="e">
        <f t="shared" si="25"/>
        <v>#DIV/0!</v>
      </c>
      <c r="BJ23" s="51" t="e">
        <f t="shared" si="25"/>
        <v>#DIV/0!</v>
      </c>
      <c r="BK23" s="51" t="e">
        <f t="shared" si="25"/>
        <v>#DIV/0!</v>
      </c>
      <c r="BL23" s="51" t="e">
        <f t="shared" si="25"/>
        <v>#DIV/0!</v>
      </c>
      <c r="BM23" s="51" t="e">
        <f t="shared" si="25"/>
        <v>#DIV/0!</v>
      </c>
      <c r="BN23" s="51" t="e">
        <f t="shared" ref="BN23:CW23" si="26">BN20/BN22</f>
        <v>#DIV/0!</v>
      </c>
      <c r="BO23" s="51" t="e">
        <f t="shared" si="26"/>
        <v>#DIV/0!</v>
      </c>
      <c r="BP23" s="51" t="e">
        <f t="shared" si="26"/>
        <v>#DIV/0!</v>
      </c>
      <c r="BQ23" s="51" t="e">
        <f t="shared" si="26"/>
        <v>#DIV/0!</v>
      </c>
      <c r="BR23" s="51" t="e">
        <f t="shared" si="26"/>
        <v>#DIV/0!</v>
      </c>
      <c r="BS23" s="51" t="e">
        <f t="shared" si="26"/>
        <v>#DIV/0!</v>
      </c>
      <c r="BT23" s="51" t="e">
        <f t="shared" si="26"/>
        <v>#DIV/0!</v>
      </c>
      <c r="BU23" s="51" t="e">
        <f t="shared" si="26"/>
        <v>#DIV/0!</v>
      </c>
      <c r="BV23" s="51" t="e">
        <f t="shared" si="26"/>
        <v>#DIV/0!</v>
      </c>
      <c r="BW23" s="51" t="e">
        <f t="shared" si="26"/>
        <v>#DIV/0!</v>
      </c>
      <c r="BX23" s="51" t="e">
        <f t="shared" si="26"/>
        <v>#DIV/0!</v>
      </c>
      <c r="BY23" s="51" t="e">
        <f t="shared" si="26"/>
        <v>#DIV/0!</v>
      </c>
      <c r="BZ23" s="51" t="e">
        <f t="shared" si="26"/>
        <v>#DIV/0!</v>
      </c>
      <c r="CA23" s="51" t="e">
        <f t="shared" si="26"/>
        <v>#DIV/0!</v>
      </c>
      <c r="CB23" s="51" t="e">
        <f t="shared" si="26"/>
        <v>#DIV/0!</v>
      </c>
      <c r="CC23" s="51" t="e">
        <f t="shared" si="26"/>
        <v>#DIV/0!</v>
      </c>
      <c r="CD23" s="51" t="e">
        <f t="shared" si="26"/>
        <v>#DIV/0!</v>
      </c>
      <c r="CE23" s="51" t="e">
        <f t="shared" si="26"/>
        <v>#DIV/0!</v>
      </c>
      <c r="CF23" s="51" t="e">
        <f t="shared" si="26"/>
        <v>#DIV/0!</v>
      </c>
      <c r="CG23" s="51" t="e">
        <f t="shared" si="26"/>
        <v>#DIV/0!</v>
      </c>
      <c r="CH23" s="51" t="e">
        <f t="shared" si="26"/>
        <v>#DIV/0!</v>
      </c>
      <c r="CI23" s="51" t="e">
        <f t="shared" si="26"/>
        <v>#DIV/0!</v>
      </c>
      <c r="CJ23" s="51" t="e">
        <f t="shared" si="26"/>
        <v>#DIV/0!</v>
      </c>
      <c r="CK23" s="51" t="e">
        <f t="shared" si="26"/>
        <v>#DIV/0!</v>
      </c>
      <c r="CL23" s="51" t="e">
        <f t="shared" si="26"/>
        <v>#DIV/0!</v>
      </c>
      <c r="CM23" s="51" t="e">
        <f t="shared" si="26"/>
        <v>#DIV/0!</v>
      </c>
      <c r="CN23" s="51" t="e">
        <f t="shared" si="26"/>
        <v>#DIV/0!</v>
      </c>
      <c r="CO23" s="51" t="e">
        <f t="shared" si="26"/>
        <v>#DIV/0!</v>
      </c>
      <c r="CP23" s="51" t="e">
        <f t="shared" si="26"/>
        <v>#DIV/0!</v>
      </c>
      <c r="CQ23" s="51" t="e">
        <f t="shared" si="26"/>
        <v>#DIV/0!</v>
      </c>
      <c r="CR23" s="51" t="e">
        <f t="shared" si="26"/>
        <v>#DIV/0!</v>
      </c>
      <c r="CS23" s="51" t="e">
        <f t="shared" si="26"/>
        <v>#DIV/0!</v>
      </c>
      <c r="CT23" s="51" t="e">
        <f t="shared" si="26"/>
        <v>#DIV/0!</v>
      </c>
      <c r="CU23" s="51" t="e">
        <f t="shared" si="26"/>
        <v>#DIV/0!</v>
      </c>
      <c r="CV23" s="51" t="e">
        <f t="shared" si="26"/>
        <v>#DIV/0!</v>
      </c>
      <c r="CW23" s="51" t="e">
        <f t="shared" si="26"/>
        <v>#DIV/0!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229" customFormat="1" x14ac:dyDescent="0.2">
      <c r="A24" s="229" t="s">
        <v>32</v>
      </c>
      <c r="B24" s="230"/>
      <c r="C24" s="230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30"/>
      <c r="Q24" s="230"/>
      <c r="R24" s="230"/>
      <c r="S24" s="230"/>
      <c r="T24" s="230"/>
      <c r="U24" s="230"/>
      <c r="V24" s="230"/>
      <c r="W24" s="230"/>
      <c r="X24" s="230"/>
      <c r="Y24" s="230"/>
      <c r="Z24" s="230"/>
      <c r="AA24" s="230"/>
      <c r="AB24" s="230"/>
      <c r="AC24" s="230"/>
      <c r="AD24" s="230"/>
      <c r="AE24" s="230"/>
      <c r="AF24" s="230"/>
      <c r="AG24" s="230"/>
      <c r="AH24" s="230"/>
      <c r="AI24" s="230"/>
      <c r="AJ24" s="230"/>
      <c r="AK24" s="230"/>
      <c r="AL24" s="230"/>
      <c r="AM24" s="230"/>
      <c r="AN24" s="230"/>
      <c r="AO24" s="230"/>
      <c r="AP24" s="230"/>
      <c r="AQ24" s="230"/>
      <c r="AR24" s="230"/>
      <c r="AS24" s="230"/>
      <c r="AT24" s="230"/>
      <c r="AU24" s="230"/>
      <c r="AV24" s="230"/>
      <c r="AW24" s="230"/>
      <c r="AX24" s="230"/>
      <c r="AY24" s="230"/>
      <c r="AZ24" s="230"/>
      <c r="BA24" s="230"/>
      <c r="BB24" s="230"/>
      <c r="BC24" s="230"/>
      <c r="BD24" s="230"/>
      <c r="BE24" s="230"/>
      <c r="BF24" s="230"/>
      <c r="BG24" s="230"/>
      <c r="BH24" s="230"/>
      <c r="BI24" s="230"/>
      <c r="BJ24" s="230"/>
      <c r="BK24" s="230"/>
      <c r="BL24" s="230"/>
      <c r="BM24" s="230"/>
      <c r="BN24" s="230"/>
      <c r="BO24" s="230"/>
      <c r="BP24" s="230"/>
      <c r="BQ24" s="230"/>
      <c r="BR24" s="230"/>
      <c r="BS24" s="230"/>
      <c r="BT24" s="230"/>
      <c r="BU24" s="230"/>
      <c r="BV24" s="230"/>
      <c r="BW24" s="230"/>
      <c r="BX24" s="230"/>
      <c r="BY24" s="230"/>
      <c r="BZ24" s="230"/>
      <c r="CA24" s="230"/>
      <c r="CB24" s="230"/>
      <c r="CC24" s="230"/>
      <c r="CD24" s="230"/>
      <c r="CE24" s="230"/>
      <c r="CF24" s="230"/>
      <c r="CG24" s="230"/>
      <c r="CH24" s="230"/>
      <c r="CI24" s="230"/>
      <c r="CJ24" s="230"/>
      <c r="CK24" s="230"/>
      <c r="CL24" s="230"/>
      <c r="CM24" s="230"/>
      <c r="CN24" s="230"/>
      <c r="CO24" s="230"/>
      <c r="CP24" s="230"/>
      <c r="CQ24" s="230"/>
      <c r="CR24" s="230"/>
      <c r="CS24" s="230"/>
      <c r="CT24" s="230"/>
      <c r="CU24" s="230"/>
      <c r="CV24" s="230"/>
      <c r="CW24" s="230"/>
      <c r="CX24" s="230"/>
      <c r="CY24" s="230"/>
      <c r="CZ24" s="230"/>
      <c r="DA24" s="230"/>
      <c r="DB24" s="230"/>
      <c r="DC24" s="230"/>
      <c r="DD24" s="230"/>
      <c r="DE24" s="230"/>
      <c r="DF24" s="230"/>
      <c r="DG24" s="230"/>
      <c r="DH24" s="230"/>
      <c r="DI24" s="230"/>
      <c r="DJ24" s="230"/>
      <c r="DK24" s="230"/>
      <c r="DL24" s="230"/>
      <c r="DM24" s="230"/>
      <c r="DN24" s="230"/>
      <c r="DO24" s="230"/>
      <c r="DP24" s="230"/>
      <c r="DQ24" s="230"/>
      <c r="DR24" s="230"/>
      <c r="DS24" s="230"/>
      <c r="DT24" s="230"/>
      <c r="DU24" s="230"/>
      <c r="DV24" s="230"/>
      <c r="DW24" s="230"/>
      <c r="DX24" s="230"/>
      <c r="DY24" s="230"/>
      <c r="DZ24" s="230"/>
      <c r="EA24" s="230"/>
      <c r="EB24" s="230"/>
      <c r="EC24" s="230"/>
      <c r="ED24" s="230"/>
      <c r="EE24" s="230"/>
      <c r="EF24" s="230"/>
      <c r="EG24" s="230"/>
      <c r="EH24" s="230"/>
      <c r="EI24" s="230"/>
      <c r="EJ24" s="230"/>
      <c r="EK24" s="230"/>
      <c r="EL24" s="230"/>
      <c r="EM24" s="230"/>
      <c r="EN24" s="230"/>
      <c r="EO24" s="230"/>
      <c r="EP24" s="230"/>
      <c r="EQ24" s="230"/>
      <c r="ER24" s="230"/>
      <c r="ES24" s="230"/>
      <c r="ET24" s="230"/>
      <c r="EU24" s="230"/>
      <c r="EV24" s="230"/>
      <c r="EW24" s="230"/>
      <c r="EX24" s="230"/>
      <c r="EY24" s="230"/>
      <c r="EZ24" s="230"/>
      <c r="FA24" s="230"/>
      <c r="FB24" s="230"/>
      <c r="FC24" s="230"/>
      <c r="FD24" s="230"/>
      <c r="FE24" s="230"/>
      <c r="FF24" s="230"/>
      <c r="FG24" s="230"/>
      <c r="FH24" s="230"/>
      <c r="FI24" s="230"/>
      <c r="FJ24" s="230"/>
      <c r="FK24" s="230"/>
      <c r="FL24" s="230"/>
      <c r="FM24" s="230"/>
      <c r="FN24" s="230"/>
      <c r="FO24" s="230"/>
      <c r="FP24" s="230"/>
      <c r="FQ24" s="230"/>
      <c r="FR24" s="230"/>
      <c r="FS24" s="230"/>
      <c r="FT24" s="230"/>
      <c r="FU24" s="230"/>
      <c r="FV24" s="230"/>
      <c r="FW24" s="230"/>
      <c r="FX24" s="230"/>
      <c r="FY24" s="230"/>
      <c r="FZ24" s="230"/>
      <c r="GA24" s="230"/>
      <c r="GB24" s="230"/>
      <c r="GC24" s="230"/>
      <c r="GD24" s="230"/>
      <c r="GE24" s="230"/>
      <c r="GF24" s="230"/>
      <c r="GG24" s="230"/>
      <c r="GH24" s="230"/>
      <c r="GI24" s="230"/>
      <c r="GJ24" s="230"/>
      <c r="GK24" s="230"/>
      <c r="GL24" s="230"/>
      <c r="GM24" s="230"/>
      <c r="GN24" s="230"/>
      <c r="GO24" s="230"/>
      <c r="GP24" s="230"/>
      <c r="GQ24" s="230"/>
      <c r="GR24" s="230"/>
      <c r="GS24" s="230"/>
      <c r="GT24" s="230"/>
      <c r="GU24" s="230"/>
      <c r="GV24" s="230"/>
      <c r="GW24" s="230"/>
      <c r="GX24" s="230"/>
      <c r="GY24" s="230"/>
      <c r="GZ24" s="230"/>
      <c r="HA24" s="230"/>
      <c r="HB24" s="230"/>
      <c r="HC24" s="230"/>
      <c r="HD24" s="230"/>
      <c r="HE24" s="230"/>
      <c r="HF24" s="230"/>
      <c r="HG24" s="230"/>
      <c r="HH24" s="230"/>
      <c r="HI24" s="230"/>
      <c r="HJ24" s="230"/>
      <c r="HK24" s="230"/>
      <c r="HL24" s="230"/>
      <c r="HM24" s="230"/>
      <c r="HN24" s="230"/>
      <c r="HO24" s="230"/>
      <c r="HP24" s="230"/>
      <c r="HQ24" s="230"/>
      <c r="HR24" s="230"/>
      <c r="HS24" s="230"/>
      <c r="HT24" s="230"/>
      <c r="HU24" s="230"/>
      <c r="HV24" s="230"/>
      <c r="HW24" s="230"/>
      <c r="HX24" s="230"/>
      <c r="HY24" s="230"/>
      <c r="HZ24" s="230"/>
      <c r="IA24" s="230"/>
      <c r="IB24" s="230"/>
      <c r="IC24" s="230"/>
      <c r="ID24" s="230"/>
      <c r="IE24" s="230"/>
      <c r="IF24" s="230"/>
      <c r="IG24" s="230"/>
      <c r="IH24" s="230"/>
      <c r="II24" s="230"/>
      <c r="IJ24" s="230"/>
      <c r="IK24" s="230"/>
      <c r="IL24" s="230"/>
      <c r="IM24" s="230"/>
      <c r="IN24" s="230"/>
      <c r="IO24" s="230"/>
      <c r="IP24" s="230"/>
      <c r="IQ24" s="230"/>
      <c r="IR24" s="230"/>
      <c r="IS24" s="230"/>
      <c r="IT24" s="230"/>
      <c r="IU24" s="230"/>
    </row>
    <row r="25" spans="1:255" x14ac:dyDescent="0.2">
      <c r="A25" s="54" t="s">
        <v>33</v>
      </c>
      <c r="B25" s="55" t="str">
        <f>B5</f>
        <v xml:space="preserve"> 1-</v>
      </c>
      <c r="C25" s="55" t="str">
        <f>C5</f>
        <v xml:space="preserve"> 2-</v>
      </c>
      <c r="D25" s="55" t="str">
        <f t="shared" ref="D25:BO25" si="27">D5</f>
        <v xml:space="preserve"> 3-</v>
      </c>
      <c r="E25" s="55" t="str">
        <f t="shared" si="27"/>
        <v xml:space="preserve"> 4-</v>
      </c>
      <c r="F25" s="55" t="str">
        <f t="shared" si="27"/>
        <v xml:space="preserve"> 5-</v>
      </c>
      <c r="G25" s="55" t="str">
        <f t="shared" si="27"/>
        <v xml:space="preserve"> 6-</v>
      </c>
      <c r="H25" s="55" t="str">
        <f t="shared" si="27"/>
        <v xml:space="preserve"> 7-</v>
      </c>
      <c r="I25" s="55" t="str">
        <f t="shared" si="27"/>
        <v xml:space="preserve"> 8-</v>
      </c>
      <c r="J25" s="55" t="str">
        <f t="shared" si="27"/>
        <v xml:space="preserve"> 9-</v>
      </c>
      <c r="K25" s="55" t="str">
        <f t="shared" si="27"/>
        <v xml:space="preserve"> 10-</v>
      </c>
      <c r="L25" s="55" t="str">
        <f t="shared" si="27"/>
        <v>11-</v>
      </c>
      <c r="M25" s="55" t="str">
        <f t="shared" si="27"/>
        <v xml:space="preserve"> 12-</v>
      </c>
      <c r="N25" s="55" t="str">
        <f t="shared" si="27"/>
        <v xml:space="preserve"> 13-</v>
      </c>
      <c r="O25" s="55" t="str">
        <f t="shared" si="27"/>
        <v xml:space="preserve"> 14-</v>
      </c>
      <c r="P25" s="55" t="str">
        <f t="shared" si="27"/>
        <v xml:space="preserve"> 15-</v>
      </c>
      <c r="Q25" s="55" t="str">
        <f t="shared" si="27"/>
        <v xml:space="preserve"> 16-</v>
      </c>
      <c r="R25" s="55" t="str">
        <f t="shared" si="27"/>
        <v xml:space="preserve"> 17-</v>
      </c>
      <c r="S25" s="55" t="str">
        <f t="shared" si="27"/>
        <v xml:space="preserve"> 18-</v>
      </c>
      <c r="T25" s="55" t="str">
        <f t="shared" si="27"/>
        <v xml:space="preserve"> 19-</v>
      </c>
      <c r="U25" s="55" t="str">
        <f t="shared" si="27"/>
        <v xml:space="preserve"> 20-</v>
      </c>
      <c r="V25" s="55" t="str">
        <f t="shared" si="27"/>
        <v xml:space="preserve"> 21-</v>
      </c>
      <c r="W25" s="55" t="str">
        <f t="shared" si="27"/>
        <v xml:space="preserve"> 22-</v>
      </c>
      <c r="X25" s="55" t="str">
        <f t="shared" si="27"/>
        <v xml:space="preserve"> 23-</v>
      </c>
      <c r="Y25" s="55" t="str">
        <f t="shared" si="27"/>
        <v xml:space="preserve"> 24-</v>
      </c>
      <c r="Z25" s="55" t="str">
        <f t="shared" si="27"/>
        <v xml:space="preserve"> 25-</v>
      </c>
      <c r="AA25" s="55" t="str">
        <f t="shared" si="27"/>
        <v xml:space="preserve"> 26-</v>
      </c>
      <c r="AB25" s="55" t="str">
        <f t="shared" si="27"/>
        <v xml:space="preserve"> 27-</v>
      </c>
      <c r="AC25" s="55" t="str">
        <f t="shared" si="27"/>
        <v xml:space="preserve"> 28-</v>
      </c>
      <c r="AD25" s="55" t="str">
        <f t="shared" si="27"/>
        <v xml:space="preserve"> 29-</v>
      </c>
      <c r="AE25" s="55" t="str">
        <f t="shared" si="27"/>
        <v xml:space="preserve"> 30-</v>
      </c>
      <c r="AF25" s="55" t="str">
        <f t="shared" si="27"/>
        <v xml:space="preserve"> 31-</v>
      </c>
      <c r="AG25" s="55" t="str">
        <f t="shared" si="27"/>
        <v xml:space="preserve"> 32-</v>
      </c>
      <c r="AH25" s="55" t="str">
        <f t="shared" si="27"/>
        <v xml:space="preserve"> 33-</v>
      </c>
      <c r="AI25" s="55" t="str">
        <f t="shared" si="27"/>
        <v xml:space="preserve"> 34-</v>
      </c>
      <c r="AJ25" s="55" t="str">
        <f t="shared" si="27"/>
        <v xml:space="preserve"> 35-</v>
      </c>
      <c r="AK25" s="55" t="str">
        <f t="shared" si="27"/>
        <v xml:space="preserve"> 36-</v>
      </c>
      <c r="AL25" s="55" t="str">
        <f t="shared" si="27"/>
        <v xml:space="preserve"> 37-</v>
      </c>
      <c r="AM25" s="55" t="str">
        <f t="shared" si="27"/>
        <v xml:space="preserve"> 38-</v>
      </c>
      <c r="AN25" s="55" t="str">
        <f t="shared" si="27"/>
        <v xml:space="preserve"> 39-</v>
      </c>
      <c r="AO25" s="55" t="str">
        <f t="shared" si="27"/>
        <v xml:space="preserve"> 40-</v>
      </c>
      <c r="AP25" s="55" t="str">
        <f t="shared" si="27"/>
        <v xml:space="preserve"> 41-</v>
      </c>
      <c r="AQ25" s="55" t="str">
        <f t="shared" si="27"/>
        <v xml:space="preserve"> 42-</v>
      </c>
      <c r="AR25" s="55" t="str">
        <f t="shared" si="27"/>
        <v xml:space="preserve"> 43-</v>
      </c>
      <c r="AS25" s="55" t="str">
        <f t="shared" si="27"/>
        <v xml:space="preserve"> 44-</v>
      </c>
      <c r="AT25" s="55" t="str">
        <f t="shared" si="27"/>
        <v xml:space="preserve"> 45-</v>
      </c>
      <c r="AU25" s="55" t="str">
        <f t="shared" si="27"/>
        <v xml:space="preserve"> 46-</v>
      </c>
      <c r="AV25" s="55" t="str">
        <f t="shared" si="27"/>
        <v xml:space="preserve"> 47-</v>
      </c>
      <c r="AW25" s="55" t="str">
        <f t="shared" si="27"/>
        <v xml:space="preserve"> 48-</v>
      </c>
      <c r="AX25" s="55" t="str">
        <f t="shared" si="27"/>
        <v xml:space="preserve"> 49-</v>
      </c>
      <c r="AY25" s="55" t="str">
        <f t="shared" si="27"/>
        <v xml:space="preserve"> 50-</v>
      </c>
      <c r="AZ25" s="55" t="str">
        <f t="shared" si="27"/>
        <v xml:space="preserve"> 51-</v>
      </c>
      <c r="BA25" s="55" t="str">
        <f t="shared" si="27"/>
        <v xml:space="preserve"> 52-</v>
      </c>
      <c r="BB25" s="55" t="str">
        <f t="shared" si="27"/>
        <v xml:space="preserve"> 53-</v>
      </c>
      <c r="BC25" s="55" t="str">
        <f t="shared" si="27"/>
        <v xml:space="preserve"> 54-</v>
      </c>
      <c r="BD25" s="55" t="str">
        <f t="shared" si="27"/>
        <v xml:space="preserve"> 55-</v>
      </c>
      <c r="BE25" s="55" t="str">
        <f t="shared" si="27"/>
        <v xml:space="preserve"> 56-</v>
      </c>
      <c r="BF25" s="55" t="str">
        <f t="shared" si="27"/>
        <v xml:space="preserve"> 57-</v>
      </c>
      <c r="BG25" s="55" t="str">
        <f t="shared" si="27"/>
        <v xml:space="preserve"> 58-</v>
      </c>
      <c r="BH25" s="55" t="str">
        <f t="shared" si="27"/>
        <v xml:space="preserve"> 59-</v>
      </c>
      <c r="BI25" s="55" t="str">
        <f t="shared" si="27"/>
        <v xml:space="preserve"> 60-</v>
      </c>
      <c r="BJ25" s="55" t="str">
        <f t="shared" si="27"/>
        <v xml:space="preserve"> 61-</v>
      </c>
      <c r="BK25" s="55" t="str">
        <f t="shared" si="27"/>
        <v xml:space="preserve"> 62-</v>
      </c>
      <c r="BL25" s="55" t="str">
        <f t="shared" si="27"/>
        <v xml:space="preserve"> 63-</v>
      </c>
      <c r="BM25" s="55" t="str">
        <f t="shared" si="27"/>
        <v xml:space="preserve"> 64-</v>
      </c>
      <c r="BN25" s="55" t="str">
        <f t="shared" si="27"/>
        <v xml:space="preserve"> 65-</v>
      </c>
      <c r="BO25" s="55" t="str">
        <f t="shared" si="27"/>
        <v xml:space="preserve"> 66-</v>
      </c>
      <c r="BP25" s="55" t="str">
        <f t="shared" ref="BP25:CW25" si="28">BP5</f>
        <v xml:space="preserve"> 67-</v>
      </c>
      <c r="BQ25" s="55" t="str">
        <f t="shared" si="28"/>
        <v xml:space="preserve"> 68-</v>
      </c>
      <c r="BR25" s="55" t="str">
        <f t="shared" si="28"/>
        <v xml:space="preserve"> 69-</v>
      </c>
      <c r="BS25" s="55" t="str">
        <f t="shared" si="28"/>
        <v xml:space="preserve"> 70-</v>
      </c>
      <c r="BT25" s="55" t="str">
        <f t="shared" si="28"/>
        <v xml:space="preserve"> 71-</v>
      </c>
      <c r="BU25" s="55" t="str">
        <f t="shared" si="28"/>
        <v xml:space="preserve"> 72-</v>
      </c>
      <c r="BV25" s="55" t="str">
        <f t="shared" si="28"/>
        <v xml:space="preserve"> 73-</v>
      </c>
      <c r="BW25" s="55" t="str">
        <f t="shared" si="28"/>
        <v xml:space="preserve"> 74-</v>
      </c>
      <c r="BX25" s="55" t="str">
        <f t="shared" si="28"/>
        <v xml:space="preserve"> 75-</v>
      </c>
      <c r="BY25" s="55" t="str">
        <f t="shared" si="28"/>
        <v xml:space="preserve"> 76-</v>
      </c>
      <c r="BZ25" s="55" t="str">
        <f t="shared" si="28"/>
        <v xml:space="preserve"> 77-</v>
      </c>
      <c r="CA25" s="55" t="str">
        <f t="shared" si="28"/>
        <v xml:space="preserve"> 78-</v>
      </c>
      <c r="CB25" s="55" t="str">
        <f t="shared" si="28"/>
        <v xml:space="preserve"> 79-</v>
      </c>
      <c r="CC25" s="55" t="str">
        <f t="shared" si="28"/>
        <v xml:space="preserve"> 80-</v>
      </c>
      <c r="CD25" s="55" t="str">
        <f t="shared" si="28"/>
        <v xml:space="preserve"> 81-</v>
      </c>
      <c r="CE25" s="55" t="str">
        <f t="shared" si="28"/>
        <v xml:space="preserve"> 82-</v>
      </c>
      <c r="CF25" s="55" t="str">
        <f t="shared" si="28"/>
        <v xml:space="preserve"> 83-</v>
      </c>
      <c r="CG25" s="55" t="str">
        <f t="shared" si="28"/>
        <v xml:space="preserve"> 84-</v>
      </c>
      <c r="CH25" s="55" t="str">
        <f t="shared" si="28"/>
        <v xml:space="preserve"> 85-</v>
      </c>
      <c r="CI25" s="55" t="str">
        <f t="shared" si="28"/>
        <v xml:space="preserve"> 86-</v>
      </c>
      <c r="CJ25" s="55" t="str">
        <f t="shared" si="28"/>
        <v xml:space="preserve"> 87-</v>
      </c>
      <c r="CK25" s="55" t="str">
        <f t="shared" si="28"/>
        <v xml:space="preserve"> 88-</v>
      </c>
      <c r="CL25" s="55" t="str">
        <f t="shared" si="28"/>
        <v xml:space="preserve"> 89-</v>
      </c>
      <c r="CM25" s="55" t="str">
        <f t="shared" si="28"/>
        <v xml:space="preserve"> 90-</v>
      </c>
      <c r="CN25" s="55" t="str">
        <f t="shared" si="28"/>
        <v xml:space="preserve"> 91-</v>
      </c>
      <c r="CO25" s="55" t="str">
        <f t="shared" si="28"/>
        <v xml:space="preserve"> 92-</v>
      </c>
      <c r="CP25" s="55" t="str">
        <f t="shared" si="28"/>
        <v xml:space="preserve"> 93-</v>
      </c>
      <c r="CQ25" s="55" t="str">
        <f t="shared" si="28"/>
        <v xml:space="preserve"> 94-</v>
      </c>
      <c r="CR25" s="55" t="str">
        <f t="shared" si="28"/>
        <v xml:space="preserve"> 95-</v>
      </c>
      <c r="CS25" s="55" t="str">
        <f t="shared" si="28"/>
        <v xml:space="preserve"> 96-</v>
      </c>
      <c r="CT25" s="55" t="str">
        <f t="shared" si="28"/>
        <v xml:space="preserve"> 97-</v>
      </c>
      <c r="CU25" s="55" t="str">
        <f t="shared" si="28"/>
        <v xml:space="preserve"> 98-</v>
      </c>
      <c r="CV25" s="55" t="str">
        <f t="shared" si="28"/>
        <v xml:space="preserve"> 99-</v>
      </c>
      <c r="CW25" s="55" t="str">
        <f t="shared" si="28"/>
        <v xml:space="preserve"> 100-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 t="e">
        <f t="shared" ref="B26:C26" si="29">(2*B17+B15-1)/SQRT(3)</f>
        <v>#DIV/0!</v>
      </c>
      <c r="C26" s="57" t="e">
        <f t="shared" si="29"/>
        <v>#DIV/0!</v>
      </c>
      <c r="D26" s="57" t="e">
        <f t="shared" ref="D26:G26" si="30">(2*D17+D15-1)/SQRT(3)</f>
        <v>#DIV/0!</v>
      </c>
      <c r="E26" s="57" t="e">
        <f t="shared" si="30"/>
        <v>#DIV/0!</v>
      </c>
      <c r="F26" s="57" t="e">
        <f t="shared" si="30"/>
        <v>#DIV/0!</v>
      </c>
      <c r="G26" s="57" t="e">
        <f t="shared" si="30"/>
        <v>#DIV/0!</v>
      </c>
      <c r="H26" s="57" t="e">
        <f t="shared" ref="H26:BS26" si="31">(2*H17+H15-1)/SQRT(3)</f>
        <v>#DIV/0!</v>
      </c>
      <c r="I26" s="57" t="e">
        <f t="shared" si="31"/>
        <v>#DIV/0!</v>
      </c>
      <c r="J26" s="57" t="e">
        <f t="shared" si="31"/>
        <v>#DIV/0!</v>
      </c>
      <c r="K26" s="57" t="e">
        <f t="shared" si="31"/>
        <v>#DIV/0!</v>
      </c>
      <c r="L26" s="57" t="e">
        <f t="shared" si="31"/>
        <v>#DIV/0!</v>
      </c>
      <c r="M26" s="57" t="e">
        <f t="shared" si="31"/>
        <v>#DIV/0!</v>
      </c>
      <c r="N26" s="57" t="e">
        <f t="shared" si="31"/>
        <v>#DIV/0!</v>
      </c>
      <c r="O26" s="57" t="e">
        <f t="shared" si="31"/>
        <v>#DIV/0!</v>
      </c>
      <c r="P26" s="57" t="e">
        <f t="shared" si="31"/>
        <v>#DIV/0!</v>
      </c>
      <c r="Q26" s="57" t="e">
        <f t="shared" si="31"/>
        <v>#DIV/0!</v>
      </c>
      <c r="R26" s="57" t="e">
        <f t="shared" si="31"/>
        <v>#DIV/0!</v>
      </c>
      <c r="S26" s="57" t="e">
        <f t="shared" si="31"/>
        <v>#DIV/0!</v>
      </c>
      <c r="T26" s="57" t="e">
        <f t="shared" si="31"/>
        <v>#DIV/0!</v>
      </c>
      <c r="U26" s="57" t="e">
        <f t="shared" si="31"/>
        <v>#DIV/0!</v>
      </c>
      <c r="V26" s="57" t="e">
        <f t="shared" si="31"/>
        <v>#DIV/0!</v>
      </c>
      <c r="W26" s="57" t="e">
        <f t="shared" si="31"/>
        <v>#DIV/0!</v>
      </c>
      <c r="X26" s="57" t="e">
        <f t="shared" si="31"/>
        <v>#DIV/0!</v>
      </c>
      <c r="Y26" s="57" t="e">
        <f t="shared" si="31"/>
        <v>#DIV/0!</v>
      </c>
      <c r="Z26" s="57" t="e">
        <f t="shared" si="31"/>
        <v>#DIV/0!</v>
      </c>
      <c r="AA26" s="57" t="e">
        <f t="shared" si="31"/>
        <v>#DIV/0!</v>
      </c>
      <c r="AB26" s="57" t="e">
        <f t="shared" si="31"/>
        <v>#DIV/0!</v>
      </c>
      <c r="AC26" s="57" t="e">
        <f t="shared" si="31"/>
        <v>#DIV/0!</v>
      </c>
      <c r="AD26" s="57" t="e">
        <f t="shared" si="31"/>
        <v>#DIV/0!</v>
      </c>
      <c r="AE26" s="57" t="e">
        <f t="shared" si="31"/>
        <v>#DIV/0!</v>
      </c>
      <c r="AF26" s="57" t="e">
        <f t="shared" si="31"/>
        <v>#DIV/0!</v>
      </c>
      <c r="AG26" s="57" t="e">
        <f t="shared" si="31"/>
        <v>#DIV/0!</v>
      </c>
      <c r="AH26" s="57" t="e">
        <f t="shared" si="31"/>
        <v>#DIV/0!</v>
      </c>
      <c r="AI26" s="57" t="e">
        <f t="shared" si="31"/>
        <v>#DIV/0!</v>
      </c>
      <c r="AJ26" s="57" t="e">
        <f t="shared" si="31"/>
        <v>#DIV/0!</v>
      </c>
      <c r="AK26" s="57" t="e">
        <f t="shared" si="31"/>
        <v>#DIV/0!</v>
      </c>
      <c r="AL26" s="57" t="e">
        <f t="shared" si="31"/>
        <v>#DIV/0!</v>
      </c>
      <c r="AM26" s="57" t="e">
        <f t="shared" si="31"/>
        <v>#DIV/0!</v>
      </c>
      <c r="AN26" s="57" t="e">
        <f t="shared" si="31"/>
        <v>#DIV/0!</v>
      </c>
      <c r="AO26" s="57" t="e">
        <f t="shared" si="31"/>
        <v>#DIV/0!</v>
      </c>
      <c r="AP26" s="57" t="e">
        <f t="shared" si="31"/>
        <v>#DIV/0!</v>
      </c>
      <c r="AQ26" s="57" t="e">
        <f t="shared" si="31"/>
        <v>#DIV/0!</v>
      </c>
      <c r="AR26" s="57" t="e">
        <f t="shared" si="31"/>
        <v>#DIV/0!</v>
      </c>
      <c r="AS26" s="57" t="e">
        <f t="shared" si="31"/>
        <v>#DIV/0!</v>
      </c>
      <c r="AT26" s="57" t="e">
        <f t="shared" si="31"/>
        <v>#DIV/0!</v>
      </c>
      <c r="AU26" s="57" t="e">
        <f t="shared" si="31"/>
        <v>#DIV/0!</v>
      </c>
      <c r="AV26" s="57" t="e">
        <f t="shared" si="31"/>
        <v>#DIV/0!</v>
      </c>
      <c r="AW26" s="57" t="e">
        <f t="shared" si="31"/>
        <v>#DIV/0!</v>
      </c>
      <c r="AX26" s="57" t="e">
        <f t="shared" si="31"/>
        <v>#DIV/0!</v>
      </c>
      <c r="AY26" s="57" t="e">
        <f t="shared" si="31"/>
        <v>#DIV/0!</v>
      </c>
      <c r="AZ26" s="57" t="e">
        <f t="shared" si="31"/>
        <v>#DIV/0!</v>
      </c>
      <c r="BA26" s="57" t="e">
        <f t="shared" si="31"/>
        <v>#DIV/0!</v>
      </c>
      <c r="BB26" s="57" t="e">
        <f t="shared" si="31"/>
        <v>#DIV/0!</v>
      </c>
      <c r="BC26" s="57" t="e">
        <f t="shared" si="31"/>
        <v>#DIV/0!</v>
      </c>
      <c r="BD26" s="57" t="e">
        <f t="shared" si="31"/>
        <v>#DIV/0!</v>
      </c>
      <c r="BE26" s="57" t="e">
        <f t="shared" si="31"/>
        <v>#DIV/0!</v>
      </c>
      <c r="BF26" s="57" t="e">
        <f t="shared" si="31"/>
        <v>#DIV/0!</v>
      </c>
      <c r="BG26" s="57" t="e">
        <f t="shared" si="31"/>
        <v>#DIV/0!</v>
      </c>
      <c r="BH26" s="57" t="e">
        <f t="shared" si="31"/>
        <v>#DIV/0!</v>
      </c>
      <c r="BI26" s="57" t="e">
        <f t="shared" si="31"/>
        <v>#DIV/0!</v>
      </c>
      <c r="BJ26" s="57" t="e">
        <f t="shared" si="31"/>
        <v>#DIV/0!</v>
      </c>
      <c r="BK26" s="57" t="e">
        <f t="shared" si="31"/>
        <v>#DIV/0!</v>
      </c>
      <c r="BL26" s="57" t="e">
        <f t="shared" si="31"/>
        <v>#DIV/0!</v>
      </c>
      <c r="BM26" s="57" t="e">
        <f t="shared" si="31"/>
        <v>#DIV/0!</v>
      </c>
      <c r="BN26" s="57" t="e">
        <f t="shared" si="31"/>
        <v>#DIV/0!</v>
      </c>
      <c r="BO26" s="57" t="e">
        <f t="shared" si="31"/>
        <v>#DIV/0!</v>
      </c>
      <c r="BP26" s="57" t="e">
        <f t="shared" si="31"/>
        <v>#DIV/0!</v>
      </c>
      <c r="BQ26" s="57" t="e">
        <f t="shared" si="31"/>
        <v>#DIV/0!</v>
      </c>
      <c r="BR26" s="57" t="e">
        <f t="shared" si="31"/>
        <v>#DIV/0!</v>
      </c>
      <c r="BS26" s="57" t="e">
        <f t="shared" si="31"/>
        <v>#DIV/0!</v>
      </c>
      <c r="BT26" s="57" t="e">
        <f t="shared" ref="BT26:CW26" si="32">(2*BT17+BT15-1)/SQRT(3)</f>
        <v>#DIV/0!</v>
      </c>
      <c r="BU26" s="57" t="e">
        <f t="shared" si="32"/>
        <v>#DIV/0!</v>
      </c>
      <c r="BV26" s="57" t="e">
        <f t="shared" si="32"/>
        <v>#DIV/0!</v>
      </c>
      <c r="BW26" s="57" t="e">
        <f t="shared" si="32"/>
        <v>#DIV/0!</v>
      </c>
      <c r="BX26" s="57" t="e">
        <f t="shared" si="32"/>
        <v>#DIV/0!</v>
      </c>
      <c r="BY26" s="57" t="e">
        <f t="shared" si="32"/>
        <v>#DIV/0!</v>
      </c>
      <c r="BZ26" s="57" t="e">
        <f t="shared" si="32"/>
        <v>#DIV/0!</v>
      </c>
      <c r="CA26" s="57" t="e">
        <f t="shared" si="32"/>
        <v>#DIV/0!</v>
      </c>
      <c r="CB26" s="57" t="e">
        <f t="shared" si="32"/>
        <v>#DIV/0!</v>
      </c>
      <c r="CC26" s="57" t="e">
        <f t="shared" si="32"/>
        <v>#DIV/0!</v>
      </c>
      <c r="CD26" s="57" t="e">
        <f t="shared" si="32"/>
        <v>#DIV/0!</v>
      </c>
      <c r="CE26" s="57" t="e">
        <f t="shared" si="32"/>
        <v>#DIV/0!</v>
      </c>
      <c r="CF26" s="57" t="e">
        <f t="shared" si="32"/>
        <v>#DIV/0!</v>
      </c>
      <c r="CG26" s="57" t="e">
        <f t="shared" si="32"/>
        <v>#DIV/0!</v>
      </c>
      <c r="CH26" s="57" t="e">
        <f t="shared" si="32"/>
        <v>#DIV/0!</v>
      </c>
      <c r="CI26" s="57" t="e">
        <f t="shared" si="32"/>
        <v>#DIV/0!</v>
      </c>
      <c r="CJ26" s="57" t="e">
        <f t="shared" si="32"/>
        <v>#DIV/0!</v>
      </c>
      <c r="CK26" s="57" t="e">
        <f t="shared" si="32"/>
        <v>#DIV/0!</v>
      </c>
      <c r="CL26" s="57" t="e">
        <f t="shared" si="32"/>
        <v>#DIV/0!</v>
      </c>
      <c r="CM26" s="57" t="e">
        <f t="shared" si="32"/>
        <v>#DIV/0!</v>
      </c>
      <c r="CN26" s="57" t="e">
        <f t="shared" si="32"/>
        <v>#DIV/0!</v>
      </c>
      <c r="CO26" s="57" t="e">
        <f t="shared" si="32"/>
        <v>#DIV/0!</v>
      </c>
      <c r="CP26" s="57" t="e">
        <f t="shared" si="32"/>
        <v>#DIV/0!</v>
      </c>
      <c r="CQ26" s="57" t="e">
        <f t="shared" si="32"/>
        <v>#DIV/0!</v>
      </c>
      <c r="CR26" s="57" t="e">
        <f t="shared" si="32"/>
        <v>#DIV/0!</v>
      </c>
      <c r="CS26" s="57" t="e">
        <f t="shared" si="32"/>
        <v>#DIV/0!</v>
      </c>
      <c r="CT26" s="57" t="e">
        <f t="shared" si="32"/>
        <v>#DIV/0!</v>
      </c>
      <c r="CU26" s="57" t="e">
        <f t="shared" si="32"/>
        <v>#DIV/0!</v>
      </c>
      <c r="CV26" s="57" t="e">
        <f t="shared" si="32"/>
        <v>#DIV/0!</v>
      </c>
      <c r="CW26" s="57" t="e">
        <f t="shared" si="32"/>
        <v>#DIV/0!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-1</v>
      </c>
      <c r="C27" s="63">
        <f>IF(DIAG!$H38,C15,-1)</f>
        <v>-1</v>
      </c>
      <c r="D27" s="63">
        <f>IF(DIAG!$H39,D15,-1)</f>
        <v>-1</v>
      </c>
      <c r="E27" s="63">
        <f>IF(DIAG!$H40,E15,-1)</f>
        <v>-1</v>
      </c>
      <c r="F27" s="63">
        <f>IF(DIAG!$H41,F15,-1)</f>
        <v>-1</v>
      </c>
      <c r="G27" s="63">
        <f>IF(DIAG!$H42,G15,-1)</f>
        <v>-1</v>
      </c>
      <c r="H27" s="63">
        <f>IF(DIAG!$H43,H15,-1)</f>
        <v>-1</v>
      </c>
      <c r="I27" s="63">
        <f>IF(DIAG!$H44,I15,-1)</f>
        <v>-1</v>
      </c>
      <c r="J27" s="63">
        <f>IF(DIAG!$H45,J15,-1)</f>
        <v>-1</v>
      </c>
      <c r="K27" s="63">
        <f>IF(DIAG!$H46,K15,-1)</f>
        <v>-1</v>
      </c>
      <c r="L27" s="63">
        <f>IF(DIAG!$H47,L15,-1)</f>
        <v>-1</v>
      </c>
      <c r="M27" s="63">
        <f>IF(DIAG!$H48,M15,-1)</f>
        <v>-1</v>
      </c>
      <c r="N27" s="63">
        <f>IF(DIAG!$H49,N15,-1)</f>
        <v>-1</v>
      </c>
      <c r="O27" s="63">
        <f>IF(DIAG!$H50,O15,-1)</f>
        <v>-1</v>
      </c>
      <c r="P27" s="63">
        <f>IF(DIAG!$H51,P15,-1)</f>
        <v>-1</v>
      </c>
      <c r="Q27" s="63">
        <f>IF(DIAG!$H52,Q15,-1)</f>
        <v>-1</v>
      </c>
      <c r="R27" s="63">
        <f>IF(DIAG!$H53,R15,-1)</f>
        <v>-1</v>
      </c>
      <c r="S27" s="63">
        <f>IF(DIAG!$H54,S15,-1)</f>
        <v>-1</v>
      </c>
      <c r="T27" s="63">
        <f>IF(DIAG!$H55,T15,-1)</f>
        <v>-1</v>
      </c>
      <c r="U27" s="63">
        <f>IF(DIAG!$H56,U15,-1)</f>
        <v>-1</v>
      </c>
      <c r="V27" s="63">
        <f>IF(DIAG!$H57,V15,-1)</f>
        <v>-1</v>
      </c>
      <c r="W27" s="63">
        <f>IF(DIAG!$H58,W15,-1)</f>
        <v>-1</v>
      </c>
      <c r="X27" s="63">
        <f>IF(DIAG!$H59,X15,-1)</f>
        <v>-1</v>
      </c>
      <c r="Y27" s="63">
        <f>IF(DIAG!$H60,Y15,-1)</f>
        <v>-1</v>
      </c>
      <c r="Z27" s="63">
        <f>IF(DIAG!$H61,Z15,-1)</f>
        <v>-1</v>
      </c>
      <c r="AA27" s="63">
        <f>IF(DIAG!$H62,AA15,-1)</f>
        <v>-1</v>
      </c>
      <c r="AB27" s="63">
        <f>IF(DIAG!$H63,AB15,-1)</f>
        <v>-1</v>
      </c>
      <c r="AC27" s="63">
        <f>IF(DIAG!$H64,AC15,-1)</f>
        <v>-1</v>
      </c>
      <c r="AD27" s="63">
        <f>IF(DIAG!$H65,AD15,-1)</f>
        <v>-1</v>
      </c>
      <c r="AE27" s="63">
        <f>IF(DIAG!$H66,AE15,-1)</f>
        <v>-1</v>
      </c>
      <c r="AF27" s="63">
        <f>IF(DIAG!$H67,AF15,-1)</f>
        <v>-1</v>
      </c>
      <c r="AG27" s="63">
        <f>IF(DIAG!$H68,AG15,-1)</f>
        <v>-1</v>
      </c>
      <c r="AH27" s="63">
        <f>IF(DIAG!$H69,AH15,-1)</f>
        <v>-1</v>
      </c>
      <c r="AI27" s="63">
        <f>IF(DIAG!$H70,AI15,-1)</f>
        <v>-1</v>
      </c>
      <c r="AJ27" s="63">
        <f>IF(DIAG!$H71,AJ15,-1)</f>
        <v>-1</v>
      </c>
      <c r="AK27" s="63">
        <f>IF(DIAG!$H72,AK15,-1)</f>
        <v>-1</v>
      </c>
      <c r="AL27" s="63">
        <f>IF(DIAG!$H73,AL15,-1)</f>
        <v>-1</v>
      </c>
      <c r="AM27" s="63">
        <f>IF(DIAG!$H74,AM15,-1)</f>
        <v>-1</v>
      </c>
      <c r="AN27" s="63">
        <f>IF(DIAG!$H75,AN15,-1)</f>
        <v>-1</v>
      </c>
      <c r="AO27" s="63">
        <f>IF(DIAG!$H76,AO15,-1)</f>
        <v>-1</v>
      </c>
      <c r="AP27" s="63">
        <f>IF(DIAG!$H77,AP15,-1)</f>
        <v>-1</v>
      </c>
      <c r="AQ27" s="63">
        <f>IF(DIAG!$H78,AQ15,-1)</f>
        <v>-1</v>
      </c>
      <c r="AR27" s="63">
        <f>IF(DIAG!$H79,AR15,-1)</f>
        <v>-1</v>
      </c>
      <c r="AS27" s="63">
        <f>IF(DIAG!$H80,AS15,-1)</f>
        <v>-1</v>
      </c>
      <c r="AT27" s="63">
        <f>IF(DIAG!$H81,AT15,-1)</f>
        <v>-1</v>
      </c>
      <c r="AU27" s="63">
        <f>IF(DIAG!$H82,AU15,-1)</f>
        <v>-1</v>
      </c>
      <c r="AV27" s="63">
        <f>IF(DIAG!$H83,AV15,-1)</f>
        <v>-1</v>
      </c>
      <c r="AW27" s="63">
        <f>IF(DIAG!$H84,AW15,-1)</f>
        <v>-1</v>
      </c>
      <c r="AX27" s="63">
        <f>IF(DIAG!$H85,AX15,-1)</f>
        <v>-1</v>
      </c>
      <c r="AY27" s="63">
        <f>IF(DIAG!$H86,AY15,-1)</f>
        <v>-1</v>
      </c>
      <c r="AZ27" s="63">
        <f>IF(DIAG!$H87,AZ15,-1)</f>
        <v>-1</v>
      </c>
      <c r="BA27" s="63">
        <f>IF(DIAG!$H88,BA15,-1)</f>
        <v>-1</v>
      </c>
      <c r="BB27" s="63">
        <f>IF(DIAG!$H89,BB15,-1)</f>
        <v>-1</v>
      </c>
      <c r="BC27" s="63">
        <f>IF(DIAG!$H90,BC15,-1)</f>
        <v>-1</v>
      </c>
      <c r="BD27" s="63">
        <f>IF(DIAG!$H91,BD15,-1)</f>
        <v>-1</v>
      </c>
      <c r="BE27" s="63">
        <f>IF(DIAG!$H92,BE15,-1)</f>
        <v>-1</v>
      </c>
      <c r="BF27" s="63">
        <f>IF(DIAG!$H93,BF15,-1)</f>
        <v>-1</v>
      </c>
      <c r="BG27" s="63">
        <f>IF(DIAG!$H94,BG15,-1)</f>
        <v>-1</v>
      </c>
      <c r="BH27" s="63">
        <f>IF(DIAG!$H95,BH15,-1)</f>
        <v>-1</v>
      </c>
      <c r="BI27" s="63">
        <f>IF(DIAG!$H96,BI15,-1)</f>
        <v>-1</v>
      </c>
      <c r="BJ27" s="63">
        <f>IF(DIAG!$H97,BJ15,-1)</f>
        <v>-1</v>
      </c>
      <c r="BK27" s="63">
        <f>IF(DIAG!$H98,BK15,-1)</f>
        <v>-1</v>
      </c>
      <c r="BL27" s="63">
        <f>IF(DIAG!$H99,BL15,-1)</f>
        <v>-1</v>
      </c>
      <c r="BM27" s="63">
        <f>IF(DIAG!$H100,BM15,-1)</f>
        <v>-1</v>
      </c>
      <c r="BN27" s="63">
        <f>IF(DIAG!$H101,BN15,-1)</f>
        <v>-1</v>
      </c>
      <c r="BO27" s="63">
        <f>IF(DIAG!$H102,BO15,-1)</f>
        <v>-1</v>
      </c>
      <c r="BP27" s="63">
        <f>IF(DIAG!$H103,BP15,-1)</f>
        <v>-1</v>
      </c>
      <c r="BQ27" s="63">
        <f>IF(DIAG!$H104,BQ15,-1)</f>
        <v>-1</v>
      </c>
      <c r="BR27" s="63">
        <f>IF(DIAG!$H105,BR15,-1)</f>
        <v>-1</v>
      </c>
      <c r="BS27" s="63">
        <f>IF(DIAG!$H106,BS15,-1)</f>
        <v>-1</v>
      </c>
      <c r="BT27" s="63">
        <f>IF(DIAG!$H107,BT15,-1)</f>
        <v>-1</v>
      </c>
      <c r="BU27" s="63">
        <f>IF(DIAG!$H108,BU15,-1)</f>
        <v>-1</v>
      </c>
      <c r="BV27" s="63">
        <f>IF(DIAG!$H109,BV15,-1)</f>
        <v>-1</v>
      </c>
      <c r="BW27" s="63">
        <f>IF(DIAG!$H110,BW15,-1)</f>
        <v>-1</v>
      </c>
      <c r="BX27" s="63">
        <f>IF(DIAG!$H111,BX15,-1)</f>
        <v>-1</v>
      </c>
      <c r="BY27" s="63">
        <f>IF(DIAG!$H112,BY15,-1)</f>
        <v>-1</v>
      </c>
      <c r="BZ27" s="63">
        <f>IF(DIAG!$H113,BZ15,-1)</f>
        <v>-1</v>
      </c>
      <c r="CA27" s="63">
        <f>IF(DIAG!$H114,CA15,-1)</f>
        <v>-1</v>
      </c>
      <c r="CB27" s="63">
        <f>IF(DIAG!$H115,CB15,-1)</f>
        <v>-1</v>
      </c>
      <c r="CC27" s="63">
        <f>IF(DIAG!$H116,CC15,-1)</f>
        <v>-1</v>
      </c>
      <c r="CD27" s="63">
        <f>IF(DIAG!$H117,CD15,-1)</f>
        <v>-1</v>
      </c>
      <c r="CE27" s="63">
        <f>IF(DIAG!$H118,CE15,-1)</f>
        <v>-1</v>
      </c>
      <c r="CF27" s="63">
        <f>IF(DIAG!$H119,CF15,-1)</f>
        <v>-1</v>
      </c>
      <c r="CG27" s="63">
        <f>IF(DIAG!$H120,CG15,-1)</f>
        <v>-1</v>
      </c>
      <c r="CH27" s="63">
        <f>IF(DIAG!$H121,CH15,-1)</f>
        <v>-1</v>
      </c>
      <c r="CI27" s="63">
        <f>IF(DIAG!$H122,CI15,-1)</f>
        <v>-1</v>
      </c>
      <c r="CJ27" s="63">
        <f>IF(DIAG!$H123,CJ15,-1)</f>
        <v>-1</v>
      </c>
      <c r="CK27" s="63">
        <f>IF(DIAG!$H124,CK15,-1)</f>
        <v>-1</v>
      </c>
      <c r="CL27" s="63">
        <f>IF(DIAG!$H125,CL15,-1)</f>
        <v>-1</v>
      </c>
      <c r="CM27" s="63">
        <f>IF(DIAG!$H126,CM15,-1)</f>
        <v>-1</v>
      </c>
      <c r="CN27" s="63">
        <f>IF(DIAG!$H127,CN15,-1)</f>
        <v>-1</v>
      </c>
      <c r="CO27" s="63">
        <f>IF(DIAG!$H128,CO15,-1)</f>
        <v>-1</v>
      </c>
      <c r="CP27" s="63">
        <f>IF(DIAG!$H129,CP15,-1)</f>
        <v>-1</v>
      </c>
      <c r="CQ27" s="63">
        <f>IF(DIAG!$H130,CQ15,-1)</f>
        <v>-1</v>
      </c>
      <c r="CR27" s="63">
        <f>IF(DIAG!$H131,CR15,-1)</f>
        <v>-1</v>
      </c>
      <c r="CS27" s="63">
        <f>IF(DIAG!$H132,CS15,-1)</f>
        <v>-1</v>
      </c>
      <c r="CT27" s="63">
        <f>IF(DIAG!$H133,CT15,-1)</f>
        <v>-1</v>
      </c>
      <c r="CU27" s="63">
        <f>IF(DIAG!$H134,CU15,-1)</f>
        <v>-1</v>
      </c>
      <c r="CV27" s="63">
        <f>IF(DIAG!$H135,CV15,-1)</f>
        <v>-1</v>
      </c>
      <c r="CW27" s="63">
        <f>IF(DIAG!$H136,CW15,-1)</f>
        <v>-1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225" t="s">
        <v>33</v>
      </c>
      <c r="B28" s="226"/>
      <c r="C28" s="227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70"/>
      <c r="B29" s="71" t="str">
        <f>VLOOKUP(A28,A25:G25,A83,0)</f>
        <v xml:space="preserve"> 4-</v>
      </c>
      <c r="C29" s="72"/>
      <c r="D29" s="73" t="e">
        <f ca="1">D103</f>
        <v>#DIV/0!</v>
      </c>
      <c r="E29" s="73" t="e">
        <f ca="1">D100</f>
        <v>#DIV/0!</v>
      </c>
      <c r="F29" s="73" t="e">
        <f ca="1">E103</f>
        <v>#DIV/0!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>
        <f>IF(DIAG!H239,$GL$55,-1)</f>
        <v>-1</v>
      </c>
      <c r="AQ29" s="60">
        <f>AP29+(AY29-AP29)/9</f>
        <v>-1</v>
      </c>
      <c r="AR29" s="60">
        <f>AQ29+(AY29-AQ29)/8</f>
        <v>-1</v>
      </c>
      <c r="AS29" s="60">
        <f>AR29+(AY29-AR29)/7</f>
        <v>-1</v>
      </c>
      <c r="AT29" s="60">
        <f>AS29+(AY29-AS29)/6</f>
        <v>-1</v>
      </c>
      <c r="AU29" s="60">
        <f>AT29+(AY29-AT29)/5</f>
        <v>-1</v>
      </c>
      <c r="AV29" s="60">
        <f>AU29+(AY29-AU29)/4</f>
        <v>-1</v>
      </c>
      <c r="AW29" s="60">
        <f>AV29+(AY29-AV29)/3</f>
        <v>-1</v>
      </c>
      <c r="AX29" s="60">
        <f>AW29+(AY29-AW29)/2</f>
        <v>-1</v>
      </c>
      <c r="AY29" s="61">
        <f>IF(DIAG!H239,$B$26,-1)</f>
        <v>-1</v>
      </c>
      <c r="BA29" s="11" t="s">
        <v>84</v>
      </c>
      <c r="BB29" s="9">
        <f>DIAG!W1</f>
        <v>0</v>
      </c>
    </row>
    <row r="30" spans="1:255" x14ac:dyDescent="0.2">
      <c r="A30" s="77"/>
      <c r="B30" s="78"/>
      <c r="C30" s="79"/>
      <c r="D30" s="73" t="e">
        <f ca="1">N103</f>
        <v>#DIV/0!</v>
      </c>
      <c r="E30" s="73" t="e">
        <f ca="1">M100</f>
        <v>#DIV/0!</v>
      </c>
      <c r="F30" s="73" t="e">
        <f ca="1">M103</f>
        <v>#DIV/0!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IF(DIAG!H239,$B$27,-1)</f>
        <v>-1</v>
      </c>
      <c r="BA30" s="11" t="s">
        <v>82</v>
      </c>
      <c r="BB30" s="14">
        <f ca="1">IF(BB29=0,0,MAX(OFFSET(BC29,1,1,1,BB29)))</f>
        <v>0</v>
      </c>
      <c r="BD30" s="14">
        <f t="shared" ref="BD30:BM30" si="33">B9</f>
        <v>0</v>
      </c>
      <c r="BE30" s="14">
        <f t="shared" si="33"/>
        <v>0</v>
      </c>
      <c r="BF30" s="14">
        <f t="shared" si="33"/>
        <v>0</v>
      </c>
      <c r="BG30" s="14">
        <f t="shared" si="33"/>
        <v>0</v>
      </c>
      <c r="BH30" s="14">
        <f t="shared" si="33"/>
        <v>0</v>
      </c>
      <c r="BI30" s="14">
        <f t="shared" si="33"/>
        <v>0</v>
      </c>
      <c r="BJ30" s="14">
        <f t="shared" si="33"/>
        <v>0</v>
      </c>
      <c r="BK30" s="14">
        <f t="shared" si="33"/>
        <v>0</v>
      </c>
      <c r="BL30" s="14">
        <f t="shared" si="33"/>
        <v>0</v>
      </c>
      <c r="BM30" s="14">
        <f t="shared" si="33"/>
        <v>0</v>
      </c>
      <c r="BN30" s="14">
        <f t="shared" ref="BN30" si="34">L9</f>
        <v>0</v>
      </c>
      <c r="BO30" s="14">
        <f t="shared" ref="BO30" si="35">M9</f>
        <v>0</v>
      </c>
      <c r="BP30" s="14">
        <f t="shared" ref="BP30" si="36">N9</f>
        <v>0</v>
      </c>
      <c r="BQ30" s="14">
        <f t="shared" ref="BQ30" si="37">O9</f>
        <v>0</v>
      </c>
      <c r="BR30" s="14">
        <f t="shared" ref="BR30" si="38">P9</f>
        <v>0</v>
      </c>
      <c r="BS30" s="14">
        <f t="shared" ref="BS30" si="39">Q9</f>
        <v>0</v>
      </c>
      <c r="BT30" s="14">
        <f t="shared" ref="BT30" si="40">R9</f>
        <v>0</v>
      </c>
      <c r="BU30" s="14">
        <f t="shared" ref="BU30" si="41">S9</f>
        <v>0</v>
      </c>
      <c r="BV30" s="14">
        <f t="shared" ref="BV30" si="42">T9</f>
        <v>0</v>
      </c>
      <c r="BW30" s="14">
        <f t="shared" ref="BW30" si="43">U9</f>
        <v>0</v>
      </c>
      <c r="BX30" s="14">
        <f t="shared" ref="BX30" si="44">V9</f>
        <v>0</v>
      </c>
      <c r="BY30" s="14">
        <f t="shared" ref="BY30" si="45">W9</f>
        <v>0</v>
      </c>
      <c r="BZ30" s="14">
        <f t="shared" ref="BZ30" si="46">X9</f>
        <v>0</v>
      </c>
      <c r="CA30" s="14">
        <f t="shared" ref="CA30" si="47">Y9</f>
        <v>0</v>
      </c>
      <c r="CB30" s="14">
        <f t="shared" ref="CB30" si="48">Z9</f>
        <v>0</v>
      </c>
      <c r="CC30" s="14">
        <f t="shared" ref="CC30" si="49">AA9</f>
        <v>0</v>
      </c>
      <c r="CD30" s="14">
        <f t="shared" ref="CD30" si="50">AB9</f>
        <v>0</v>
      </c>
      <c r="CE30" s="14">
        <f t="shared" ref="CE30" si="51">AC9</f>
        <v>0</v>
      </c>
      <c r="CF30" s="14">
        <f t="shared" ref="CF30" si="52">AD9</f>
        <v>0</v>
      </c>
      <c r="CG30" s="14">
        <f t="shared" ref="CG30" si="53">AE9</f>
        <v>0</v>
      </c>
      <c r="CH30" s="14">
        <f t="shared" ref="CH30" si="54">AF9</f>
        <v>0</v>
      </c>
      <c r="CI30" s="14">
        <f t="shared" ref="CI30" si="55">AG9</f>
        <v>0</v>
      </c>
      <c r="CJ30" s="14">
        <f t="shared" ref="CJ30" si="56">AH9</f>
        <v>0</v>
      </c>
      <c r="CK30" s="14">
        <f t="shared" ref="CK30" si="57">AI9</f>
        <v>0</v>
      </c>
      <c r="CL30" s="14">
        <f t="shared" ref="CL30" si="58">AJ9</f>
        <v>0</v>
      </c>
      <c r="CM30" s="14">
        <f t="shared" ref="CM30" si="59">AK9</f>
        <v>0</v>
      </c>
      <c r="CN30" s="14">
        <f t="shared" ref="CN30" si="60">AL9</f>
        <v>0</v>
      </c>
      <c r="CO30" s="14">
        <f t="shared" ref="CO30" si="61">AM9</f>
        <v>0</v>
      </c>
      <c r="CP30" s="14">
        <f t="shared" ref="CP30" si="62">AN9</f>
        <v>0</v>
      </c>
      <c r="CQ30" s="14">
        <f t="shared" ref="CQ30" si="63">AO9</f>
        <v>0</v>
      </c>
      <c r="CR30" s="14">
        <f t="shared" ref="CR30" si="64">AP9</f>
        <v>0</v>
      </c>
      <c r="CS30" s="14">
        <f t="shared" ref="CS30" si="65">AQ9</f>
        <v>0</v>
      </c>
      <c r="CT30" s="14">
        <f t="shared" ref="CT30" si="66">AR9</f>
        <v>0</v>
      </c>
      <c r="CU30" s="14">
        <f t="shared" ref="CU30" si="67">AS9</f>
        <v>0</v>
      </c>
      <c r="CV30" s="14">
        <f t="shared" ref="CV30" si="68">AT9</f>
        <v>0</v>
      </c>
      <c r="CW30" s="14">
        <f t="shared" ref="CW30" si="69">AU9</f>
        <v>0</v>
      </c>
      <c r="CX30" s="14">
        <f t="shared" ref="CX30" si="70">AV9</f>
        <v>0</v>
      </c>
      <c r="CY30" s="14">
        <f t="shared" ref="CY30" si="71">AW9</f>
        <v>0</v>
      </c>
      <c r="CZ30" s="14">
        <f t="shared" ref="CZ30" si="72">AX9</f>
        <v>0</v>
      </c>
      <c r="DA30" s="14">
        <f t="shared" ref="DA30" si="73">AY9</f>
        <v>0</v>
      </c>
      <c r="DB30" s="14">
        <f t="shared" ref="DB30" si="74">AZ9</f>
        <v>0</v>
      </c>
      <c r="DC30" s="14">
        <f t="shared" ref="DC30" si="75">BA9</f>
        <v>0</v>
      </c>
      <c r="DD30" s="14">
        <f t="shared" ref="DD30" si="76">BB9</f>
        <v>0</v>
      </c>
      <c r="DE30" s="14">
        <f t="shared" ref="DE30" si="77">BC9</f>
        <v>0</v>
      </c>
      <c r="DF30" s="14">
        <f t="shared" ref="DF30" si="78">BD9</f>
        <v>0</v>
      </c>
      <c r="DG30" s="14">
        <f t="shared" ref="DG30" si="79">BE9</f>
        <v>0</v>
      </c>
      <c r="DH30" s="14">
        <f t="shared" ref="DH30" si="80">BF9</f>
        <v>0</v>
      </c>
      <c r="DI30" s="14">
        <f t="shared" ref="DI30" si="81">BG9</f>
        <v>0</v>
      </c>
      <c r="DJ30" s="14">
        <f t="shared" ref="DJ30" si="82">BH9</f>
        <v>0</v>
      </c>
      <c r="DK30" s="14">
        <f t="shared" ref="DK30" si="83">BI9</f>
        <v>0</v>
      </c>
      <c r="DL30" s="14">
        <f t="shared" ref="DL30" si="84">BJ9</f>
        <v>0</v>
      </c>
      <c r="DM30" s="14">
        <f t="shared" ref="DM30" si="85">BK9</f>
        <v>0</v>
      </c>
      <c r="DN30" s="14">
        <f t="shared" ref="DN30" si="86">BL9</f>
        <v>0</v>
      </c>
      <c r="DO30" s="14">
        <f t="shared" ref="DO30" si="87">BM9</f>
        <v>0</v>
      </c>
      <c r="DP30" s="14">
        <f t="shared" ref="DP30" si="88">BN9</f>
        <v>0</v>
      </c>
      <c r="DQ30" s="14">
        <f t="shared" ref="DQ30" si="89">BO9</f>
        <v>0</v>
      </c>
      <c r="DR30" s="14">
        <f t="shared" ref="DR30" si="90">BP9</f>
        <v>0</v>
      </c>
      <c r="DS30" s="14">
        <f t="shared" ref="DS30" si="91">BQ9</f>
        <v>0</v>
      </c>
      <c r="DT30" s="14">
        <f t="shared" ref="DT30" si="92">BR9</f>
        <v>0</v>
      </c>
      <c r="DU30" s="14">
        <f t="shared" ref="DU30" si="93">BS9</f>
        <v>0</v>
      </c>
      <c r="DV30" s="14">
        <f t="shared" ref="DV30" si="94">BT9</f>
        <v>0</v>
      </c>
      <c r="DW30" s="14">
        <f t="shared" ref="DW30" si="95">BU9</f>
        <v>0</v>
      </c>
      <c r="DX30" s="14">
        <f t="shared" ref="DX30" si="96">BV9</f>
        <v>0</v>
      </c>
      <c r="DY30" s="14">
        <f t="shared" ref="DY30" si="97">BW9</f>
        <v>0</v>
      </c>
      <c r="DZ30" s="14">
        <f t="shared" ref="DZ30" si="98">BX9</f>
        <v>0</v>
      </c>
      <c r="EA30" s="14">
        <f t="shared" ref="EA30" si="99">BY9</f>
        <v>0</v>
      </c>
      <c r="EB30" s="14">
        <f t="shared" ref="EB30" si="100">BZ9</f>
        <v>0</v>
      </c>
      <c r="EC30" s="14">
        <f t="shared" ref="EC30" si="101">CA9</f>
        <v>0</v>
      </c>
      <c r="ED30" s="14">
        <f t="shared" ref="ED30" si="102">CB9</f>
        <v>0</v>
      </c>
      <c r="EE30" s="14">
        <f t="shared" ref="EE30" si="103">CC9</f>
        <v>0</v>
      </c>
      <c r="EF30" s="14">
        <f t="shared" ref="EF30" si="104">CD9</f>
        <v>0</v>
      </c>
      <c r="EG30" s="14">
        <f t="shared" ref="EG30" si="105">CE9</f>
        <v>0</v>
      </c>
      <c r="EH30" s="14">
        <f t="shared" ref="EH30" si="106">CF9</f>
        <v>0</v>
      </c>
      <c r="EI30" s="14">
        <f t="shared" ref="EI30" si="107">CG9</f>
        <v>0</v>
      </c>
      <c r="EJ30" s="14">
        <f t="shared" ref="EJ30" si="108">CH9</f>
        <v>0</v>
      </c>
      <c r="EK30" s="14">
        <f t="shared" ref="EK30" si="109">CI9</f>
        <v>0</v>
      </c>
      <c r="EL30" s="14">
        <f t="shared" ref="EL30" si="110">CJ9</f>
        <v>0</v>
      </c>
      <c r="EM30" s="14">
        <f t="shared" ref="EM30" si="111">CK9</f>
        <v>0</v>
      </c>
      <c r="EN30" s="14">
        <f t="shared" ref="EN30" si="112">CL9</f>
        <v>0</v>
      </c>
      <c r="EO30" s="14">
        <f t="shared" ref="EO30" si="113">CM9</f>
        <v>0</v>
      </c>
      <c r="EP30" s="14">
        <f t="shared" ref="EP30" si="114">CN9</f>
        <v>0</v>
      </c>
      <c r="EQ30" s="14">
        <f t="shared" ref="EQ30" si="115">CO9</f>
        <v>0</v>
      </c>
      <c r="ER30" s="14">
        <f t="shared" ref="ER30" si="116">CP9</f>
        <v>0</v>
      </c>
      <c r="ES30" s="14">
        <f t="shared" ref="ES30" si="117">CQ9</f>
        <v>0</v>
      </c>
      <c r="ET30" s="14">
        <f t="shared" ref="ET30" si="118">CR9</f>
        <v>0</v>
      </c>
      <c r="EU30" s="14">
        <f t="shared" ref="EU30" si="119">CS9</f>
        <v>0</v>
      </c>
      <c r="EV30" s="14">
        <f t="shared" ref="EV30" si="120">CT9</f>
        <v>0</v>
      </c>
      <c r="EW30" s="14">
        <f t="shared" ref="EW30" si="121">CU9</f>
        <v>0</v>
      </c>
      <c r="EX30" s="14">
        <f t="shared" ref="EX30" si="122">CV9</f>
        <v>0</v>
      </c>
      <c r="EY30" s="14">
        <f t="shared" ref="EY30" si="123">CW9</f>
        <v>0</v>
      </c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0</v>
      </c>
      <c r="BD31" s="9">
        <f t="shared" ref="BD31:DO31" si="124">IF(BD30=0,0,LOG(BD30/$BB$31,10))</f>
        <v>0</v>
      </c>
      <c r="BE31" s="9">
        <f t="shared" si="124"/>
        <v>0</v>
      </c>
      <c r="BF31" s="9">
        <f t="shared" si="124"/>
        <v>0</v>
      </c>
      <c r="BG31" s="9">
        <f t="shared" si="124"/>
        <v>0</v>
      </c>
      <c r="BH31" s="9">
        <f t="shared" si="124"/>
        <v>0</v>
      </c>
      <c r="BI31" s="9">
        <f t="shared" si="124"/>
        <v>0</v>
      </c>
      <c r="BJ31" s="9">
        <f t="shared" si="124"/>
        <v>0</v>
      </c>
      <c r="BK31" s="9">
        <f t="shared" si="124"/>
        <v>0</v>
      </c>
      <c r="BL31" s="9">
        <f t="shared" si="124"/>
        <v>0</v>
      </c>
      <c r="BM31" s="9">
        <f t="shared" si="124"/>
        <v>0</v>
      </c>
      <c r="BN31" s="9">
        <f t="shared" si="124"/>
        <v>0</v>
      </c>
      <c r="BO31" s="9">
        <f t="shared" si="124"/>
        <v>0</v>
      </c>
      <c r="BP31" s="9">
        <f t="shared" si="124"/>
        <v>0</v>
      </c>
      <c r="BQ31" s="9">
        <f t="shared" si="124"/>
        <v>0</v>
      </c>
      <c r="BR31" s="9">
        <f t="shared" si="124"/>
        <v>0</v>
      </c>
      <c r="BS31" s="9">
        <f t="shared" si="124"/>
        <v>0</v>
      </c>
      <c r="BT31" s="9">
        <f t="shared" si="124"/>
        <v>0</v>
      </c>
      <c r="BU31" s="9">
        <f t="shared" si="124"/>
        <v>0</v>
      </c>
      <c r="BV31" s="9">
        <f t="shared" si="124"/>
        <v>0</v>
      </c>
      <c r="BW31" s="9">
        <f t="shared" si="124"/>
        <v>0</v>
      </c>
      <c r="BX31" s="9">
        <f t="shared" si="124"/>
        <v>0</v>
      </c>
      <c r="BY31" s="9">
        <f t="shared" si="124"/>
        <v>0</v>
      </c>
      <c r="BZ31" s="9">
        <f t="shared" si="124"/>
        <v>0</v>
      </c>
      <c r="CA31" s="9">
        <f t="shared" si="124"/>
        <v>0</v>
      </c>
      <c r="CB31" s="9">
        <f t="shared" si="124"/>
        <v>0</v>
      </c>
      <c r="CC31" s="9">
        <f t="shared" si="124"/>
        <v>0</v>
      </c>
      <c r="CD31" s="9">
        <f t="shared" si="124"/>
        <v>0</v>
      </c>
      <c r="CE31" s="9">
        <f t="shared" si="124"/>
        <v>0</v>
      </c>
      <c r="CF31" s="9">
        <f t="shared" si="124"/>
        <v>0</v>
      </c>
      <c r="CG31" s="9">
        <f t="shared" si="124"/>
        <v>0</v>
      </c>
      <c r="CH31" s="9">
        <f t="shared" si="124"/>
        <v>0</v>
      </c>
      <c r="CI31" s="9">
        <f t="shared" si="124"/>
        <v>0</v>
      </c>
      <c r="CJ31" s="9">
        <f t="shared" si="124"/>
        <v>0</v>
      </c>
      <c r="CK31" s="9">
        <f t="shared" si="124"/>
        <v>0</v>
      </c>
      <c r="CL31" s="9">
        <f t="shared" si="124"/>
        <v>0</v>
      </c>
      <c r="CM31" s="9">
        <f t="shared" si="124"/>
        <v>0</v>
      </c>
      <c r="CN31" s="9">
        <f t="shared" si="124"/>
        <v>0</v>
      </c>
      <c r="CO31" s="9">
        <f t="shared" si="124"/>
        <v>0</v>
      </c>
      <c r="CP31" s="9">
        <f t="shared" si="124"/>
        <v>0</v>
      </c>
      <c r="CQ31" s="9">
        <f t="shared" si="124"/>
        <v>0</v>
      </c>
      <c r="CR31" s="9">
        <f t="shared" si="124"/>
        <v>0</v>
      </c>
      <c r="CS31" s="9">
        <f t="shared" si="124"/>
        <v>0</v>
      </c>
      <c r="CT31" s="9">
        <f t="shared" si="124"/>
        <v>0</v>
      </c>
      <c r="CU31" s="9">
        <f t="shared" si="124"/>
        <v>0</v>
      </c>
      <c r="CV31" s="9">
        <f t="shared" si="124"/>
        <v>0</v>
      </c>
      <c r="CW31" s="9">
        <f t="shared" si="124"/>
        <v>0</v>
      </c>
      <c r="CX31" s="9">
        <f t="shared" si="124"/>
        <v>0</v>
      </c>
      <c r="CY31" s="9">
        <f t="shared" si="124"/>
        <v>0</v>
      </c>
      <c r="CZ31" s="9">
        <f t="shared" si="124"/>
        <v>0</v>
      </c>
      <c r="DA31" s="9">
        <f t="shared" si="124"/>
        <v>0</v>
      </c>
      <c r="DB31" s="9">
        <f t="shared" si="124"/>
        <v>0</v>
      </c>
      <c r="DC31" s="9">
        <f t="shared" si="124"/>
        <v>0</v>
      </c>
      <c r="DD31" s="9">
        <f t="shared" si="124"/>
        <v>0</v>
      </c>
      <c r="DE31" s="9">
        <f t="shared" si="124"/>
        <v>0</v>
      </c>
      <c r="DF31" s="9">
        <f t="shared" si="124"/>
        <v>0</v>
      </c>
      <c r="DG31" s="9">
        <f t="shared" si="124"/>
        <v>0</v>
      </c>
      <c r="DH31" s="9">
        <f t="shared" si="124"/>
        <v>0</v>
      </c>
      <c r="DI31" s="9">
        <f t="shared" si="124"/>
        <v>0</v>
      </c>
      <c r="DJ31" s="9">
        <f t="shared" si="124"/>
        <v>0</v>
      </c>
      <c r="DK31" s="9">
        <f t="shared" si="124"/>
        <v>0</v>
      </c>
      <c r="DL31" s="9">
        <f t="shared" si="124"/>
        <v>0</v>
      </c>
      <c r="DM31" s="9">
        <f t="shared" si="124"/>
        <v>0</v>
      </c>
      <c r="DN31" s="9">
        <f t="shared" si="124"/>
        <v>0</v>
      </c>
      <c r="DO31" s="9">
        <f t="shared" si="124"/>
        <v>0</v>
      </c>
      <c r="DP31" s="9">
        <f t="shared" ref="DP31:EY31" si="125">IF(DP30=0,0,LOG(DP30/$BB$31,10))</f>
        <v>0</v>
      </c>
      <c r="DQ31" s="9">
        <f t="shared" si="125"/>
        <v>0</v>
      </c>
      <c r="DR31" s="9">
        <f t="shared" si="125"/>
        <v>0</v>
      </c>
      <c r="DS31" s="9">
        <f t="shared" si="125"/>
        <v>0</v>
      </c>
      <c r="DT31" s="9">
        <f t="shared" si="125"/>
        <v>0</v>
      </c>
      <c r="DU31" s="9">
        <f t="shared" si="125"/>
        <v>0</v>
      </c>
      <c r="DV31" s="9">
        <f t="shared" si="125"/>
        <v>0</v>
      </c>
      <c r="DW31" s="9">
        <f t="shared" si="125"/>
        <v>0</v>
      </c>
      <c r="DX31" s="9">
        <f t="shared" si="125"/>
        <v>0</v>
      </c>
      <c r="DY31" s="9">
        <f t="shared" si="125"/>
        <v>0</v>
      </c>
      <c r="DZ31" s="9">
        <f t="shared" si="125"/>
        <v>0</v>
      </c>
      <c r="EA31" s="9">
        <f t="shared" si="125"/>
        <v>0</v>
      </c>
      <c r="EB31" s="9">
        <f t="shared" si="125"/>
        <v>0</v>
      </c>
      <c r="EC31" s="9">
        <f t="shared" si="125"/>
        <v>0</v>
      </c>
      <c r="ED31" s="9">
        <f t="shared" si="125"/>
        <v>0</v>
      </c>
      <c r="EE31" s="9">
        <f t="shared" si="125"/>
        <v>0</v>
      </c>
      <c r="EF31" s="9">
        <f t="shared" si="125"/>
        <v>0</v>
      </c>
      <c r="EG31" s="9">
        <f t="shared" si="125"/>
        <v>0</v>
      </c>
      <c r="EH31" s="9">
        <f t="shared" si="125"/>
        <v>0</v>
      </c>
      <c r="EI31" s="9">
        <f t="shared" si="125"/>
        <v>0</v>
      </c>
      <c r="EJ31" s="9">
        <f t="shared" si="125"/>
        <v>0</v>
      </c>
      <c r="EK31" s="9">
        <f t="shared" si="125"/>
        <v>0</v>
      </c>
      <c r="EL31" s="9">
        <f t="shared" si="125"/>
        <v>0</v>
      </c>
      <c r="EM31" s="9">
        <f t="shared" si="125"/>
        <v>0</v>
      </c>
      <c r="EN31" s="9">
        <f t="shared" si="125"/>
        <v>0</v>
      </c>
      <c r="EO31" s="9">
        <f t="shared" si="125"/>
        <v>0</v>
      </c>
      <c r="EP31" s="9">
        <f t="shared" si="125"/>
        <v>0</v>
      </c>
      <c r="EQ31" s="9">
        <f t="shared" si="125"/>
        <v>0</v>
      </c>
      <c r="ER31" s="9">
        <f t="shared" si="125"/>
        <v>0</v>
      </c>
      <c r="ES31" s="9">
        <f t="shared" si="125"/>
        <v>0</v>
      </c>
      <c r="ET31" s="9">
        <f t="shared" si="125"/>
        <v>0</v>
      </c>
      <c r="EU31" s="9">
        <f t="shared" si="125"/>
        <v>0</v>
      </c>
      <c r="EV31" s="9">
        <f t="shared" si="125"/>
        <v>0</v>
      </c>
      <c r="EW31" s="9">
        <f t="shared" si="125"/>
        <v>0</v>
      </c>
      <c r="EX31" s="9">
        <f t="shared" si="125"/>
        <v>0</v>
      </c>
      <c r="EY31" s="9">
        <f t="shared" si="125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>
        <f>IF(DIAG!H240,$GL$55,-1)</f>
        <v>-1</v>
      </c>
      <c r="AQ32" s="60">
        <f>AP32+(AY32-AP32)/9</f>
        <v>-1</v>
      </c>
      <c r="AR32" s="60">
        <f>AQ32+(AY32-AQ32)/8</f>
        <v>-1</v>
      </c>
      <c r="AS32" s="60">
        <f>AR32+(AY32-AR32)/7</f>
        <v>-1</v>
      </c>
      <c r="AT32" s="60">
        <f>AS32+(AY32-AS32)/6</f>
        <v>-1</v>
      </c>
      <c r="AU32" s="60">
        <f>AT32+(AY32-AT32)/5</f>
        <v>-1</v>
      </c>
      <c r="AV32" s="60">
        <f>AU32+(AY32-AU32)/4</f>
        <v>-1</v>
      </c>
      <c r="AW32" s="60">
        <f>AV32+(AY32-AV32)/3</f>
        <v>-1</v>
      </c>
      <c r="AX32" s="60">
        <f>AW32+(AY32-AW32)/2</f>
        <v>-1</v>
      </c>
      <c r="AY32" s="61">
        <f>IF(DIAG!H240,$C$26,-1)</f>
        <v>-1</v>
      </c>
      <c r="BB32" s="17"/>
    </row>
    <row r="33" spans="1:248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IF(DIAG!H240,$C$27,-1)</f>
        <v>-1</v>
      </c>
      <c r="BA33" s="9" t="s">
        <v>85</v>
      </c>
      <c r="BB33" s="14">
        <f ca="1">IF(OR(BB29=0,BB30=BB31),1,LOG(BB30/BB31,10))</f>
        <v>1</v>
      </c>
      <c r="BD33" s="14">
        <f t="shared" ref="BD33:DO33" ca="1" si="126">BD31/$BB$33</f>
        <v>0</v>
      </c>
      <c r="BE33" s="9">
        <f t="shared" ca="1" si="126"/>
        <v>0</v>
      </c>
      <c r="BF33" s="14">
        <f t="shared" ca="1" si="126"/>
        <v>0</v>
      </c>
      <c r="BG33" s="9">
        <f t="shared" ca="1" si="126"/>
        <v>0</v>
      </c>
      <c r="BH33" s="9">
        <f t="shared" ca="1" si="126"/>
        <v>0</v>
      </c>
      <c r="BI33" s="9">
        <f t="shared" ca="1" si="126"/>
        <v>0</v>
      </c>
      <c r="BJ33" s="9">
        <f t="shared" ca="1" si="126"/>
        <v>0</v>
      </c>
      <c r="BK33" s="9">
        <f t="shared" ca="1" si="126"/>
        <v>0</v>
      </c>
      <c r="BL33" s="9">
        <f t="shared" ca="1" si="126"/>
        <v>0</v>
      </c>
      <c r="BM33" s="9">
        <f t="shared" ca="1" si="126"/>
        <v>0</v>
      </c>
      <c r="BN33" s="14">
        <f t="shared" ca="1" si="126"/>
        <v>0</v>
      </c>
      <c r="BO33" s="9">
        <f t="shared" ca="1" si="126"/>
        <v>0</v>
      </c>
      <c r="BP33" s="14">
        <f t="shared" ca="1" si="126"/>
        <v>0</v>
      </c>
      <c r="BQ33" s="9">
        <f t="shared" ca="1" si="126"/>
        <v>0</v>
      </c>
      <c r="BR33" s="9">
        <f t="shared" ca="1" si="126"/>
        <v>0</v>
      </c>
      <c r="BS33" s="9">
        <f t="shared" ca="1" si="126"/>
        <v>0</v>
      </c>
      <c r="BT33" s="9">
        <f t="shared" ca="1" si="126"/>
        <v>0</v>
      </c>
      <c r="BU33" s="9">
        <f t="shared" ca="1" si="126"/>
        <v>0</v>
      </c>
      <c r="BV33" s="9">
        <f t="shared" ca="1" si="126"/>
        <v>0</v>
      </c>
      <c r="BW33" s="9">
        <f t="shared" ca="1" si="126"/>
        <v>0</v>
      </c>
      <c r="BX33" s="14">
        <f t="shared" ca="1" si="126"/>
        <v>0</v>
      </c>
      <c r="BY33" s="9">
        <f t="shared" ca="1" si="126"/>
        <v>0</v>
      </c>
      <c r="BZ33" s="14">
        <f t="shared" ca="1" si="126"/>
        <v>0</v>
      </c>
      <c r="CA33" s="9">
        <f t="shared" ca="1" si="126"/>
        <v>0</v>
      </c>
      <c r="CB33" s="9">
        <f t="shared" ca="1" si="126"/>
        <v>0</v>
      </c>
      <c r="CC33" s="9">
        <f t="shared" ca="1" si="126"/>
        <v>0</v>
      </c>
      <c r="CD33" s="9">
        <f t="shared" ca="1" si="126"/>
        <v>0</v>
      </c>
      <c r="CE33" s="9">
        <f t="shared" ca="1" si="126"/>
        <v>0</v>
      </c>
      <c r="CF33" s="9">
        <f t="shared" ca="1" si="126"/>
        <v>0</v>
      </c>
      <c r="CG33" s="9">
        <f t="shared" ca="1" si="126"/>
        <v>0</v>
      </c>
      <c r="CH33" s="14">
        <f t="shared" ca="1" si="126"/>
        <v>0</v>
      </c>
      <c r="CI33" s="9">
        <f t="shared" ca="1" si="126"/>
        <v>0</v>
      </c>
      <c r="CJ33" s="14">
        <f t="shared" ca="1" si="126"/>
        <v>0</v>
      </c>
      <c r="CK33" s="9">
        <f t="shared" ca="1" si="126"/>
        <v>0</v>
      </c>
      <c r="CL33" s="9">
        <f t="shared" ca="1" si="126"/>
        <v>0</v>
      </c>
      <c r="CM33" s="9">
        <f t="shared" ca="1" si="126"/>
        <v>0</v>
      </c>
      <c r="CN33" s="9">
        <f t="shared" ca="1" si="126"/>
        <v>0</v>
      </c>
      <c r="CO33" s="9">
        <f t="shared" ca="1" si="126"/>
        <v>0</v>
      </c>
      <c r="CP33" s="9">
        <f t="shared" ca="1" si="126"/>
        <v>0</v>
      </c>
      <c r="CQ33" s="9">
        <f t="shared" ca="1" si="126"/>
        <v>0</v>
      </c>
      <c r="CR33" s="14">
        <f t="shared" ca="1" si="126"/>
        <v>0</v>
      </c>
      <c r="CS33" s="9">
        <f t="shared" ca="1" si="126"/>
        <v>0</v>
      </c>
      <c r="CT33" s="14">
        <f t="shared" ca="1" si="126"/>
        <v>0</v>
      </c>
      <c r="CU33" s="9">
        <f t="shared" ca="1" si="126"/>
        <v>0</v>
      </c>
      <c r="CV33" s="9">
        <f t="shared" ca="1" si="126"/>
        <v>0</v>
      </c>
      <c r="CW33" s="9">
        <f t="shared" ca="1" si="126"/>
        <v>0</v>
      </c>
      <c r="CX33" s="9">
        <f t="shared" ca="1" si="126"/>
        <v>0</v>
      </c>
      <c r="CY33" s="9">
        <f t="shared" ca="1" si="126"/>
        <v>0</v>
      </c>
      <c r="CZ33" s="9">
        <f t="shared" ca="1" si="126"/>
        <v>0</v>
      </c>
      <c r="DA33" s="9">
        <f t="shared" ca="1" si="126"/>
        <v>0</v>
      </c>
      <c r="DB33" s="14">
        <f t="shared" ca="1" si="126"/>
        <v>0</v>
      </c>
      <c r="DC33" s="9">
        <f t="shared" ca="1" si="126"/>
        <v>0</v>
      </c>
      <c r="DD33" s="14">
        <f t="shared" ca="1" si="126"/>
        <v>0</v>
      </c>
      <c r="DE33" s="9">
        <f t="shared" ca="1" si="126"/>
        <v>0</v>
      </c>
      <c r="DF33" s="9">
        <f t="shared" ca="1" si="126"/>
        <v>0</v>
      </c>
      <c r="DG33" s="9">
        <f t="shared" ca="1" si="126"/>
        <v>0</v>
      </c>
      <c r="DH33" s="9">
        <f t="shared" ca="1" si="126"/>
        <v>0</v>
      </c>
      <c r="DI33" s="9">
        <f t="shared" ca="1" si="126"/>
        <v>0</v>
      </c>
      <c r="DJ33" s="9">
        <f t="shared" ca="1" si="126"/>
        <v>0</v>
      </c>
      <c r="DK33" s="9">
        <f t="shared" ca="1" si="126"/>
        <v>0</v>
      </c>
      <c r="DL33" s="14">
        <f t="shared" ca="1" si="126"/>
        <v>0</v>
      </c>
      <c r="DM33" s="9">
        <f t="shared" ca="1" si="126"/>
        <v>0</v>
      </c>
      <c r="DN33" s="14">
        <f t="shared" ca="1" si="126"/>
        <v>0</v>
      </c>
      <c r="DO33" s="9">
        <f t="shared" ca="1" si="126"/>
        <v>0</v>
      </c>
      <c r="DP33" s="9">
        <f t="shared" ref="DP33:EY33" ca="1" si="127">DP31/$BB$33</f>
        <v>0</v>
      </c>
      <c r="DQ33" s="9">
        <f t="shared" ca="1" si="127"/>
        <v>0</v>
      </c>
      <c r="DR33" s="9">
        <f t="shared" ca="1" si="127"/>
        <v>0</v>
      </c>
      <c r="DS33" s="9">
        <f t="shared" ca="1" si="127"/>
        <v>0</v>
      </c>
      <c r="DT33" s="9">
        <f t="shared" ca="1" si="127"/>
        <v>0</v>
      </c>
      <c r="DU33" s="9">
        <f t="shared" ca="1" si="127"/>
        <v>0</v>
      </c>
      <c r="DV33" s="14">
        <f t="shared" ca="1" si="127"/>
        <v>0</v>
      </c>
      <c r="DW33" s="9">
        <f t="shared" ca="1" si="127"/>
        <v>0</v>
      </c>
      <c r="DX33" s="14">
        <f t="shared" ca="1" si="127"/>
        <v>0</v>
      </c>
      <c r="DY33" s="9">
        <f t="shared" ca="1" si="127"/>
        <v>0</v>
      </c>
      <c r="DZ33" s="9">
        <f t="shared" ca="1" si="127"/>
        <v>0</v>
      </c>
      <c r="EA33" s="9">
        <f t="shared" ca="1" si="127"/>
        <v>0</v>
      </c>
      <c r="EB33" s="9">
        <f t="shared" ca="1" si="127"/>
        <v>0</v>
      </c>
      <c r="EC33" s="9">
        <f t="shared" ca="1" si="127"/>
        <v>0</v>
      </c>
      <c r="ED33" s="9">
        <f t="shared" ca="1" si="127"/>
        <v>0</v>
      </c>
      <c r="EE33" s="9">
        <f t="shared" ca="1" si="127"/>
        <v>0</v>
      </c>
      <c r="EF33" s="14">
        <f t="shared" ca="1" si="127"/>
        <v>0</v>
      </c>
      <c r="EG33" s="9">
        <f t="shared" ca="1" si="127"/>
        <v>0</v>
      </c>
      <c r="EH33" s="14">
        <f t="shared" ca="1" si="127"/>
        <v>0</v>
      </c>
      <c r="EI33" s="9">
        <f t="shared" ca="1" si="127"/>
        <v>0</v>
      </c>
      <c r="EJ33" s="9">
        <f t="shared" ca="1" si="127"/>
        <v>0</v>
      </c>
      <c r="EK33" s="9">
        <f t="shared" ca="1" si="127"/>
        <v>0</v>
      </c>
      <c r="EL33" s="9">
        <f t="shared" ca="1" si="127"/>
        <v>0</v>
      </c>
      <c r="EM33" s="9">
        <f t="shared" ca="1" si="127"/>
        <v>0</v>
      </c>
      <c r="EN33" s="9">
        <f t="shared" ca="1" si="127"/>
        <v>0</v>
      </c>
      <c r="EO33" s="9">
        <f t="shared" ca="1" si="127"/>
        <v>0</v>
      </c>
      <c r="EP33" s="14">
        <f t="shared" ca="1" si="127"/>
        <v>0</v>
      </c>
      <c r="EQ33" s="9">
        <f t="shared" ca="1" si="127"/>
        <v>0</v>
      </c>
      <c r="ER33" s="14">
        <f t="shared" ca="1" si="127"/>
        <v>0</v>
      </c>
      <c r="ES33" s="9">
        <f t="shared" ca="1" si="127"/>
        <v>0</v>
      </c>
      <c r="ET33" s="9">
        <f t="shared" ca="1" si="127"/>
        <v>0</v>
      </c>
      <c r="EU33" s="9">
        <f t="shared" ca="1" si="127"/>
        <v>0</v>
      </c>
      <c r="EV33" s="9">
        <f t="shared" ca="1" si="127"/>
        <v>0</v>
      </c>
      <c r="EW33" s="9">
        <f t="shared" ca="1" si="127"/>
        <v>0</v>
      </c>
      <c r="EX33" s="9">
        <f t="shared" ca="1" si="127"/>
        <v>0</v>
      </c>
      <c r="EY33" s="9">
        <f t="shared" ca="1" si="127"/>
        <v>0</v>
      </c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/>
      <c r="GL34" s="13"/>
    </row>
    <row r="35" spans="1:248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128">-1/SQRT(3)+P34*(1/SQRT(3)/10)</f>
        <v>-0.51961524227066325</v>
      </c>
      <c r="Q35" s="94">
        <f t="shared" si="128"/>
        <v>-0.46188021535170065</v>
      </c>
      <c r="R35" s="94">
        <f t="shared" si="128"/>
        <v>-0.40414518843273811</v>
      </c>
      <c r="S35" s="94">
        <f t="shared" si="128"/>
        <v>-0.34641016151377552</v>
      </c>
      <c r="T35" s="94">
        <f t="shared" si="128"/>
        <v>-0.28867513459481292</v>
      </c>
      <c r="U35" s="94">
        <f t="shared" si="128"/>
        <v>-0.23094010767585038</v>
      </c>
      <c r="V35" s="94">
        <f t="shared" si="128"/>
        <v>-0.17320508075688779</v>
      </c>
      <c r="W35" s="94">
        <f t="shared" si="128"/>
        <v>-0.11547005383792519</v>
      </c>
      <c r="X35" s="94">
        <f t="shared" si="128"/>
        <v>-5.7735026918962595E-2</v>
      </c>
      <c r="Y35" s="33">
        <f>-1/SQRT(3)+Y34*(1/SQRT(3)/10)</f>
        <v>0</v>
      </c>
      <c r="Z35" s="94">
        <f t="shared" ref="Z35:AH35" si="129">1/SQRT(3)-Z34*1/SQRT(3)/10</f>
        <v>5.7735026918962595E-2</v>
      </c>
      <c r="AA35" s="94">
        <f t="shared" si="129"/>
        <v>0.11547005383792519</v>
      </c>
      <c r="AB35" s="94">
        <f t="shared" si="129"/>
        <v>0.17320508075688779</v>
      </c>
      <c r="AC35" s="94">
        <f t="shared" si="129"/>
        <v>0.23094010767585038</v>
      </c>
      <c r="AD35" s="94">
        <f t="shared" si="129"/>
        <v>0.28867513459481292</v>
      </c>
      <c r="AE35" s="94">
        <f t="shared" si="129"/>
        <v>0.34641016151377552</v>
      </c>
      <c r="AF35" s="94">
        <f t="shared" si="129"/>
        <v>0.40414518843273811</v>
      </c>
      <c r="AG35" s="94">
        <f t="shared" si="129"/>
        <v>0.46188021535170065</v>
      </c>
      <c r="AH35" s="94">
        <f t="shared" si="129"/>
        <v>0.51961524227066325</v>
      </c>
      <c r="AI35" s="95">
        <f>1/SQRT(3)</f>
        <v>0.57735026918962584</v>
      </c>
      <c r="AN35" s="9" t="s">
        <v>41</v>
      </c>
      <c r="AO35" s="33"/>
      <c r="AP35" s="59">
        <f>IF(DIAG!H241,$GL$55,-1)</f>
        <v>-1</v>
      </c>
      <c r="AQ35" s="60">
        <f>AP35+(AY35-AP35)/9</f>
        <v>-1</v>
      </c>
      <c r="AR35" s="60">
        <f>AQ35+(AY35-AQ35)/8</f>
        <v>-1</v>
      </c>
      <c r="AS35" s="60">
        <f>AR35+(AY35-AR35)/7</f>
        <v>-1</v>
      </c>
      <c r="AT35" s="60">
        <f>AS35+(AY35-AS35)/6</f>
        <v>-1</v>
      </c>
      <c r="AU35" s="60">
        <f>AT35+(AY35-AT35)/5</f>
        <v>-1</v>
      </c>
      <c r="AV35" s="60">
        <f>AU35+(AY35-AU35)/4</f>
        <v>-1</v>
      </c>
      <c r="AW35" s="60">
        <f>AV35+(AY35-AV35)/3</f>
        <v>-1</v>
      </c>
      <c r="AX35" s="60">
        <f>AW35+(AY35-AW35)/2</f>
        <v>-1</v>
      </c>
      <c r="AY35" s="61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130">ROUND(10*BE33,0)</f>
        <v>0</v>
      </c>
      <c r="BF35" s="9">
        <f ca="1">ROUND(10*BF33,0)</f>
        <v>0</v>
      </c>
      <c r="BG35" s="9">
        <f t="shared" ref="BG35" ca="1" si="131">ROUND(10*BG33,0)</f>
        <v>0</v>
      </c>
      <c r="BH35" s="9">
        <f t="shared" ca="1" si="130"/>
        <v>0</v>
      </c>
      <c r="BI35" s="9">
        <f t="shared" ca="1" si="130"/>
        <v>0</v>
      </c>
      <c r="BJ35" s="9">
        <f t="shared" ca="1" si="130"/>
        <v>0</v>
      </c>
      <c r="BK35" s="9">
        <f t="shared" ca="1" si="130"/>
        <v>0</v>
      </c>
      <c r="BL35" s="9">
        <f t="shared" ca="1" si="130"/>
        <v>0</v>
      </c>
      <c r="BM35" s="9">
        <f t="shared" ca="1" si="130"/>
        <v>0</v>
      </c>
      <c r="BN35" s="9">
        <f t="shared" ca="1" si="130"/>
        <v>0</v>
      </c>
      <c r="BO35" s="9">
        <f t="shared" ca="1" si="130"/>
        <v>0</v>
      </c>
      <c r="BP35" s="9">
        <f t="shared" ca="1" si="130"/>
        <v>0</v>
      </c>
      <c r="BQ35" s="9">
        <f t="shared" ca="1" si="130"/>
        <v>0</v>
      </c>
      <c r="BR35" s="9">
        <f t="shared" ca="1" si="130"/>
        <v>0</v>
      </c>
      <c r="BS35" s="9">
        <f t="shared" ca="1" si="130"/>
        <v>0</v>
      </c>
      <c r="BT35" s="9">
        <f t="shared" ca="1" si="130"/>
        <v>0</v>
      </c>
      <c r="BU35" s="9">
        <f t="shared" ca="1" si="130"/>
        <v>0</v>
      </c>
      <c r="BV35" s="9">
        <f t="shared" ca="1" si="130"/>
        <v>0</v>
      </c>
      <c r="BW35" s="9">
        <f t="shared" ca="1" si="130"/>
        <v>0</v>
      </c>
      <c r="BX35" s="9">
        <f t="shared" ca="1" si="130"/>
        <v>0</v>
      </c>
      <c r="BY35" s="9">
        <f t="shared" ca="1" si="130"/>
        <v>0</v>
      </c>
      <c r="BZ35" s="9">
        <f t="shared" ca="1" si="130"/>
        <v>0</v>
      </c>
      <c r="CA35" s="9">
        <f t="shared" ca="1" si="130"/>
        <v>0</v>
      </c>
      <c r="CB35" s="9">
        <f t="shared" ca="1" si="130"/>
        <v>0</v>
      </c>
      <c r="CC35" s="9">
        <f t="shared" ca="1" si="130"/>
        <v>0</v>
      </c>
      <c r="CD35" s="9">
        <f t="shared" ca="1" si="130"/>
        <v>0</v>
      </c>
      <c r="CE35" s="9">
        <f t="shared" ca="1" si="130"/>
        <v>0</v>
      </c>
      <c r="CF35" s="9">
        <f t="shared" ca="1" si="130"/>
        <v>0</v>
      </c>
      <c r="CG35" s="9">
        <f t="shared" ca="1" si="130"/>
        <v>0</v>
      </c>
      <c r="CH35" s="9">
        <f t="shared" ca="1" si="130"/>
        <v>0</v>
      </c>
      <c r="CI35" s="9">
        <f t="shared" ca="1" si="130"/>
        <v>0</v>
      </c>
      <c r="CJ35" s="9">
        <f t="shared" ca="1" si="130"/>
        <v>0</v>
      </c>
      <c r="CK35" s="9">
        <f t="shared" ca="1" si="130"/>
        <v>0</v>
      </c>
      <c r="CL35" s="9">
        <f t="shared" ca="1" si="130"/>
        <v>0</v>
      </c>
      <c r="CM35" s="9">
        <f t="shared" ca="1" si="130"/>
        <v>0</v>
      </c>
      <c r="CN35" s="9">
        <f t="shared" ca="1" si="130"/>
        <v>0</v>
      </c>
      <c r="CO35" s="9">
        <f t="shared" ca="1" si="130"/>
        <v>0</v>
      </c>
      <c r="CP35" s="9">
        <f t="shared" ca="1" si="130"/>
        <v>0</v>
      </c>
      <c r="CQ35" s="9">
        <f t="shared" ca="1" si="130"/>
        <v>0</v>
      </c>
      <c r="CR35" s="9">
        <f t="shared" ca="1" si="130"/>
        <v>0</v>
      </c>
      <c r="CS35" s="9">
        <f t="shared" ca="1" si="130"/>
        <v>0</v>
      </c>
      <c r="CT35" s="9">
        <f t="shared" ca="1" si="130"/>
        <v>0</v>
      </c>
      <c r="CU35" s="9">
        <f t="shared" ca="1" si="130"/>
        <v>0</v>
      </c>
      <c r="CV35" s="9">
        <f t="shared" ca="1" si="130"/>
        <v>0</v>
      </c>
      <c r="CW35" s="9">
        <f t="shared" ca="1" si="130"/>
        <v>0</v>
      </c>
      <c r="CX35" s="9">
        <f t="shared" ca="1" si="130"/>
        <v>0</v>
      </c>
      <c r="CY35" s="9">
        <f t="shared" ca="1" si="130"/>
        <v>0</v>
      </c>
      <c r="CZ35" s="9">
        <f t="shared" ca="1" si="130"/>
        <v>0</v>
      </c>
      <c r="DA35" s="9">
        <f t="shared" ca="1" si="130"/>
        <v>0</v>
      </c>
      <c r="DB35" s="9">
        <f t="shared" ca="1" si="130"/>
        <v>0</v>
      </c>
      <c r="DC35" s="9">
        <f t="shared" ca="1" si="130"/>
        <v>0</v>
      </c>
      <c r="DD35" s="9">
        <f t="shared" ca="1" si="130"/>
        <v>0</v>
      </c>
      <c r="DE35" s="9">
        <f t="shared" ca="1" si="130"/>
        <v>0</v>
      </c>
      <c r="DF35" s="9">
        <f t="shared" ca="1" si="130"/>
        <v>0</v>
      </c>
      <c r="DG35" s="9">
        <f t="shared" ca="1" si="130"/>
        <v>0</v>
      </c>
      <c r="DH35" s="9">
        <f t="shared" ca="1" si="130"/>
        <v>0</v>
      </c>
      <c r="DI35" s="9">
        <f t="shared" ca="1" si="130"/>
        <v>0</v>
      </c>
      <c r="DJ35" s="9">
        <f t="shared" ca="1" si="130"/>
        <v>0</v>
      </c>
      <c r="DK35" s="9">
        <f t="shared" ca="1" si="130"/>
        <v>0</v>
      </c>
      <c r="DL35" s="9">
        <f t="shared" ca="1" si="130"/>
        <v>0</v>
      </c>
      <c r="DM35" s="9">
        <f t="shared" ca="1" si="130"/>
        <v>0</v>
      </c>
      <c r="DN35" s="9">
        <f t="shared" ca="1" si="130"/>
        <v>0</v>
      </c>
      <c r="DO35" s="9">
        <f t="shared" ca="1" si="130"/>
        <v>0</v>
      </c>
      <c r="DP35" s="9">
        <f t="shared" ca="1" si="130"/>
        <v>0</v>
      </c>
      <c r="DQ35" s="9">
        <f t="shared" ref="DQ35:EY35" ca="1" si="132">ROUND(10*DQ33,0)</f>
        <v>0</v>
      </c>
      <c r="DR35" s="9">
        <f t="shared" ca="1" si="132"/>
        <v>0</v>
      </c>
      <c r="DS35" s="9">
        <f t="shared" ca="1" si="132"/>
        <v>0</v>
      </c>
      <c r="DT35" s="9">
        <f t="shared" ca="1" si="132"/>
        <v>0</v>
      </c>
      <c r="DU35" s="9">
        <f t="shared" ca="1" si="132"/>
        <v>0</v>
      </c>
      <c r="DV35" s="9">
        <f t="shared" ca="1" si="132"/>
        <v>0</v>
      </c>
      <c r="DW35" s="9">
        <f t="shared" ca="1" si="132"/>
        <v>0</v>
      </c>
      <c r="DX35" s="9">
        <f t="shared" ca="1" si="132"/>
        <v>0</v>
      </c>
      <c r="DY35" s="9">
        <f t="shared" ca="1" si="132"/>
        <v>0</v>
      </c>
      <c r="DZ35" s="9">
        <f t="shared" ca="1" si="132"/>
        <v>0</v>
      </c>
      <c r="EA35" s="9">
        <f t="shared" ca="1" si="132"/>
        <v>0</v>
      </c>
      <c r="EB35" s="9">
        <f t="shared" ca="1" si="132"/>
        <v>0</v>
      </c>
      <c r="EC35" s="9">
        <f t="shared" ca="1" si="132"/>
        <v>0</v>
      </c>
      <c r="ED35" s="9">
        <f t="shared" ca="1" si="132"/>
        <v>0</v>
      </c>
      <c r="EE35" s="9">
        <f t="shared" ca="1" si="132"/>
        <v>0</v>
      </c>
      <c r="EF35" s="9">
        <f t="shared" ca="1" si="132"/>
        <v>0</v>
      </c>
      <c r="EG35" s="9">
        <f t="shared" ca="1" si="132"/>
        <v>0</v>
      </c>
      <c r="EH35" s="9">
        <f t="shared" ca="1" si="132"/>
        <v>0</v>
      </c>
      <c r="EI35" s="9">
        <f t="shared" ca="1" si="132"/>
        <v>0</v>
      </c>
      <c r="EJ35" s="9">
        <f t="shared" ca="1" si="132"/>
        <v>0</v>
      </c>
      <c r="EK35" s="9">
        <f t="shared" ca="1" si="132"/>
        <v>0</v>
      </c>
      <c r="EL35" s="9">
        <f t="shared" ca="1" si="132"/>
        <v>0</v>
      </c>
      <c r="EM35" s="9">
        <f t="shared" ca="1" si="132"/>
        <v>0</v>
      </c>
      <c r="EN35" s="9">
        <f t="shared" ca="1" si="132"/>
        <v>0</v>
      </c>
      <c r="EO35" s="9">
        <f t="shared" ca="1" si="132"/>
        <v>0</v>
      </c>
      <c r="EP35" s="9">
        <f t="shared" ca="1" si="132"/>
        <v>0</v>
      </c>
      <c r="EQ35" s="9">
        <f t="shared" ca="1" si="132"/>
        <v>0</v>
      </c>
      <c r="ER35" s="9">
        <f t="shared" ca="1" si="132"/>
        <v>0</v>
      </c>
      <c r="ES35" s="9">
        <f t="shared" ca="1" si="132"/>
        <v>0</v>
      </c>
      <c r="ET35" s="9">
        <f t="shared" ca="1" si="132"/>
        <v>0</v>
      </c>
      <c r="EU35" s="9">
        <f t="shared" ca="1" si="132"/>
        <v>0</v>
      </c>
      <c r="EV35" s="9">
        <f t="shared" ca="1" si="132"/>
        <v>0</v>
      </c>
      <c r="EW35" s="9">
        <f t="shared" ca="1" si="132"/>
        <v>0</v>
      </c>
      <c r="EX35" s="9">
        <f t="shared" ca="1" si="132"/>
        <v>0</v>
      </c>
      <c r="EY35" s="9">
        <f t="shared" ca="1" si="132"/>
        <v>0</v>
      </c>
      <c r="GK35" s="15" t="s">
        <v>5</v>
      </c>
      <c r="GL35" s="16">
        <f>SUMPRODUCT(B6:GS6,DIAG!$B$440:$GS$440,DIAG!$B$442:$GS$442)</f>
        <v>0</v>
      </c>
    </row>
    <row r="36" spans="1:248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48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133">SQRT(3)*P35+1</f>
        <v>9.9999999999999978E-2</v>
      </c>
      <c r="Q37" s="6">
        <f t="shared" si="133"/>
        <v>0.19999999999999996</v>
      </c>
      <c r="R37" s="6">
        <f t="shared" si="133"/>
        <v>0.29999999999999993</v>
      </c>
      <c r="S37" s="6">
        <f t="shared" si="133"/>
        <v>0.39999999999999991</v>
      </c>
      <c r="T37" s="6">
        <f t="shared" si="133"/>
        <v>0.5</v>
      </c>
      <c r="U37" s="6">
        <f t="shared" si="133"/>
        <v>0.59999999999999987</v>
      </c>
      <c r="V37" s="6">
        <f t="shared" si="133"/>
        <v>0.7</v>
      </c>
      <c r="W37" s="6">
        <f t="shared" si="133"/>
        <v>0.79999999999999993</v>
      </c>
      <c r="X37" s="6">
        <f t="shared" si="133"/>
        <v>0.89999999999999991</v>
      </c>
      <c r="Y37" s="32">
        <f>SQRT(3)*Y35+1</f>
        <v>1</v>
      </c>
      <c r="Z37" s="6">
        <f t="shared" ref="Z37:AH37" si="134">1-SQRT(3)*Z35</f>
        <v>0.89999999999999991</v>
      </c>
      <c r="AA37" s="6">
        <f t="shared" si="134"/>
        <v>0.79999999999999993</v>
      </c>
      <c r="AB37" s="6">
        <f t="shared" si="134"/>
        <v>0.7</v>
      </c>
      <c r="AC37" s="6">
        <f t="shared" si="134"/>
        <v>0.59999999999999987</v>
      </c>
      <c r="AD37" s="6">
        <f t="shared" si="134"/>
        <v>0.5</v>
      </c>
      <c r="AE37" s="6">
        <f t="shared" si="134"/>
        <v>0.39999999999999991</v>
      </c>
      <c r="AF37" s="6">
        <f t="shared" si="134"/>
        <v>0.29999999999999993</v>
      </c>
      <c r="AG37" s="6">
        <f t="shared" si="134"/>
        <v>0.19999999999999996</v>
      </c>
      <c r="AH37" s="6">
        <f t="shared" si="134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48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>
        <f>IF(DIAG!H242,$GL$55,-1)</f>
        <v>-1</v>
      </c>
      <c r="AQ38" s="60">
        <f>AP38+(AY38-AP38)/9</f>
        <v>-1</v>
      </c>
      <c r="AR38" s="60">
        <f>AQ38+(AY38-AQ38)/8</f>
        <v>-1</v>
      </c>
      <c r="AS38" s="60">
        <f>AR38+(AY38-AR38)/7</f>
        <v>-1</v>
      </c>
      <c r="AT38" s="60">
        <f>AS38+(AY38-AS38)/6</f>
        <v>-1</v>
      </c>
      <c r="AU38" s="60">
        <f>AT38+(AY38-AT38)/5</f>
        <v>-1</v>
      </c>
      <c r="AV38" s="60">
        <f>AU38+(AY38-AU38)/4</f>
        <v>-1</v>
      </c>
      <c r="AW38" s="60">
        <f>AV38+(AY38-AV38)/3</f>
        <v>-1</v>
      </c>
      <c r="AX38" s="60">
        <f>AW38+(AY38-AW38)/2</f>
        <v>-1</v>
      </c>
      <c r="AY38" s="61">
        <f>IF(DIAG!H242,$E$26,-1)</f>
        <v>-1</v>
      </c>
      <c r="CW38" s="16"/>
      <c r="GK38" s="18" t="s">
        <v>15</v>
      </c>
      <c r="GL38" s="21">
        <f>SUM(GL35:GL37)</f>
        <v>0</v>
      </c>
    </row>
    <row r="39" spans="1:248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si="135">GL49/GL51</f>
        <v>#DIV/0!</v>
      </c>
    </row>
    <row r="40" spans="1:248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136">BF43*$BK$40+BF45*$BL$40+BF47*$BM$40</f>
        <v>-0.57999999999999996</v>
      </c>
      <c r="BG40" s="28">
        <f t="shared" si="136"/>
        <v>0.57999999999999996</v>
      </c>
      <c r="BH40" s="28">
        <f t="shared" si="136"/>
        <v>0.57999999999999996</v>
      </c>
      <c r="BI40" s="28">
        <f t="shared" si="136"/>
        <v>-0.57999999999999996</v>
      </c>
      <c r="BJ40" s="28">
        <f t="shared" si="136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>GL35/GL$38</f>
        <v>#DIV/0!</v>
      </c>
    </row>
    <row r="41" spans="1:248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>
        <f>IF(DIAG!H243,$GL$55,-1)</f>
        <v>-1</v>
      </c>
      <c r="AQ41" s="60">
        <f>AP41+(AY41-AP41)/9</f>
        <v>-1</v>
      </c>
      <c r="AR41" s="60">
        <f>AQ41+(AY41-AQ41)/8</f>
        <v>-1</v>
      </c>
      <c r="AS41" s="60">
        <f>AR41+(AY41-AR41)/7</f>
        <v>-1</v>
      </c>
      <c r="AT41" s="60">
        <f>AS41+(AY41-AS41)/6</f>
        <v>-1</v>
      </c>
      <c r="AU41" s="60">
        <f>AT41+(AY41-AT41)/5</f>
        <v>-1</v>
      </c>
      <c r="AV41" s="60">
        <f>AU41+(AY41-AU41)/4</f>
        <v>-1</v>
      </c>
      <c r="AW41" s="60">
        <f>AV41+(AY41-AV41)/3</f>
        <v>-1</v>
      </c>
      <c r="AX41" s="60">
        <f>AW41+(AY41-AW41)/2</f>
        <v>-1</v>
      </c>
      <c r="AY41" s="61">
        <f>IF(DIAG!H243,$F$26,-1)</f>
        <v>-1</v>
      </c>
      <c r="BE41" s="9" t="s">
        <v>53</v>
      </c>
      <c r="BF41" s="28">
        <f t="shared" si="136"/>
        <v>-0.1</v>
      </c>
      <c r="BG41" s="28">
        <f t="shared" si="136"/>
        <v>-0.1</v>
      </c>
      <c r="BH41" s="28">
        <f t="shared" si="136"/>
        <v>1.1000000000000001</v>
      </c>
      <c r="BI41" s="28">
        <f t="shared" si="136"/>
        <v>1.1000000000000001</v>
      </c>
      <c r="BJ41" s="28">
        <f t="shared" si="136"/>
        <v>-0.1</v>
      </c>
      <c r="CW41" s="25"/>
      <c r="GK41" s="22" t="s">
        <v>14</v>
      </c>
      <c r="GL41" s="25" t="e">
        <f>GL36/GL$38</f>
        <v>#DIV/0!</v>
      </c>
    </row>
    <row r="42" spans="1:248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IF(DIAG!H243,$F$27,-1)</f>
        <v>-1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>GL37/GL$38</f>
        <v>#DIV/0!</v>
      </c>
    </row>
    <row r="43" spans="1:248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4" t="s">
        <v>20</v>
      </c>
      <c r="GL43" s="183"/>
    </row>
    <row r="44" spans="1:248" x14ac:dyDescent="0.2">
      <c r="A44" s="80"/>
      <c r="B44" s="81"/>
      <c r="D44" s="82"/>
      <c r="E44" s="82"/>
      <c r="F44" s="82"/>
      <c r="G44" s="182"/>
      <c r="H44" s="182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>
        <f>IF(DIAG!H244,$GL$55,-1)</f>
        <v>-1</v>
      </c>
      <c r="AQ44" s="60">
        <f>AP44+(AY44-AP44)/9</f>
        <v>-1</v>
      </c>
      <c r="AR44" s="60">
        <f>AQ44+(AY44-AQ44)/8</f>
        <v>-1</v>
      </c>
      <c r="AS44" s="60">
        <f>AR44+(AY44-AR44)/7</f>
        <v>-1</v>
      </c>
      <c r="AT44" s="60">
        <f>AS44+(AY44-AS44)/6</f>
        <v>-1</v>
      </c>
      <c r="AU44" s="60">
        <f>AT44+(AY44-AT44)/5</f>
        <v>-1</v>
      </c>
      <c r="AV44" s="60">
        <f>AU44+(AY44-AU44)/4</f>
        <v>-1</v>
      </c>
      <c r="AW44" s="60">
        <f>AV44+(AY44-AV44)/3</f>
        <v>-1</v>
      </c>
      <c r="AX44" s="60">
        <f>AW44+(AY44-AW44)/2</f>
        <v>-1</v>
      </c>
      <c r="AY44" s="61">
        <f>IF(DIAG!H244,$G$26,-1)</f>
        <v>-1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si="137">GL35/GL38</f>
        <v>#DIV/0!</v>
      </c>
    </row>
    <row r="45" spans="1:248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IF(DIAG!H244,$G$27,-1)</f>
        <v>-1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H45" s="201"/>
      <c r="GK45" s="7" t="s">
        <v>22</v>
      </c>
      <c r="GL45" s="27" t="e">
        <f t="shared" ref="GL45" si="138">GL36/GL38</f>
        <v>#DIV/0!</v>
      </c>
    </row>
    <row r="46" spans="1:248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si="139">GL37/GL38</f>
        <v>#DIV/0!</v>
      </c>
    </row>
    <row r="47" spans="1:248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>
        <f>IF(DIAG!H245,$GL$55,-1)</f>
        <v>-1</v>
      </c>
      <c r="AQ47" s="60">
        <f>AP47+(AY47-AP47)/9</f>
        <v>-1</v>
      </c>
      <c r="AR47" s="60">
        <f>AQ47+(AY47-AQ47)/8</f>
        <v>-1</v>
      </c>
      <c r="AS47" s="60">
        <f>AR47+(AY47-AR47)/7</f>
        <v>-1</v>
      </c>
      <c r="AT47" s="60">
        <f>AS47+(AY47-AS47)/6</f>
        <v>-1</v>
      </c>
      <c r="AU47" s="60">
        <f>AT47+(AY47-AT47)/5</f>
        <v>-1</v>
      </c>
      <c r="AV47" s="60">
        <f>AU47+(AY47-AU47)/4</f>
        <v>-1</v>
      </c>
      <c r="AW47" s="60">
        <f>AV47+(AY47-AV47)/3</f>
        <v>-1</v>
      </c>
      <c r="AX47" s="60">
        <f>AW47+(AY47-AW47)/2</f>
        <v>-1</v>
      </c>
      <c r="AY47" s="61">
        <f>IF(DIAG!H245,$H$26,-1)</f>
        <v>-1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si="140">GL44+GL45</f>
        <v>#DIV/0!</v>
      </c>
    </row>
    <row r="48" spans="1:248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IF(DIAG!H245,$H$27,-1)</f>
        <v>-1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si="141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si="142">1/GL46</f>
        <v>#DIV/0!</v>
      </c>
    </row>
    <row r="50" spans="1:196" x14ac:dyDescent="0.2">
      <c r="A50" s="186"/>
      <c r="B50" s="186"/>
      <c r="C50" s="186"/>
      <c r="D50" s="186"/>
      <c r="E50" s="187"/>
      <c r="F50" s="187"/>
      <c r="G50" s="83"/>
      <c r="H50" s="83"/>
      <c r="I50" s="83"/>
      <c r="J50" s="83"/>
      <c r="K50" s="8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N50" s="9" t="s">
        <v>75</v>
      </c>
      <c r="AP50" s="59">
        <f>IF(DIAG!H246,$GL$55,-1)</f>
        <v>-1</v>
      </c>
      <c r="AQ50" s="60">
        <f>AP50+(AY50-AP50)/9</f>
        <v>-1</v>
      </c>
      <c r="AR50" s="60">
        <f>AQ50+(AY50-AQ50)/8</f>
        <v>-1</v>
      </c>
      <c r="AS50" s="60">
        <f>AR50+(AY50-AR50)/7</f>
        <v>-1</v>
      </c>
      <c r="AT50" s="60">
        <f>AS50+(AY50-AS50)/6</f>
        <v>-1</v>
      </c>
      <c r="AU50" s="60">
        <f>AT50+(AY50-AT50)/5</f>
        <v>-1</v>
      </c>
      <c r="AV50" s="60">
        <f>AU50+(AY50-AU50)/4</f>
        <v>-1</v>
      </c>
      <c r="AW50" s="60">
        <f>AV50+(AY50-AV50)/3</f>
        <v>-1</v>
      </c>
      <c r="AX50" s="60">
        <f>AW50+(AY50-AW50)/2</f>
        <v>-1</v>
      </c>
      <c r="AY50" s="61">
        <f>IF(DIAG!H246,$I$26,-1)</f>
        <v>-1</v>
      </c>
      <c r="GK50" s="45" t="s">
        <v>30</v>
      </c>
      <c r="GL50" s="47" t="e">
        <f t="shared" ref="GL50" si="143">GL46/(1-GL46)</f>
        <v>#DIV/0!</v>
      </c>
    </row>
    <row r="51" spans="1:196" x14ac:dyDescent="0.2">
      <c r="P51" s="33"/>
      <c r="AP51" s="64">
        <f>IF(DIAG!H246,$GL$56,-1)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IF(DIAG!H246,$I$27,-1)</f>
        <v>-1</v>
      </c>
      <c r="GK51" s="45" t="s">
        <v>31</v>
      </c>
      <c r="GL51" s="47" t="e">
        <f t="shared" ref="GL51" si="144">(1-GL44)/GL44</f>
        <v>#DIV/0!</v>
      </c>
    </row>
    <row r="52" spans="1:196" x14ac:dyDescent="0.2">
      <c r="Q52" s="33"/>
      <c r="GK52" s="50" t="s">
        <v>19</v>
      </c>
      <c r="GL52" s="51" t="e">
        <f t="shared" ref="GL52" si="145">GL49/GL51</f>
        <v>#DIV/0!</v>
      </c>
    </row>
    <row r="53" spans="1:196" x14ac:dyDescent="0.2">
      <c r="R53" s="33"/>
      <c r="AN53" s="9" t="s">
        <v>76</v>
      </c>
      <c r="AP53" s="59">
        <f>IF(DIAG!H247,$GL$55,-1)</f>
        <v>-1</v>
      </c>
      <c r="AQ53" s="60">
        <f>AP53+(AY53-AP53)/9</f>
        <v>-1</v>
      </c>
      <c r="AR53" s="60">
        <f>AQ53+(AY53-AQ53)/8</f>
        <v>-1</v>
      </c>
      <c r="AS53" s="60">
        <f>AR53+(AY53-AR53)/7</f>
        <v>-1</v>
      </c>
      <c r="AT53" s="60">
        <f>AS53+(AY53-AS53)/6</f>
        <v>-1</v>
      </c>
      <c r="AU53" s="60">
        <f>AT53+(AY53-AT53)/5</f>
        <v>-1</v>
      </c>
      <c r="AV53" s="60">
        <f>AU53+(AY53-AU53)/4</f>
        <v>-1</v>
      </c>
      <c r="AW53" s="60">
        <f>AV53+(AY53-AV53)/3</f>
        <v>-1</v>
      </c>
      <c r="AX53" s="60">
        <f>AW53+(AY53-AW53)/2</f>
        <v>-1</v>
      </c>
      <c r="AY53" s="61">
        <f>IF(DIAG!H247,$J$26,-1)</f>
        <v>-1</v>
      </c>
      <c r="GK53" s="184" t="s">
        <v>32</v>
      </c>
      <c r="GL53" s="183"/>
      <c r="GM53" s="185"/>
      <c r="GN53" s="185"/>
    </row>
    <row r="54" spans="1:196" x14ac:dyDescent="0.2">
      <c r="S54" s="33"/>
      <c r="AP54" s="64">
        <f>IF(DIAG!H247,$GL$56,-1)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IF(DIAG!H247,$J$27,-1)</f>
        <v>-1</v>
      </c>
      <c r="GK54" s="54" t="s">
        <v>33</v>
      </c>
      <c r="GL54" s="13">
        <f t="shared" ref="GL54" si="146">GL34</f>
        <v>0</v>
      </c>
    </row>
    <row r="55" spans="1:196" ht="15.75" x14ac:dyDescent="0.3">
      <c r="T55" s="33"/>
      <c r="GK55" s="56" t="s">
        <v>107</v>
      </c>
      <c r="GL55" s="36" t="e">
        <f t="shared" ref="GL55" si="147">(2*GL46+GL44-1)/SQRT(3)</f>
        <v>#DIV/0!</v>
      </c>
    </row>
    <row r="56" spans="1:196" ht="15.75" x14ac:dyDescent="0.3">
      <c r="B56" s="10"/>
      <c r="C56" s="10"/>
      <c r="D56" s="10"/>
      <c r="E56" s="10"/>
      <c r="F56" s="10"/>
      <c r="U56" s="33"/>
      <c r="AN56" s="9" t="s">
        <v>77</v>
      </c>
      <c r="AP56" s="59">
        <f>IF(DIAG!H248,$GL$55,-1)</f>
        <v>-1</v>
      </c>
      <c r="AQ56" s="60">
        <f>AP56+(AY56-AP56)/9</f>
        <v>-1</v>
      </c>
      <c r="AR56" s="60">
        <f>AQ56+(AY56-AQ56)/8</f>
        <v>-1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-0.5</v>
      </c>
      <c r="AY56" s="61">
        <f>IF(DIAG!H248,$K$26,-1)</f>
        <v>-1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3"/>
      <c r="U57" s="33"/>
      <c r="V57" s="33"/>
      <c r="AP57" s="64">
        <f>IF(DIAG!H248,$GL$56,-1)</f>
        <v>-1</v>
      </c>
      <c r="AQ57" s="65">
        <f>AP57+(AY57-AP57)/9</f>
        <v>-1</v>
      </c>
      <c r="AR57" s="65">
        <f>AQ57+(AY57-AQ57)/8</f>
        <v>-1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-0.5</v>
      </c>
      <c r="AY57" s="66">
        <f>IF(DIAG!H248,$K$27,-1)</f>
        <v>-1</v>
      </c>
    </row>
    <row r="58" spans="1:196" x14ac:dyDescent="0.2">
      <c r="B58" s="10"/>
      <c r="C58" s="10"/>
      <c r="D58" s="10"/>
      <c r="E58" s="10"/>
      <c r="F58" s="10"/>
      <c r="U58" s="33"/>
      <c r="W58" s="33"/>
    </row>
    <row r="59" spans="1:196" x14ac:dyDescent="0.2">
      <c r="B59" s="10"/>
      <c r="C59" s="10"/>
      <c r="D59" s="10"/>
      <c r="E59" s="10"/>
      <c r="F59" s="10"/>
      <c r="U59" s="33"/>
      <c r="X59" s="33"/>
    </row>
    <row r="60" spans="1:196" x14ac:dyDescent="0.2">
      <c r="B60" s="10"/>
      <c r="C60" s="10"/>
      <c r="D60" s="10"/>
      <c r="E60" s="10"/>
      <c r="F60" s="10"/>
      <c r="U60" s="33"/>
      <c r="Y60" s="33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[1]DIAG!$T$51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148">(2*O66*($M65+1)-$M65-$M65*O66^2)/(SQRT(3)*$M65*(1-O66))</f>
        <v>-1.7320508075688774</v>
      </c>
      <c r="P65" s="87">
        <f t="shared" si="148"/>
        <v>-1.7320508075688774</v>
      </c>
      <c r="Q65" s="87">
        <f t="shared" si="148"/>
        <v>-1.7320508075688774</v>
      </c>
      <c r="R65" s="87">
        <f t="shared" si="148"/>
        <v>-1.7320508075688774</v>
      </c>
      <c r="S65" s="87">
        <f t="shared" si="148"/>
        <v>-1.7320508075688774</v>
      </c>
      <c r="T65" s="87">
        <f t="shared" si="148"/>
        <v>-1.7320508075688774</v>
      </c>
      <c r="U65" s="87">
        <f t="shared" si="148"/>
        <v>-1.7320508075688774</v>
      </c>
      <c r="V65" s="87">
        <f t="shared" si="148"/>
        <v>-1.7320508075688774</v>
      </c>
      <c r="W65" s="87">
        <f t="shared" si="148"/>
        <v>-1.7320508075688774</v>
      </c>
      <c r="X65" s="87">
        <f t="shared" si="148"/>
        <v>-1.7320508075688774</v>
      </c>
      <c r="Y65" s="87">
        <f t="shared" si="148"/>
        <v>-1.7320508075688774</v>
      </c>
      <c r="Z65" s="87">
        <f t="shared" si="148"/>
        <v>-1.7320508075688774</v>
      </c>
      <c r="AA65" s="87">
        <f t="shared" si="148"/>
        <v>-1.7320508075688774</v>
      </c>
      <c r="AB65" s="87">
        <f t="shared" si="148"/>
        <v>-1.7320508075688774</v>
      </c>
      <c r="AC65" s="87">
        <f t="shared" si="148"/>
        <v>-1.7320508075688774</v>
      </c>
      <c r="AD65" s="87">
        <f t="shared" si="148"/>
        <v>-1.7320508075688774</v>
      </c>
      <c r="AE65" s="87">
        <f t="shared" si="148"/>
        <v>-1.7320508075688774</v>
      </c>
      <c r="AF65" s="87">
        <f t="shared" si="148"/>
        <v>-1.7320508075688774</v>
      </c>
      <c r="AG65" s="121">
        <f t="shared" si="148"/>
        <v>-1.7320508075688774</v>
      </c>
      <c r="AM65" s="56">
        <f>AO64</f>
        <v>1</v>
      </c>
      <c r="AN65" s="86" t="s">
        <v>52</v>
      </c>
      <c r="AO65" s="87">
        <f t="shared" ref="AO65:BG65" si="149">(2*AO66*($M65+1)-$M65-$M65*AO66^2)/(SQRT(3)*$M65*(1-AO66))</f>
        <v>-1.7320508075688774</v>
      </c>
      <c r="AP65" s="87">
        <f t="shared" si="149"/>
        <v>-1.7320508075688774</v>
      </c>
      <c r="AQ65" s="87">
        <f t="shared" si="149"/>
        <v>-1.7320508075688774</v>
      </c>
      <c r="AR65" s="87">
        <f t="shared" si="149"/>
        <v>-1.7320508075688774</v>
      </c>
      <c r="AS65" s="87">
        <f t="shared" si="149"/>
        <v>-1.7320508075688774</v>
      </c>
      <c r="AT65" s="87">
        <f t="shared" si="149"/>
        <v>-1.7320508075688774</v>
      </c>
      <c r="AU65" s="87">
        <f t="shared" si="149"/>
        <v>-1.7320508075688774</v>
      </c>
      <c r="AV65" s="87">
        <f t="shared" si="149"/>
        <v>-1.7320508075688774</v>
      </c>
      <c r="AW65" s="87">
        <f t="shared" si="149"/>
        <v>-1.7320508075688774</v>
      </c>
      <c r="AX65" s="87">
        <f t="shared" si="149"/>
        <v>-1.7320508075688774</v>
      </c>
      <c r="AY65" s="87">
        <f t="shared" si="149"/>
        <v>-1.7320508075688774</v>
      </c>
      <c r="AZ65" s="87">
        <f t="shared" si="149"/>
        <v>-1.7320508075688774</v>
      </c>
      <c r="BA65" s="87">
        <f t="shared" si="149"/>
        <v>-1.7320508075688774</v>
      </c>
      <c r="BB65" s="87">
        <f t="shared" si="149"/>
        <v>-1.7320508075688774</v>
      </c>
      <c r="BC65" s="87">
        <f t="shared" si="149"/>
        <v>-1.7320508075688774</v>
      </c>
      <c r="BD65" s="87">
        <f t="shared" si="149"/>
        <v>-1.7320508075688774</v>
      </c>
      <c r="BE65" s="87">
        <f t="shared" si="149"/>
        <v>-1.7320508075688774</v>
      </c>
      <c r="BF65" s="87">
        <f t="shared" si="149"/>
        <v>-1.7320508075688774</v>
      </c>
      <c r="BG65" s="121">
        <f t="shared" si="149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[1]DIAG!$T$52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150">(2*O70*($M69+1)-$M69-$M69*O70^2)/(SQRT(3)*$M69*(1-O70))</f>
        <v>-1.2701705922171769</v>
      </c>
      <c r="P69" s="87">
        <f t="shared" si="150"/>
        <v>-1.2701705922171769</v>
      </c>
      <c r="Q69" s="87">
        <f t="shared" si="150"/>
        <v>-1.2701705922171769</v>
      </c>
      <c r="R69" s="87">
        <f t="shared" si="150"/>
        <v>-1.2701705922171769</v>
      </c>
      <c r="S69" s="87">
        <f t="shared" si="150"/>
        <v>-1.2701705922171769</v>
      </c>
      <c r="T69" s="87">
        <f t="shared" si="150"/>
        <v>-1.2701705922171769</v>
      </c>
      <c r="U69" s="87">
        <f t="shared" si="150"/>
        <v>-1.2701705922171769</v>
      </c>
      <c r="V69" s="87">
        <f t="shared" si="150"/>
        <v>-1.2701705922171769</v>
      </c>
      <c r="W69" s="87">
        <f t="shared" si="150"/>
        <v>-1.2701705922171769</v>
      </c>
      <c r="X69" s="87">
        <f t="shared" si="150"/>
        <v>-1.2701705922171769</v>
      </c>
      <c r="Y69" s="87">
        <f t="shared" si="150"/>
        <v>-1.2701705922171769</v>
      </c>
      <c r="Z69" s="87">
        <f t="shared" si="150"/>
        <v>-1.2701705922171769</v>
      </c>
      <c r="AA69" s="87">
        <f t="shared" si="150"/>
        <v>-1.2701705922171769</v>
      </c>
      <c r="AB69" s="87">
        <f t="shared" si="150"/>
        <v>-1.2701705922171769</v>
      </c>
      <c r="AC69" s="87">
        <f t="shared" si="150"/>
        <v>-1.2701705922171769</v>
      </c>
      <c r="AD69" s="87">
        <f t="shared" si="150"/>
        <v>-1.2701705922171769</v>
      </c>
      <c r="AE69" s="87">
        <f t="shared" si="150"/>
        <v>-1.2701705922171769</v>
      </c>
      <c r="AF69" s="87">
        <f t="shared" si="150"/>
        <v>-1.2701705922171769</v>
      </c>
      <c r="AG69" s="121">
        <f t="shared" si="150"/>
        <v>-1.2701705922171769</v>
      </c>
      <c r="AM69" s="56">
        <f>AO68</f>
        <v>5</v>
      </c>
      <c r="AN69" s="86" t="s">
        <v>52</v>
      </c>
      <c r="AO69" s="87">
        <f t="shared" ref="AO69:BG69" si="151">(2*AO70*($M69+1)-$M69-$M69*AO70^2)/(SQRT(3)*$M69*(1-AO70))</f>
        <v>-1.2701705922171769</v>
      </c>
      <c r="AP69" s="87">
        <f t="shared" si="151"/>
        <v>-1.2701705922171769</v>
      </c>
      <c r="AQ69" s="87">
        <f t="shared" si="151"/>
        <v>-1.2701705922171769</v>
      </c>
      <c r="AR69" s="87">
        <f t="shared" si="151"/>
        <v>-1.2701705922171769</v>
      </c>
      <c r="AS69" s="87">
        <f t="shared" si="151"/>
        <v>-1.2701705922171769</v>
      </c>
      <c r="AT69" s="87">
        <f t="shared" si="151"/>
        <v>-1.2701705922171769</v>
      </c>
      <c r="AU69" s="87">
        <f t="shared" si="151"/>
        <v>-1.2701705922171769</v>
      </c>
      <c r="AV69" s="87">
        <f t="shared" si="151"/>
        <v>-1.2701705922171769</v>
      </c>
      <c r="AW69" s="87">
        <f t="shared" si="151"/>
        <v>-1.2701705922171769</v>
      </c>
      <c r="AX69" s="87">
        <f t="shared" si="151"/>
        <v>-1.2701705922171769</v>
      </c>
      <c r="AY69" s="87">
        <f t="shared" si="151"/>
        <v>-1.2701705922171769</v>
      </c>
      <c r="AZ69" s="87">
        <f t="shared" si="151"/>
        <v>-1.2701705922171769</v>
      </c>
      <c r="BA69" s="87">
        <f t="shared" si="151"/>
        <v>-1.2701705922171769</v>
      </c>
      <c r="BB69" s="87">
        <f t="shared" si="151"/>
        <v>-1.2701705922171769</v>
      </c>
      <c r="BC69" s="87">
        <f t="shared" si="151"/>
        <v>-1.2701705922171769</v>
      </c>
      <c r="BD69" s="87">
        <f t="shared" si="151"/>
        <v>-1.2701705922171769</v>
      </c>
      <c r="BE69" s="87">
        <f t="shared" si="151"/>
        <v>-1.2701705922171769</v>
      </c>
      <c r="BF69" s="87">
        <f t="shared" si="151"/>
        <v>-1.2701705922171769</v>
      </c>
      <c r="BG69" s="121">
        <f t="shared" si="151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[1]DIAG!$T$53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152">(2*P74*($M73+1)-$M73-$M73*P74^2)/(SQRT(3)*$M73*(1-P74))</f>
        <v>-1.4433756729740645</v>
      </c>
      <c r="Q73" s="87">
        <f t="shared" si="152"/>
        <v>-1.4433756729740645</v>
      </c>
      <c r="R73" s="87">
        <f t="shared" si="152"/>
        <v>-1.4433756729740645</v>
      </c>
      <c r="S73" s="87">
        <f t="shared" si="152"/>
        <v>-1.4433756729740645</v>
      </c>
      <c r="T73" s="87">
        <f t="shared" si="152"/>
        <v>-1.4433756729740645</v>
      </c>
      <c r="U73" s="87">
        <f t="shared" si="152"/>
        <v>-1.4433756729740645</v>
      </c>
      <c r="V73" s="87">
        <f t="shared" si="152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152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152"/>
        <v>-1.4433756729740645</v>
      </c>
      <c r="AF73" s="87">
        <f t="shared" si="152"/>
        <v>-1.4433756729740645</v>
      </c>
      <c r="AG73" s="121">
        <f t="shared" si="152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153">Q35</f>
        <v>-0.46188021535170065</v>
      </c>
      <c r="R78" s="28">
        <f t="shared" si="153"/>
        <v>-0.40414518843273811</v>
      </c>
      <c r="S78" s="28">
        <f t="shared" si="153"/>
        <v>-0.34641016151377552</v>
      </c>
      <c r="T78" s="28">
        <f t="shared" si="153"/>
        <v>-0.28867513459481292</v>
      </c>
      <c r="U78" s="28">
        <f t="shared" si="153"/>
        <v>-0.23094010767585038</v>
      </c>
      <c r="V78" s="28">
        <f t="shared" si="153"/>
        <v>-0.17320508075688779</v>
      </c>
      <c r="W78" s="28">
        <f t="shared" si="153"/>
        <v>-0.11547005383792519</v>
      </c>
      <c r="X78" s="28">
        <f t="shared" si="153"/>
        <v>-5.7735026918962595E-2</v>
      </c>
      <c r="Y78" s="28">
        <f t="shared" si="153"/>
        <v>0</v>
      </c>
      <c r="Z78" s="28">
        <f t="shared" si="153"/>
        <v>5.7735026918962595E-2</v>
      </c>
      <c r="AA78" s="28">
        <f t="shared" si="153"/>
        <v>0.11547005383792519</v>
      </c>
      <c r="AB78" s="28">
        <f t="shared" si="153"/>
        <v>0.17320508075688779</v>
      </c>
      <c r="AC78" s="28">
        <f t="shared" si="153"/>
        <v>0.23094010767585038</v>
      </c>
      <c r="AD78" s="28">
        <f t="shared" si="153"/>
        <v>0.28867513459481292</v>
      </c>
      <c r="AE78" s="28">
        <f t="shared" si="153"/>
        <v>0.34641016151377552</v>
      </c>
      <c r="AF78" s="28">
        <f t="shared" si="153"/>
        <v>0.40414518843273811</v>
      </c>
      <c r="AG78" s="28">
        <f t="shared" si="153"/>
        <v>0.46188021535170065</v>
      </c>
      <c r="AH78" s="28">
        <f t="shared" si="153"/>
        <v>0.51961524227066325</v>
      </c>
      <c r="AI78" s="28">
        <f t="shared" si="153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 t="e">
        <f>VLOOKUP(A78,A26:GS26,DIAG!$T$58+1,0)</f>
        <v>#DIV/0!</v>
      </c>
      <c r="B79" s="134">
        <f>VLOOKUP(B78,A27:GS27,DIAG!$T$58+1,0)</f>
        <v>-1</v>
      </c>
      <c r="E79" s="133" t="e">
        <f>VLOOKUP(E78,A26:GS26,DIAG!$W$56+1,0)</f>
        <v>#DIV/0!</v>
      </c>
      <c r="F79" s="134">
        <f>VLOOKUP(F78,A27:GS27,DIAG!$W$56+1,0)</f>
        <v>-1</v>
      </c>
      <c r="G79" s="133" t="e">
        <f>VLOOKUP(G78,A26:GS26,DIAG!$W$58+1,0)</f>
        <v>#DIV/0!</v>
      </c>
      <c r="H79" s="134">
        <f>VLOOKUP(H78,A27:GS27,DIAG!$W$58+1,0)</f>
        <v>-1</v>
      </c>
      <c r="N79" s="10" t="s">
        <v>118</v>
      </c>
      <c r="O79" s="28" t="e">
        <f>IF(A79&lt;&gt;0,O35,0)</f>
        <v>#DIV/0!</v>
      </c>
      <c r="P79" s="28" t="e">
        <f>IF(A79&lt;&gt;0,P35,0)</f>
        <v>#DIV/0!</v>
      </c>
      <c r="Q79" s="28" t="e">
        <f>IF(A79&lt;&gt;0,Q35,0)</f>
        <v>#DIV/0!</v>
      </c>
      <c r="R79" s="28" t="e">
        <f>IF(A79&lt;&gt;0,R35,0)</f>
        <v>#DIV/0!</v>
      </c>
      <c r="S79" s="28" t="e">
        <f>IF(A79&lt;&gt;0,S35,0)</f>
        <v>#DIV/0!</v>
      </c>
      <c r="T79" s="28" t="e">
        <f>IF(A79&lt;&gt;0,T35,0)</f>
        <v>#DIV/0!</v>
      </c>
      <c r="U79" s="28" t="e">
        <f>IF(A79&lt;&gt;0,U35,0)</f>
        <v>#DIV/0!</v>
      </c>
      <c r="V79" s="28" t="e">
        <f>IF(A79&lt;&gt;0,V35,0)</f>
        <v>#DIV/0!</v>
      </c>
      <c r="W79" s="28" t="e">
        <f>IF(A79&lt;&gt;0,W35,0)</f>
        <v>#DIV/0!</v>
      </c>
      <c r="X79" s="28" t="e">
        <f>IF(A79&lt;&gt;0,X35,0)</f>
        <v>#DIV/0!</v>
      </c>
      <c r="Y79" s="28" t="e">
        <f>IF(A79&lt;&gt;0,Y35,0)</f>
        <v>#DIV/0!</v>
      </c>
      <c r="Z79" s="28" t="e">
        <f>IF(A79&lt;&gt;0,Z35,0)</f>
        <v>#DIV/0!</v>
      </c>
      <c r="AA79" s="28" t="e">
        <f>IF(A79&lt;&gt;0,AA35,0)</f>
        <v>#DIV/0!</v>
      </c>
      <c r="AB79" s="28" t="e">
        <f>IF(A79&lt;&gt;0,AB35,0)</f>
        <v>#DIV/0!</v>
      </c>
      <c r="AC79" s="28" t="e">
        <f>IF(A79&lt;&gt;0,AC35,0)</f>
        <v>#DIV/0!</v>
      </c>
      <c r="AD79" s="28" t="e">
        <f>IF(A79&lt;&gt;0,AD35,0)</f>
        <v>#DIV/0!</v>
      </c>
      <c r="AE79" s="28" t="e">
        <f>IF(A79&lt;&gt;0,AE35,0)</f>
        <v>#DIV/0!</v>
      </c>
      <c r="AF79" s="28" t="e">
        <f>IF(A79&lt;&gt;0,AF35,0)</f>
        <v>#DIV/0!</v>
      </c>
      <c r="AG79" s="28" t="e">
        <f>IF(A79&lt;&gt;0,AG35,0)</f>
        <v>#DIV/0!</v>
      </c>
      <c r="AH79" s="28" t="e">
        <f>IF(A79&lt;&gt;0,AH35,0)</f>
        <v>#DIV/0!</v>
      </c>
      <c r="AI79" s="132" t="e">
        <f>IF(A79&lt;&gt;0,AI35,0)</f>
        <v>#DIV/0!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 t="e">
        <f>(B80-$F$79)/(A80-$E$79)</f>
        <v>#DIV/0!</v>
      </c>
      <c r="D80" s="28" t="e">
        <f>(B80*(A80-$E$79)-A80*(B80-$F$79))/(A80-$E$79)</f>
        <v>#DIV/0!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 t="e">
        <f>(B81-$H$79)/(A81-$G$79)</f>
        <v>#DIV/0!</v>
      </c>
      <c r="D81" s="28" t="e">
        <f>(B81*(A81-$G$79)-A81*(B81-$H$79))/(A81-$G$79)</f>
        <v>#DIV/0!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 t="e">
        <f>(B82-$B$79)/(A82-$A$79)</f>
        <v>#DIV/0!</v>
      </c>
      <c r="D82" s="28" t="e">
        <f>(B82*(A82-$A$79)-A82*(B82-$B$79))/(A82-$A$79)</f>
        <v>#DIV/0!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#DIV/0!</v>
      </c>
      <c r="E87" s="143" t="e">
        <f ca="1">E91</f>
        <v>#DIV/0!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#DIV/0!</v>
      </c>
      <c r="N87" s="143" t="e">
        <f ca="1">N91</f>
        <v>#DIV/0!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#DIV/0!</v>
      </c>
      <c r="E88" s="148" t="e">
        <f ca="1">C80*E87+D80</f>
        <v>#DIV/0!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#DIV/0!</v>
      </c>
      <c r="N88" s="148" t="e">
        <f ca="1">C81*N87+D81</f>
        <v>#DIV/0!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#DIV/0!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#DIV/0!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#DIV/0!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#DIV/0!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#DIV/0!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#DIV/0!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#DIV/0!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#DIV/0!</v>
      </c>
      <c r="N94" s="143">
        <f>1/SQRT(3)</f>
        <v>0.57735026918962584</v>
      </c>
      <c r="P94" s="144" t="s">
        <v>6</v>
      </c>
      <c r="Q94" s="88" t="s">
        <v>52</v>
      </c>
      <c r="R94" s="130" t="e">
        <f>(R95-D82)/C82</f>
        <v>#DIV/0!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#DIV/0!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#DIV/0!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#DIV/0!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#DIV/0!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#DIV/0!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#DIV/0!</v>
      </c>
      <c r="N98" s="152"/>
      <c r="P98" s="110" t="s">
        <v>59</v>
      </c>
      <c r="Q98" s="32"/>
      <c r="R98" s="153" t="e">
        <f>SQRT((R94-S94)^2+(R95-S95)^2)</f>
        <v>#DIV/0!</v>
      </c>
      <c r="S98" s="66"/>
      <c r="W98" s="9" t="e">
        <f ca="1">(SQRT(25*E88^2-10*E88+21)-6)/(5*SQRT(3))</f>
        <v>#DIV/0!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#DIV/0!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#DIV/0!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#DIV/0!</v>
      </c>
      <c r="E102" s="160" t="e">
        <f ca="1">SQRT((D87-D94)^2+(D88-D95)^2)</f>
        <v>#DIV/0!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#DIV/0!</v>
      </c>
      <c r="N102" s="160" t="e">
        <f ca="1">SQRT((N87-M94)^2+(N88-M95)^2)</f>
        <v>#DIV/0!</v>
      </c>
      <c r="AI102" s="135"/>
    </row>
    <row r="103" spans="1:35" x14ac:dyDescent="0.2">
      <c r="A103" s="107"/>
      <c r="B103" s="149"/>
      <c r="C103" s="150"/>
      <c r="D103" s="161" t="e">
        <f ca="1">D102/D98</f>
        <v>#DIV/0!</v>
      </c>
      <c r="E103" s="162" t="e">
        <f ca="1">E102/D98</f>
        <v>#DIV/0!</v>
      </c>
      <c r="G103" s="163"/>
      <c r="H103" s="164"/>
      <c r="I103" s="164"/>
      <c r="J103" s="164"/>
      <c r="K103" s="164"/>
      <c r="L103" s="150"/>
      <c r="M103" s="161" t="e">
        <f ca="1">M102/M98</f>
        <v>#DIV/0!</v>
      </c>
      <c r="N103" s="162" t="e">
        <f ca="1">N102/M98</f>
        <v>#DIV/0!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#DIV/0!</v>
      </c>
      <c r="M105" s="166" t="e">
        <f ca="1">M100+M103+N103</f>
        <v>#DIV/0!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#DIV/0!</v>
      </c>
      <c r="M108" s="114" t="e">
        <f ca="1">LOG(100*N103)</f>
        <v>#DIV/0!</v>
      </c>
      <c r="AI108" s="135"/>
    </row>
    <row r="109" spans="1:35" x14ac:dyDescent="0.2">
      <c r="A109" s="107"/>
      <c r="D109" s="114" t="e">
        <f ca="1">LOG(100*D100)</f>
        <v>#DIV/0!</v>
      </c>
      <c r="M109" s="114" t="e">
        <f ca="1">LOG(100*M100)</f>
        <v>#DIV/0!</v>
      </c>
      <c r="AI109" s="135"/>
    </row>
    <row r="110" spans="1:35" x14ac:dyDescent="0.2">
      <c r="A110" s="110"/>
      <c r="B110" s="32"/>
      <c r="C110" s="32"/>
      <c r="D110" s="167" t="e">
        <f ca="1">LOG(100*D103)</f>
        <v>#DIV/0!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134</v>
      </c>
      <c r="E113" s="59">
        <f>IF(DIAG!H239,$GL$55,-1)</f>
        <v>-1</v>
      </c>
      <c r="F113" s="60">
        <f>E113+(N113-E113)/9</f>
        <v>-1</v>
      </c>
      <c r="G113" s="60">
        <f>F113+(N113-F113)/8</f>
        <v>-1</v>
      </c>
      <c r="H113" s="60">
        <f>G113+(N113-G113)/7</f>
        <v>-1</v>
      </c>
      <c r="I113" s="60">
        <f>H113+(N113-H113)/6</f>
        <v>-1</v>
      </c>
      <c r="J113" s="60">
        <f>I113+(N113-I113)/5</f>
        <v>-1</v>
      </c>
      <c r="K113" s="60">
        <f>J113+(N113-J113)/4</f>
        <v>-1</v>
      </c>
      <c r="L113" s="60">
        <f>K113+(N113-K113)/3</f>
        <v>-1</v>
      </c>
      <c r="M113" s="60">
        <f>L113+(N113-L113)/2</f>
        <v>-1</v>
      </c>
      <c r="N113" s="61">
        <f>IF(DIAG!H239,$B$26,-1)</f>
        <v>-1</v>
      </c>
    </row>
    <row r="114" spans="3:14" x14ac:dyDescent="0.2">
      <c r="E114" s="64">
        <f>IF(DIAG!H239,$GL$56,-1)</f>
        <v>-1</v>
      </c>
      <c r="F114" s="65">
        <f>E114+(N114-E114)/9</f>
        <v>-1</v>
      </c>
      <c r="G114" s="65">
        <f>F114+(N114-F114)/8</f>
        <v>-1</v>
      </c>
      <c r="H114" s="65">
        <f>G114+(N114-G114)/7</f>
        <v>-1</v>
      </c>
      <c r="I114" s="65">
        <f>H114+(N114-H114)/6</f>
        <v>-1</v>
      </c>
      <c r="J114" s="65">
        <f>I114+(N114-I114)/5</f>
        <v>-1</v>
      </c>
      <c r="K114" s="65">
        <f>J114+(N114-J114)/4</f>
        <v>-1</v>
      </c>
      <c r="L114" s="65">
        <f>K114+(N114-K114)/3</f>
        <v>-1</v>
      </c>
      <c r="M114" s="65">
        <f>L114+(N114-L114)/2</f>
        <v>-1</v>
      </c>
      <c r="N114" s="66">
        <f>IF(DIAG!H239,$B$27,-1)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135</v>
      </c>
      <c r="D116" s="33"/>
      <c r="E116" s="59">
        <f>IF(DIAG!H240,$GL$55,-1)</f>
        <v>-1</v>
      </c>
      <c r="F116" s="60">
        <f>E116+(N116-E116)/9</f>
        <v>-1</v>
      </c>
      <c r="G116" s="60">
        <f>F116+(N116-F116)/8</f>
        <v>-1</v>
      </c>
      <c r="H116" s="60">
        <f>G116+(N116-G116)/7</f>
        <v>-1</v>
      </c>
      <c r="I116" s="60">
        <f>H116+(N116-H116)/6</f>
        <v>-1</v>
      </c>
      <c r="J116" s="60">
        <f>I116+(N116-I116)/5</f>
        <v>-1</v>
      </c>
      <c r="K116" s="60">
        <f>J116+(N116-J116)/4</f>
        <v>-1</v>
      </c>
      <c r="L116" s="60">
        <f>K116+(N116-K116)/3</f>
        <v>-1</v>
      </c>
      <c r="M116" s="60">
        <f>L116+(N116-L116)/2</f>
        <v>-1</v>
      </c>
      <c r="N116" s="61">
        <f>IF(DIAG!H240,$C$26,-1)</f>
        <v>-1</v>
      </c>
    </row>
    <row r="117" spans="3:14" x14ac:dyDescent="0.2">
      <c r="D117" s="33"/>
      <c r="E117" s="64">
        <f>IF(DIAG!H240,$GL$56,-1)</f>
        <v>-1</v>
      </c>
      <c r="F117" s="65">
        <f>E117+(N117-E117)/9</f>
        <v>-1</v>
      </c>
      <c r="G117" s="65">
        <f>F117+(N117-F117)/8</f>
        <v>-1</v>
      </c>
      <c r="H117" s="65">
        <f>G117+(N117-G117)/7</f>
        <v>-1</v>
      </c>
      <c r="I117" s="65">
        <f>H117+(N117-H117)/6</f>
        <v>-1</v>
      </c>
      <c r="J117" s="65">
        <f>I117+(N117-I117)/5</f>
        <v>-1</v>
      </c>
      <c r="K117" s="65">
        <f>J117+(N117-J117)/4</f>
        <v>-1</v>
      </c>
      <c r="L117" s="65">
        <f>K117+(N117-K117)/3</f>
        <v>-1</v>
      </c>
      <c r="M117" s="65">
        <f>L117+(N117-L117)/2</f>
        <v>-1</v>
      </c>
      <c r="N117" s="66">
        <f>IF(DIAG!H240,$C$27,-1)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136</v>
      </c>
      <c r="D119" s="33"/>
      <c r="E119" s="59">
        <f>IF(DIAG!H241,$GL$55,-1)</f>
        <v>-1</v>
      </c>
      <c r="F119" s="60">
        <f>E119+(N119-E119)/9</f>
        <v>-1</v>
      </c>
      <c r="G119" s="60">
        <f>F119+(N119-F119)/8</f>
        <v>-1</v>
      </c>
      <c r="H119" s="60">
        <f>G119+(N119-G119)/7</f>
        <v>-1</v>
      </c>
      <c r="I119" s="60">
        <f>H119+(N119-H119)/6</f>
        <v>-1</v>
      </c>
      <c r="J119" s="60">
        <f>I119+(N119-I119)/5</f>
        <v>-1</v>
      </c>
      <c r="K119" s="60">
        <f>J119+(N119-J119)/4</f>
        <v>-1</v>
      </c>
      <c r="L119" s="60">
        <f>K119+(N119-K119)/3</f>
        <v>-1</v>
      </c>
      <c r="M119" s="60">
        <f>L119+(N119-L119)/2</f>
        <v>-1</v>
      </c>
      <c r="N119" s="61">
        <f>IF(DIAG!H241,$D$26,-1)</f>
        <v>-1</v>
      </c>
    </row>
    <row r="120" spans="3:14" x14ac:dyDescent="0.2">
      <c r="D120" s="33"/>
      <c r="E120" s="64">
        <f>IF(DIAG!H241,$GL$56,-1)</f>
        <v>-1</v>
      </c>
      <c r="F120" s="65">
        <f>E120+(N120-E120)/9</f>
        <v>-1</v>
      </c>
      <c r="G120" s="65">
        <f>F120+(N120-F120)/8</f>
        <v>-1</v>
      </c>
      <c r="H120" s="65">
        <f>G120+(N120-G120)/7</f>
        <v>-1</v>
      </c>
      <c r="I120" s="65">
        <f>H120+(N120-H120)/6</f>
        <v>-1</v>
      </c>
      <c r="J120" s="65">
        <f>I120+(N120-I120)/5</f>
        <v>-1</v>
      </c>
      <c r="K120" s="65">
        <f>J120+(N120-J120)/4</f>
        <v>-1</v>
      </c>
      <c r="L120" s="65">
        <f>K120+(N120-K120)/3</f>
        <v>-1</v>
      </c>
      <c r="M120" s="65">
        <f>L120+(N120-L120)/2</f>
        <v>-1</v>
      </c>
      <c r="N120" s="66">
        <f>IF(DIAG!H241,$D$27,-1)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137</v>
      </c>
      <c r="E122" s="59">
        <f>IF(DIAG!H242,$GL$55,-1)</f>
        <v>-1</v>
      </c>
      <c r="F122" s="60">
        <f>E122+(N122-E122)/9</f>
        <v>-1</v>
      </c>
      <c r="G122" s="60">
        <f>F122+(N122-F122)/8</f>
        <v>-1</v>
      </c>
      <c r="H122" s="60">
        <f>G122+(N122-G122)/7</f>
        <v>-1</v>
      </c>
      <c r="I122" s="60">
        <f>H122+(N122-H122)/6</f>
        <v>-1</v>
      </c>
      <c r="J122" s="60">
        <f>I122+(N122-I122)/5</f>
        <v>-1</v>
      </c>
      <c r="K122" s="60">
        <f>J122+(N122-J122)/4</f>
        <v>-1</v>
      </c>
      <c r="L122" s="60">
        <f>K122+(N122-K122)/3</f>
        <v>-1</v>
      </c>
      <c r="M122" s="60">
        <f>L122+(N122-L122)/2</f>
        <v>-1</v>
      </c>
      <c r="N122" s="61">
        <f>IF(DIAG!H242,$E$26,-1)</f>
        <v>-1</v>
      </c>
    </row>
    <row r="123" spans="3:14" x14ac:dyDescent="0.2">
      <c r="E123" s="64">
        <f>IF(DIAG!H242,$GL$56,-1)</f>
        <v>-1</v>
      </c>
      <c r="F123" s="65">
        <f>E123+(N123-E123)/9</f>
        <v>-1</v>
      </c>
      <c r="G123" s="65">
        <f>F123+(N123-F123)/8</f>
        <v>-1</v>
      </c>
      <c r="H123" s="65">
        <f>G123+(N123-G123)/7</f>
        <v>-1</v>
      </c>
      <c r="I123" s="65">
        <f>H123+(N123-H123)/6</f>
        <v>-1</v>
      </c>
      <c r="J123" s="65">
        <f>I123+(N123-I123)/5</f>
        <v>-1</v>
      </c>
      <c r="K123" s="65">
        <f>J123+(N123-J123)/4</f>
        <v>-1</v>
      </c>
      <c r="L123" s="65">
        <f>K123+(N123-K123)/3</f>
        <v>-1</v>
      </c>
      <c r="M123" s="65">
        <f>L123+(N123-L123)/2</f>
        <v>-1</v>
      </c>
      <c r="N123" s="66">
        <f>IF(DIAG!H242,$E$27,-1)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138</v>
      </c>
      <c r="E125" s="59">
        <f>IF(DIAG!H243,$GL$55,-1)</f>
        <v>-1</v>
      </c>
      <c r="F125" s="60">
        <f>E125+(N125-E125)/9</f>
        <v>-1</v>
      </c>
      <c r="G125" s="60">
        <f>F125+(N125-F125)/8</f>
        <v>-1</v>
      </c>
      <c r="H125" s="60">
        <f>G125+(N125-G125)/7</f>
        <v>-1</v>
      </c>
      <c r="I125" s="60">
        <f>H125+(N125-H125)/6</f>
        <v>-1</v>
      </c>
      <c r="J125" s="60">
        <f>I125+(N125-I125)/5</f>
        <v>-1</v>
      </c>
      <c r="K125" s="60">
        <f>J125+(N125-J125)/4</f>
        <v>-1</v>
      </c>
      <c r="L125" s="60">
        <f>K125+(N125-K125)/3</f>
        <v>-1</v>
      </c>
      <c r="M125" s="60">
        <f>L125+(N125-L125)/2</f>
        <v>-1</v>
      </c>
      <c r="N125" s="61">
        <f>IF(DIAG!H243,$F$26,-1)</f>
        <v>-1</v>
      </c>
    </row>
    <row r="126" spans="3:14" x14ac:dyDescent="0.2">
      <c r="E126" s="64">
        <f>IF(DIAG!H243,$GL$56,-1)</f>
        <v>-1</v>
      </c>
      <c r="F126" s="65">
        <f>E126+(N126-E126)/9</f>
        <v>-1</v>
      </c>
      <c r="G126" s="65">
        <f>F126+(N126-F126)/8</f>
        <v>-1</v>
      </c>
      <c r="H126" s="65">
        <f>G126+(N126-G126)/7</f>
        <v>-1</v>
      </c>
      <c r="I126" s="65">
        <f>H126+(N126-H126)/6</f>
        <v>-1</v>
      </c>
      <c r="J126" s="65">
        <f>I126+(N126-I126)/5</f>
        <v>-1</v>
      </c>
      <c r="K126" s="65">
        <f>J126+(N126-J126)/4</f>
        <v>-1</v>
      </c>
      <c r="L126" s="65">
        <f>K126+(N126-K126)/3</f>
        <v>-1</v>
      </c>
      <c r="M126" s="65">
        <f>L126+(N126-L126)/2</f>
        <v>-1</v>
      </c>
      <c r="N126" s="66">
        <f>IF(DIAG!H243,$F$27,-1)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139</v>
      </c>
      <c r="E128" s="59">
        <f>IF(DIAG!H244,$GL$55,-1)</f>
        <v>-1</v>
      </c>
      <c r="F128" s="60">
        <f>E128+(N128-E128)/9</f>
        <v>-1</v>
      </c>
      <c r="G128" s="60">
        <f>F128+(N128-F128)/8</f>
        <v>-1</v>
      </c>
      <c r="H128" s="60">
        <f>G128+(N128-G128)/7</f>
        <v>-1</v>
      </c>
      <c r="I128" s="60">
        <f>H128+(N128-H128)/6</f>
        <v>-1</v>
      </c>
      <c r="J128" s="60">
        <f>I128+(N128-I128)/5</f>
        <v>-1</v>
      </c>
      <c r="K128" s="60">
        <f>J128+(N128-J128)/4</f>
        <v>-1</v>
      </c>
      <c r="L128" s="60">
        <f>K128+(N128-K128)/3</f>
        <v>-1</v>
      </c>
      <c r="M128" s="60">
        <f>L128+(N128-L128)/2</f>
        <v>-1</v>
      </c>
      <c r="N128" s="61">
        <f>IF(DIAG!H244,$G$26,-1)</f>
        <v>-1</v>
      </c>
    </row>
    <row r="129" spans="3:14" x14ac:dyDescent="0.2">
      <c r="E129" s="64">
        <f>IF(DIAG!H244,$GL$56,-1)</f>
        <v>-1</v>
      </c>
      <c r="F129" s="65">
        <f>E129+(N129-E129)/9</f>
        <v>-1</v>
      </c>
      <c r="G129" s="65">
        <f>F129+(N129-F129)/8</f>
        <v>-1</v>
      </c>
      <c r="H129" s="65">
        <f>G129+(N129-G129)/7</f>
        <v>-1</v>
      </c>
      <c r="I129" s="65">
        <f>H129+(N129-H129)/6</f>
        <v>-1</v>
      </c>
      <c r="J129" s="65">
        <f>I129+(N129-I129)/5</f>
        <v>-1</v>
      </c>
      <c r="K129" s="65">
        <f>J129+(N129-J129)/4</f>
        <v>-1</v>
      </c>
      <c r="L129" s="65">
        <f>K129+(N129-K129)/3</f>
        <v>-1</v>
      </c>
      <c r="M129" s="65">
        <f>L129+(N129-L129)/2</f>
        <v>-1</v>
      </c>
      <c r="N129" s="66">
        <f>IF(DIAG!H244,$G$27,-1)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140</v>
      </c>
      <c r="E131" s="59">
        <f>IF(DIAG!H245,$GL$55,-1)</f>
        <v>-1</v>
      </c>
      <c r="F131" s="60">
        <f>E131+(N131-E131)/9</f>
        <v>-1</v>
      </c>
      <c r="G131" s="60">
        <f>F131+(N131-F131)/8</f>
        <v>-1</v>
      </c>
      <c r="H131" s="60">
        <f>G131+(N131-G131)/7</f>
        <v>-1</v>
      </c>
      <c r="I131" s="60">
        <f>H131+(N131-H131)/6</f>
        <v>-1</v>
      </c>
      <c r="J131" s="60">
        <f>I131+(N131-I131)/5</f>
        <v>-1</v>
      </c>
      <c r="K131" s="60">
        <f>J131+(N131-J131)/4</f>
        <v>-1</v>
      </c>
      <c r="L131" s="60">
        <f>K131+(N131-K131)/3</f>
        <v>-1</v>
      </c>
      <c r="M131" s="60">
        <f>L131+(N131-L131)/2</f>
        <v>-1</v>
      </c>
      <c r="N131" s="61">
        <f>IF(DIAG!H245,$H$26,-1)</f>
        <v>-1</v>
      </c>
    </row>
    <row r="132" spans="3:14" x14ac:dyDescent="0.2">
      <c r="E132" s="64">
        <f>IF(DIAG!H245,$GL$56,-1)</f>
        <v>-1</v>
      </c>
      <c r="F132" s="65">
        <f>E132+(N132-E132)/9</f>
        <v>-1</v>
      </c>
      <c r="G132" s="65">
        <f>F132+(N132-F132)/8</f>
        <v>-1</v>
      </c>
      <c r="H132" s="65">
        <f>G132+(N132-G132)/7</f>
        <v>-1</v>
      </c>
      <c r="I132" s="65">
        <f>H132+(N132-H132)/6</f>
        <v>-1</v>
      </c>
      <c r="J132" s="65">
        <f>I132+(N132-I132)/5</f>
        <v>-1</v>
      </c>
      <c r="K132" s="65">
        <f>J132+(N132-J132)/4</f>
        <v>-1</v>
      </c>
      <c r="L132" s="65">
        <f>K132+(N132-K132)/3</f>
        <v>-1</v>
      </c>
      <c r="M132" s="65">
        <f>L132+(N132-L132)/2</f>
        <v>-1</v>
      </c>
      <c r="N132" s="66">
        <f>IF(DIAG!H245,$H$27,-1)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141</v>
      </c>
      <c r="E134" s="59">
        <f>IF(DIAG!H246,$GL$55,-1)</f>
        <v>-1</v>
      </c>
      <c r="F134" s="60">
        <f>E134+(N134-E134)/9</f>
        <v>-1</v>
      </c>
      <c r="G134" s="60">
        <f>F134+(N134-F134)/8</f>
        <v>-1</v>
      </c>
      <c r="H134" s="60">
        <f>G134+(N134-G134)/7</f>
        <v>-1</v>
      </c>
      <c r="I134" s="60">
        <f>H134+(N134-H134)/6</f>
        <v>-1</v>
      </c>
      <c r="J134" s="60">
        <f>I134+(N134-I134)/5</f>
        <v>-1</v>
      </c>
      <c r="K134" s="60">
        <f>J134+(N134-J134)/4</f>
        <v>-1</v>
      </c>
      <c r="L134" s="60">
        <f>K134+(N134-K134)/3</f>
        <v>-1</v>
      </c>
      <c r="M134" s="60">
        <f>L134+(N134-L134)/2</f>
        <v>-1</v>
      </c>
      <c r="N134" s="61">
        <f>IF(DIAG!H246,$I$26,-1)</f>
        <v>-1</v>
      </c>
    </row>
    <row r="135" spans="3:14" x14ac:dyDescent="0.2">
      <c r="E135" s="64">
        <f>IF(DIAG!H246,$GL$56,-1)</f>
        <v>-1</v>
      </c>
      <c r="F135" s="65">
        <f>E135+(N135-E135)/9</f>
        <v>-1</v>
      </c>
      <c r="G135" s="65">
        <f>F135+(N135-F135)/8</f>
        <v>-1</v>
      </c>
      <c r="H135" s="65">
        <f>G135+(N135-G135)/7</f>
        <v>-1</v>
      </c>
      <c r="I135" s="65">
        <f>H135+(N135-H135)/6</f>
        <v>-1</v>
      </c>
      <c r="J135" s="65">
        <f>I135+(N135-I135)/5</f>
        <v>-1</v>
      </c>
      <c r="K135" s="65">
        <f>J135+(N135-J135)/4</f>
        <v>-1</v>
      </c>
      <c r="L135" s="65">
        <f>K135+(N135-K135)/3</f>
        <v>-1</v>
      </c>
      <c r="M135" s="65">
        <f>L135+(N135-L135)/2</f>
        <v>-1</v>
      </c>
      <c r="N135" s="66">
        <f>IF(DIAG!H246,$I$27,-1)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142</v>
      </c>
      <c r="E137" s="59">
        <f>IF(DIAG!H247,$GL$55,-1)</f>
        <v>-1</v>
      </c>
      <c r="F137" s="60">
        <f>E137+(N137-E137)/9</f>
        <v>-1</v>
      </c>
      <c r="G137" s="60">
        <f>F137+(N137-F137)/8</f>
        <v>-1</v>
      </c>
      <c r="H137" s="60">
        <f>G137+(N137-G137)/7</f>
        <v>-1</v>
      </c>
      <c r="I137" s="60">
        <f>H137+(N137-H137)/6</f>
        <v>-1</v>
      </c>
      <c r="J137" s="60">
        <f>I137+(N137-I137)/5</f>
        <v>-1</v>
      </c>
      <c r="K137" s="60">
        <f>J137+(N137-J137)/4</f>
        <v>-1</v>
      </c>
      <c r="L137" s="60">
        <f>K137+(N137-K137)/3</f>
        <v>-1</v>
      </c>
      <c r="M137" s="60">
        <f>L137+(N137-L137)/2</f>
        <v>-1</v>
      </c>
      <c r="N137" s="61">
        <f>IF(DIAG!H247,$J$26,-1)</f>
        <v>-1</v>
      </c>
    </row>
    <row r="138" spans="3:14" x14ac:dyDescent="0.2">
      <c r="E138" s="64">
        <f>IF(DIAG!H247,$GL$56,-1)</f>
        <v>-1</v>
      </c>
      <c r="F138" s="65">
        <f>E138+(N138-E138)/9</f>
        <v>-1</v>
      </c>
      <c r="G138" s="65">
        <f>F138+(N138-F138)/8</f>
        <v>-1</v>
      </c>
      <c r="H138" s="65">
        <f>G138+(N138-G138)/7</f>
        <v>-1</v>
      </c>
      <c r="I138" s="65">
        <f>H138+(N138-H138)/6</f>
        <v>-1</v>
      </c>
      <c r="J138" s="65">
        <f>I138+(N138-I138)/5</f>
        <v>-1</v>
      </c>
      <c r="K138" s="65">
        <f>J138+(N138-J138)/4</f>
        <v>-1</v>
      </c>
      <c r="L138" s="65">
        <f>K138+(N138-K138)/3</f>
        <v>-1</v>
      </c>
      <c r="M138" s="65">
        <f>L138+(N138-L138)/2</f>
        <v>-1</v>
      </c>
      <c r="N138" s="66">
        <f>IF(DIAG!H247,$J$27,-1)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143</v>
      </c>
      <c r="E140" s="59">
        <f>IF(DIAG!H248,$GL$55,-1)</f>
        <v>-1</v>
      </c>
      <c r="F140" s="60">
        <f>E140+(N140-E140)/9</f>
        <v>-1</v>
      </c>
      <c r="G140" s="60">
        <f>F140+(N140-F140)/8</f>
        <v>-1</v>
      </c>
      <c r="H140" s="60">
        <f>G140+(N140-G140)/7</f>
        <v>-1</v>
      </c>
      <c r="I140" s="60">
        <f>H140+(N140-H140)/6</f>
        <v>-1</v>
      </c>
      <c r="J140" s="60">
        <f>I140+(N140-I140)/5</f>
        <v>-1</v>
      </c>
      <c r="K140" s="60">
        <f>J140+(N140-J140)/4</f>
        <v>-1</v>
      </c>
      <c r="L140" s="60">
        <f>K140+(N140-K140)/3</f>
        <v>-1</v>
      </c>
      <c r="M140" s="60">
        <f>L140+(N140-L140)/2</f>
        <v>-1</v>
      </c>
      <c r="N140" s="61">
        <f>IF(DIAG!H248,$K$26,-1)</f>
        <v>-1</v>
      </c>
    </row>
    <row r="141" spans="3:14" x14ac:dyDescent="0.2">
      <c r="E141" s="64">
        <f>IF(DIAG!H248,$GL$56,-1)</f>
        <v>-1</v>
      </c>
      <c r="F141" s="65">
        <f>E141+(N141-E141)/9</f>
        <v>-1</v>
      </c>
      <c r="G141" s="65">
        <f>F141+(N141-F141)/8</f>
        <v>-1</v>
      </c>
      <c r="H141" s="65">
        <f>G141+(N141-G141)/7</f>
        <v>-1</v>
      </c>
      <c r="I141" s="65">
        <f>H141+(N141-H141)/6</f>
        <v>-1</v>
      </c>
      <c r="J141" s="65">
        <f>I141+(N141-I141)/5</f>
        <v>-1</v>
      </c>
      <c r="K141" s="65">
        <f>J141+(N141-J141)/4</f>
        <v>-1</v>
      </c>
      <c r="L141" s="65">
        <f>K141+(N141-K141)/3</f>
        <v>-1</v>
      </c>
      <c r="M141" s="65">
        <f>L141+(N141-L141)/2</f>
        <v>-1</v>
      </c>
      <c r="N141" s="66">
        <f>IF(DIAG!H248,$K$27,-1)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144</v>
      </c>
      <c r="E143" s="59">
        <f>IF(DIAG!H249,$GL$55,-1)</f>
        <v>-1</v>
      </c>
      <c r="F143" s="60">
        <f>E143+(N143-E143)/9</f>
        <v>-1</v>
      </c>
      <c r="G143" s="60">
        <f>F143+(N143-F143)/8</f>
        <v>-1</v>
      </c>
      <c r="H143" s="60">
        <f>G143+(N143-G143)/7</f>
        <v>-1</v>
      </c>
      <c r="I143" s="60">
        <f>H143+(N143-H143)/6</f>
        <v>-1</v>
      </c>
      <c r="J143" s="60">
        <f>I143+(N143-I143)/5</f>
        <v>-1</v>
      </c>
      <c r="K143" s="60">
        <f>J143+(N143-J143)/4</f>
        <v>-1</v>
      </c>
      <c r="L143" s="60">
        <f>K143+(N143-K143)/3</f>
        <v>-1</v>
      </c>
      <c r="M143" s="60">
        <f>L143+(N143-L143)/2</f>
        <v>-1</v>
      </c>
      <c r="N143" s="61">
        <f>IF(DIAG!H249,$L$26,-1)</f>
        <v>-1</v>
      </c>
    </row>
    <row r="144" spans="3:14" x14ac:dyDescent="0.2">
      <c r="E144" s="64">
        <f>IF(DIAG!H249,$GL$56,-1)</f>
        <v>-1</v>
      </c>
      <c r="F144" s="65">
        <f>E144+(N144-E144)/9</f>
        <v>-1</v>
      </c>
      <c r="G144" s="65">
        <f>F144+(N144-F144)/8</f>
        <v>-1</v>
      </c>
      <c r="H144" s="65">
        <f>G144+(N144-G144)/7</f>
        <v>-1</v>
      </c>
      <c r="I144" s="65">
        <f>H144+(N144-H144)/6</f>
        <v>-1</v>
      </c>
      <c r="J144" s="65">
        <f>I144+(N144-I144)/5</f>
        <v>-1</v>
      </c>
      <c r="K144" s="65">
        <f>J144+(N144-J144)/4</f>
        <v>-1</v>
      </c>
      <c r="L144" s="65">
        <f>K144+(N144-K144)/3</f>
        <v>-1</v>
      </c>
      <c r="M144" s="65">
        <f>L144+(N144-L144)/2</f>
        <v>-1</v>
      </c>
      <c r="N144" s="66">
        <f>IF(DIAG!H249,$L$27,-1)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145</v>
      </c>
      <c r="E146" s="59">
        <f>IF(DIAG!H250,$GL$55,-1)</f>
        <v>-1</v>
      </c>
      <c r="F146" s="60">
        <f>E146+(N146-E146)/9</f>
        <v>-1</v>
      </c>
      <c r="G146" s="60">
        <f>F146+(N146-F146)/8</f>
        <v>-1</v>
      </c>
      <c r="H146" s="60">
        <f>G146+(N146-G146)/7</f>
        <v>-1</v>
      </c>
      <c r="I146" s="60">
        <f>H146+(N146-H146)/6</f>
        <v>-1</v>
      </c>
      <c r="J146" s="60">
        <f>I146+(N146-I146)/5</f>
        <v>-1</v>
      </c>
      <c r="K146" s="60">
        <f>J146+(N146-J146)/4</f>
        <v>-1</v>
      </c>
      <c r="L146" s="60">
        <f>K146+(N146-K146)/3</f>
        <v>-1</v>
      </c>
      <c r="M146" s="60">
        <f>L146+(N146-L146)/2</f>
        <v>-1</v>
      </c>
      <c r="N146" s="61">
        <f>IF(DIAG!H250,$M$26,-1)</f>
        <v>-1</v>
      </c>
    </row>
    <row r="147" spans="3:14" x14ac:dyDescent="0.2">
      <c r="E147" s="64">
        <f>IF(DIAG!H250,$GL$56,-1)</f>
        <v>-1</v>
      </c>
      <c r="F147" s="65">
        <f>E147+(N147-E147)/9</f>
        <v>-1</v>
      </c>
      <c r="G147" s="65">
        <f>F147+(N147-F147)/8</f>
        <v>-1</v>
      </c>
      <c r="H147" s="65">
        <f>G147+(N147-G147)/7</f>
        <v>-1</v>
      </c>
      <c r="I147" s="65">
        <f>H147+(N147-H147)/6</f>
        <v>-1</v>
      </c>
      <c r="J147" s="65">
        <f>I147+(N147-I147)/5</f>
        <v>-1</v>
      </c>
      <c r="K147" s="65">
        <f>J147+(N147-J147)/4</f>
        <v>-1</v>
      </c>
      <c r="L147" s="65">
        <f>K147+(N147-K147)/3</f>
        <v>-1</v>
      </c>
      <c r="M147" s="65">
        <f>L147+(N147-L147)/2</f>
        <v>-1</v>
      </c>
      <c r="N147" s="66">
        <f>IF(DIAG!H250,$M$27,-1)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146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147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148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149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150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151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152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153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154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155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156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157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158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159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160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161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162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163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164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165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166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167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168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169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170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171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172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173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174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175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176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177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178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179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180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181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182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183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184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185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186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187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188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189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190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191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192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193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194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195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196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197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198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199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200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201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202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203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204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205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206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207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208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209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210</v>
      </c>
      <c r="E341" s="59">
        <f>IF(DIAG!H315,$GL$55,-1)</f>
        <v>-1</v>
      </c>
      <c r="F341" s="60">
        <f t="shared" ref="F341:F342" si="154">E341+(N341-E341)/9</f>
        <v>-1</v>
      </c>
      <c r="G341" s="60">
        <f t="shared" ref="G341:G342" si="155">F341+(N341-F341)/8</f>
        <v>-1</v>
      </c>
      <c r="H341" s="60">
        <f t="shared" ref="H341:H342" si="156">G341+(N341-G341)/7</f>
        <v>-1</v>
      </c>
      <c r="I341" s="60">
        <f t="shared" ref="I341:I342" si="157">H341+(N341-H341)/6</f>
        <v>-1</v>
      </c>
      <c r="J341" s="60">
        <f t="shared" ref="J341:J342" si="158">I341+(N341-I341)/5</f>
        <v>-1</v>
      </c>
      <c r="K341" s="60">
        <f t="shared" ref="K341:K342" si="159">J341+(N341-J341)/4</f>
        <v>-1</v>
      </c>
      <c r="L341" s="60">
        <f t="shared" ref="L341:L342" si="160">K341+(N341-K341)/3</f>
        <v>-1</v>
      </c>
      <c r="M341" s="60">
        <f t="shared" ref="M341:M342" si="161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154"/>
        <v>-1</v>
      </c>
      <c r="G342" s="65">
        <f t="shared" si="155"/>
        <v>-1</v>
      </c>
      <c r="H342" s="65">
        <f t="shared" si="156"/>
        <v>-1</v>
      </c>
      <c r="I342" s="65">
        <f t="shared" si="157"/>
        <v>-1</v>
      </c>
      <c r="J342" s="65">
        <f t="shared" si="158"/>
        <v>-1</v>
      </c>
      <c r="K342" s="65">
        <f t="shared" si="159"/>
        <v>-1</v>
      </c>
      <c r="L342" s="65">
        <f t="shared" si="160"/>
        <v>-1</v>
      </c>
      <c r="M342" s="65">
        <f t="shared" si="161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211</v>
      </c>
      <c r="E344" s="59">
        <f>IF(DIAG!H316,$GL$55,-1)</f>
        <v>-1</v>
      </c>
      <c r="F344" s="60">
        <f t="shared" ref="F344:F345" si="162">E344+(N344-E344)/9</f>
        <v>-1</v>
      </c>
      <c r="G344" s="60">
        <f t="shared" ref="G344:G345" si="163">F344+(N344-F344)/8</f>
        <v>-1</v>
      </c>
      <c r="H344" s="60">
        <f t="shared" ref="H344:H345" si="164">G344+(N344-G344)/7</f>
        <v>-1</v>
      </c>
      <c r="I344" s="60">
        <f t="shared" ref="I344:I345" si="165">H344+(N344-H344)/6</f>
        <v>-1</v>
      </c>
      <c r="J344" s="60">
        <f t="shared" ref="J344:J345" si="166">I344+(N344-I344)/5</f>
        <v>-1</v>
      </c>
      <c r="K344" s="60">
        <f t="shared" ref="K344:K345" si="167">J344+(N344-J344)/4</f>
        <v>-1</v>
      </c>
      <c r="L344" s="60">
        <f t="shared" ref="L344:L345" si="168">K344+(N344-K344)/3</f>
        <v>-1</v>
      </c>
      <c r="M344" s="60">
        <f t="shared" ref="M344:M345" si="169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162"/>
        <v>-1</v>
      </c>
      <c r="G345" s="65">
        <f t="shared" si="163"/>
        <v>-1</v>
      </c>
      <c r="H345" s="65">
        <f t="shared" si="164"/>
        <v>-1</v>
      </c>
      <c r="I345" s="65">
        <f t="shared" si="165"/>
        <v>-1</v>
      </c>
      <c r="J345" s="65">
        <f t="shared" si="166"/>
        <v>-1</v>
      </c>
      <c r="K345" s="65">
        <f t="shared" si="167"/>
        <v>-1</v>
      </c>
      <c r="L345" s="65">
        <f t="shared" si="168"/>
        <v>-1</v>
      </c>
      <c r="M345" s="65">
        <f t="shared" si="169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212</v>
      </c>
      <c r="E347" s="59">
        <f>IF(DIAG!H317,$GL$55,-1)</f>
        <v>-1</v>
      </c>
      <c r="F347" s="60">
        <f t="shared" ref="F347:F348" si="170">E347+(N347-E347)/9</f>
        <v>-1</v>
      </c>
      <c r="G347" s="60">
        <f t="shared" ref="G347:G348" si="171">F347+(N347-F347)/8</f>
        <v>-1</v>
      </c>
      <c r="H347" s="60">
        <f t="shared" ref="H347:H348" si="172">G347+(N347-G347)/7</f>
        <v>-1</v>
      </c>
      <c r="I347" s="60">
        <f t="shared" ref="I347:I348" si="173">H347+(N347-H347)/6</f>
        <v>-1</v>
      </c>
      <c r="J347" s="60">
        <f t="shared" ref="J347:J348" si="174">I347+(N347-I347)/5</f>
        <v>-1</v>
      </c>
      <c r="K347" s="60">
        <f t="shared" ref="K347:K348" si="175">J347+(N347-J347)/4</f>
        <v>-1</v>
      </c>
      <c r="L347" s="60">
        <f t="shared" ref="L347:L348" si="176">K347+(N347-K347)/3</f>
        <v>-1</v>
      </c>
      <c r="M347" s="60">
        <f t="shared" ref="M347:M348" si="177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170"/>
        <v>-1</v>
      </c>
      <c r="G348" s="65">
        <f t="shared" si="171"/>
        <v>-1</v>
      </c>
      <c r="H348" s="65">
        <f t="shared" si="172"/>
        <v>-1</v>
      </c>
      <c r="I348" s="65">
        <f t="shared" si="173"/>
        <v>-1</v>
      </c>
      <c r="J348" s="65">
        <f t="shared" si="174"/>
        <v>-1</v>
      </c>
      <c r="K348" s="65">
        <f t="shared" si="175"/>
        <v>-1</v>
      </c>
      <c r="L348" s="65">
        <f t="shared" si="176"/>
        <v>-1</v>
      </c>
      <c r="M348" s="65">
        <f t="shared" si="177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213</v>
      </c>
      <c r="E350" s="59">
        <f>IF(DIAG!H318,$GL$55,-1)</f>
        <v>-1</v>
      </c>
      <c r="F350" s="60">
        <f t="shared" ref="F350:F351" si="178">E350+(N350-E350)/9</f>
        <v>-1</v>
      </c>
      <c r="G350" s="60">
        <f t="shared" ref="G350:G351" si="179">F350+(N350-F350)/8</f>
        <v>-1</v>
      </c>
      <c r="H350" s="60">
        <f t="shared" ref="H350:H351" si="180">G350+(N350-G350)/7</f>
        <v>-1</v>
      </c>
      <c r="I350" s="60">
        <f t="shared" ref="I350:I351" si="181">H350+(N350-H350)/6</f>
        <v>-1</v>
      </c>
      <c r="J350" s="60">
        <f t="shared" ref="J350:J351" si="182">I350+(N350-I350)/5</f>
        <v>-1</v>
      </c>
      <c r="K350" s="60">
        <f t="shared" ref="K350:K351" si="183">J350+(N350-J350)/4</f>
        <v>-1</v>
      </c>
      <c r="L350" s="60">
        <f t="shared" ref="L350:L351" si="184">K350+(N350-K350)/3</f>
        <v>-1</v>
      </c>
      <c r="M350" s="60">
        <f t="shared" ref="M350:M351" si="185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178"/>
        <v>-1</v>
      </c>
      <c r="G351" s="65">
        <f t="shared" si="179"/>
        <v>-1</v>
      </c>
      <c r="H351" s="65">
        <f t="shared" si="180"/>
        <v>-1</v>
      </c>
      <c r="I351" s="65">
        <f t="shared" si="181"/>
        <v>-1</v>
      </c>
      <c r="J351" s="65">
        <f t="shared" si="182"/>
        <v>-1</v>
      </c>
      <c r="K351" s="65">
        <f t="shared" si="183"/>
        <v>-1</v>
      </c>
      <c r="L351" s="65">
        <f t="shared" si="184"/>
        <v>-1</v>
      </c>
      <c r="M351" s="65">
        <f t="shared" si="185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214</v>
      </c>
      <c r="E353" s="59">
        <f>IF(DIAG!H319,$GL$55,-1)</f>
        <v>-1</v>
      </c>
      <c r="F353" s="60">
        <f t="shared" ref="F353:F354" si="186">E353+(N353-E353)/9</f>
        <v>-1</v>
      </c>
      <c r="G353" s="60">
        <f t="shared" ref="G353:G354" si="187">F353+(N353-F353)/8</f>
        <v>-1</v>
      </c>
      <c r="H353" s="60">
        <f t="shared" ref="H353:H354" si="188">G353+(N353-G353)/7</f>
        <v>-1</v>
      </c>
      <c r="I353" s="60">
        <f t="shared" ref="I353:I354" si="189">H353+(N353-H353)/6</f>
        <v>-1</v>
      </c>
      <c r="J353" s="60">
        <f t="shared" ref="J353:J354" si="190">I353+(N353-I353)/5</f>
        <v>-1</v>
      </c>
      <c r="K353" s="60">
        <f t="shared" ref="K353:K354" si="191">J353+(N353-J353)/4</f>
        <v>-1</v>
      </c>
      <c r="L353" s="60">
        <f t="shared" ref="L353:L354" si="192">K353+(N353-K353)/3</f>
        <v>-1</v>
      </c>
      <c r="M353" s="60">
        <f t="shared" ref="M353:M354" si="193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186"/>
        <v>-1</v>
      </c>
      <c r="G354" s="65">
        <f t="shared" si="187"/>
        <v>-1</v>
      </c>
      <c r="H354" s="65">
        <f t="shared" si="188"/>
        <v>-1</v>
      </c>
      <c r="I354" s="65">
        <f t="shared" si="189"/>
        <v>-1</v>
      </c>
      <c r="J354" s="65">
        <f t="shared" si="190"/>
        <v>-1</v>
      </c>
      <c r="K354" s="65">
        <f t="shared" si="191"/>
        <v>-1</v>
      </c>
      <c r="L354" s="65">
        <f t="shared" si="192"/>
        <v>-1</v>
      </c>
      <c r="M354" s="65">
        <f t="shared" si="193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215</v>
      </c>
      <c r="E356" s="59">
        <f>IF(DIAG!H320,$GL$55,-1)</f>
        <v>-1</v>
      </c>
      <c r="F356" s="60">
        <f t="shared" ref="F356:F357" si="194">E356+(N356-E356)/9</f>
        <v>-1</v>
      </c>
      <c r="G356" s="60">
        <f t="shared" ref="G356:G357" si="195">F356+(N356-F356)/8</f>
        <v>-1</v>
      </c>
      <c r="H356" s="60">
        <f t="shared" ref="H356:H357" si="196">G356+(N356-G356)/7</f>
        <v>-1</v>
      </c>
      <c r="I356" s="60">
        <f t="shared" ref="I356:I357" si="197">H356+(N356-H356)/6</f>
        <v>-1</v>
      </c>
      <c r="J356" s="60">
        <f t="shared" ref="J356:J357" si="198">I356+(N356-I356)/5</f>
        <v>-1</v>
      </c>
      <c r="K356" s="60">
        <f t="shared" ref="K356:K357" si="199">J356+(N356-J356)/4</f>
        <v>-1</v>
      </c>
      <c r="L356" s="60">
        <f t="shared" ref="L356:L357" si="200">K356+(N356-K356)/3</f>
        <v>-1</v>
      </c>
      <c r="M356" s="60">
        <f t="shared" ref="M356:M357" si="201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194"/>
        <v>-1</v>
      </c>
      <c r="G357" s="65">
        <f t="shared" si="195"/>
        <v>-1</v>
      </c>
      <c r="H357" s="65">
        <f t="shared" si="196"/>
        <v>-1</v>
      </c>
      <c r="I357" s="65">
        <f t="shared" si="197"/>
        <v>-1</v>
      </c>
      <c r="J357" s="65">
        <f t="shared" si="198"/>
        <v>-1</v>
      </c>
      <c r="K357" s="65">
        <f t="shared" si="199"/>
        <v>-1</v>
      </c>
      <c r="L357" s="65">
        <f t="shared" si="200"/>
        <v>-1</v>
      </c>
      <c r="M357" s="65">
        <f t="shared" si="201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216</v>
      </c>
      <c r="E359" s="59">
        <f>IF(DIAG!H321,$GL$55,-1)</f>
        <v>-1</v>
      </c>
      <c r="F359" s="60">
        <f t="shared" ref="F359:F360" si="202">E359+(N359-E359)/9</f>
        <v>-1</v>
      </c>
      <c r="G359" s="60">
        <f t="shared" ref="G359:G360" si="203">F359+(N359-F359)/8</f>
        <v>-1</v>
      </c>
      <c r="H359" s="60">
        <f t="shared" ref="H359:H360" si="204">G359+(N359-G359)/7</f>
        <v>-1</v>
      </c>
      <c r="I359" s="60">
        <f t="shared" ref="I359:I360" si="205">H359+(N359-H359)/6</f>
        <v>-1</v>
      </c>
      <c r="J359" s="60">
        <f t="shared" ref="J359:J360" si="206">I359+(N359-I359)/5</f>
        <v>-1</v>
      </c>
      <c r="K359" s="60">
        <f t="shared" ref="K359:K360" si="207">J359+(N359-J359)/4</f>
        <v>-1</v>
      </c>
      <c r="L359" s="60">
        <f t="shared" ref="L359:L360" si="208">K359+(N359-K359)/3</f>
        <v>-1</v>
      </c>
      <c r="M359" s="60">
        <f t="shared" ref="M359:M360" si="209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202"/>
        <v>-1</v>
      </c>
      <c r="G360" s="65">
        <f t="shared" si="203"/>
        <v>-1</v>
      </c>
      <c r="H360" s="65">
        <f t="shared" si="204"/>
        <v>-1</v>
      </c>
      <c r="I360" s="65">
        <f t="shared" si="205"/>
        <v>-1</v>
      </c>
      <c r="J360" s="65">
        <f t="shared" si="206"/>
        <v>-1</v>
      </c>
      <c r="K360" s="65">
        <f t="shared" si="207"/>
        <v>-1</v>
      </c>
      <c r="L360" s="65">
        <f t="shared" si="208"/>
        <v>-1</v>
      </c>
      <c r="M360" s="65">
        <f t="shared" si="209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217</v>
      </c>
      <c r="E362" s="59">
        <f>IF(DIAG!H322,$GL$55,-1)</f>
        <v>-1</v>
      </c>
      <c r="F362" s="60">
        <f t="shared" ref="F362:F363" si="210">E362+(N362-E362)/9</f>
        <v>-1</v>
      </c>
      <c r="G362" s="60">
        <f t="shared" ref="G362:G363" si="211">F362+(N362-F362)/8</f>
        <v>-1</v>
      </c>
      <c r="H362" s="60">
        <f t="shared" ref="H362:H363" si="212">G362+(N362-G362)/7</f>
        <v>-1</v>
      </c>
      <c r="I362" s="60">
        <f t="shared" ref="I362:I363" si="213">H362+(N362-H362)/6</f>
        <v>-1</v>
      </c>
      <c r="J362" s="60">
        <f t="shared" ref="J362:J363" si="214">I362+(N362-I362)/5</f>
        <v>-1</v>
      </c>
      <c r="K362" s="60">
        <f t="shared" ref="K362:K363" si="215">J362+(N362-J362)/4</f>
        <v>-1</v>
      </c>
      <c r="L362" s="60">
        <f t="shared" ref="L362:L363" si="216">K362+(N362-K362)/3</f>
        <v>-1</v>
      </c>
      <c r="M362" s="60">
        <f t="shared" ref="M362:M363" si="217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210"/>
        <v>-1</v>
      </c>
      <c r="G363" s="65">
        <f t="shared" si="211"/>
        <v>-1</v>
      </c>
      <c r="H363" s="65">
        <f t="shared" si="212"/>
        <v>-1</v>
      </c>
      <c r="I363" s="65">
        <f t="shared" si="213"/>
        <v>-1</v>
      </c>
      <c r="J363" s="65">
        <f t="shared" si="214"/>
        <v>-1</v>
      </c>
      <c r="K363" s="65">
        <f t="shared" si="215"/>
        <v>-1</v>
      </c>
      <c r="L363" s="65">
        <f t="shared" si="216"/>
        <v>-1</v>
      </c>
      <c r="M363" s="65">
        <f t="shared" si="217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218</v>
      </c>
      <c r="E365" s="59">
        <f>IF(DIAG!H323,$GL$55,-1)</f>
        <v>-1</v>
      </c>
      <c r="F365" s="60">
        <f t="shared" ref="F365:F366" si="218">E365+(N365-E365)/9</f>
        <v>-1</v>
      </c>
      <c r="G365" s="60">
        <f t="shared" ref="G365:G366" si="219">F365+(N365-F365)/8</f>
        <v>-1</v>
      </c>
      <c r="H365" s="60">
        <f t="shared" ref="H365:H366" si="220">G365+(N365-G365)/7</f>
        <v>-1</v>
      </c>
      <c r="I365" s="60">
        <f t="shared" ref="I365:I366" si="221">H365+(N365-H365)/6</f>
        <v>-1</v>
      </c>
      <c r="J365" s="60">
        <f t="shared" ref="J365:J366" si="222">I365+(N365-I365)/5</f>
        <v>-1</v>
      </c>
      <c r="K365" s="60">
        <f t="shared" ref="K365:K366" si="223">J365+(N365-J365)/4</f>
        <v>-1</v>
      </c>
      <c r="L365" s="60">
        <f t="shared" ref="L365:L366" si="224">K365+(N365-K365)/3</f>
        <v>-1</v>
      </c>
      <c r="M365" s="60">
        <f t="shared" ref="M365:M366" si="225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218"/>
        <v>-1</v>
      </c>
      <c r="G366" s="65">
        <f t="shared" si="219"/>
        <v>-1</v>
      </c>
      <c r="H366" s="65">
        <f t="shared" si="220"/>
        <v>-1</v>
      </c>
      <c r="I366" s="65">
        <f t="shared" si="221"/>
        <v>-1</v>
      </c>
      <c r="J366" s="65">
        <f t="shared" si="222"/>
        <v>-1</v>
      </c>
      <c r="K366" s="65">
        <f t="shared" si="223"/>
        <v>-1</v>
      </c>
      <c r="L366" s="65">
        <f t="shared" si="224"/>
        <v>-1</v>
      </c>
      <c r="M366" s="65">
        <f t="shared" si="225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219</v>
      </c>
      <c r="E368" s="59">
        <f>IF(DIAG!H324,$GL$55,-1)</f>
        <v>-1</v>
      </c>
      <c r="F368" s="60">
        <f t="shared" ref="F368:F369" si="226">E368+(N368-E368)/9</f>
        <v>-1</v>
      </c>
      <c r="G368" s="60">
        <f t="shared" ref="G368:G369" si="227">F368+(N368-F368)/8</f>
        <v>-1</v>
      </c>
      <c r="H368" s="60">
        <f t="shared" ref="H368:H369" si="228">G368+(N368-G368)/7</f>
        <v>-1</v>
      </c>
      <c r="I368" s="60">
        <f t="shared" ref="I368:I369" si="229">H368+(N368-H368)/6</f>
        <v>-1</v>
      </c>
      <c r="J368" s="60">
        <f t="shared" ref="J368:J369" si="230">I368+(N368-I368)/5</f>
        <v>-1</v>
      </c>
      <c r="K368" s="60">
        <f t="shared" ref="K368:K369" si="231">J368+(N368-J368)/4</f>
        <v>-1</v>
      </c>
      <c r="L368" s="60">
        <f t="shared" ref="L368:L369" si="232">K368+(N368-K368)/3</f>
        <v>-1</v>
      </c>
      <c r="M368" s="60">
        <f t="shared" ref="M368:M369" si="233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226"/>
        <v>-1</v>
      </c>
      <c r="G369" s="65">
        <f t="shared" si="227"/>
        <v>-1</v>
      </c>
      <c r="H369" s="65">
        <f t="shared" si="228"/>
        <v>-1</v>
      </c>
      <c r="I369" s="65">
        <f t="shared" si="229"/>
        <v>-1</v>
      </c>
      <c r="J369" s="65">
        <f t="shared" si="230"/>
        <v>-1</v>
      </c>
      <c r="K369" s="65">
        <f t="shared" si="231"/>
        <v>-1</v>
      </c>
      <c r="L369" s="65">
        <f t="shared" si="232"/>
        <v>-1</v>
      </c>
      <c r="M369" s="65">
        <f t="shared" si="233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220</v>
      </c>
      <c r="E371" s="59">
        <f>IF(DIAG!H325,$GL$55,-1)</f>
        <v>-1</v>
      </c>
      <c r="F371" s="60">
        <f t="shared" ref="F371:F372" si="234">E371+(N371-E371)/9</f>
        <v>-1</v>
      </c>
      <c r="G371" s="60">
        <f t="shared" ref="G371:G372" si="235">F371+(N371-F371)/8</f>
        <v>-1</v>
      </c>
      <c r="H371" s="60">
        <f t="shared" ref="H371:H372" si="236">G371+(N371-G371)/7</f>
        <v>-1</v>
      </c>
      <c r="I371" s="60">
        <f t="shared" ref="I371:I372" si="237">H371+(N371-H371)/6</f>
        <v>-1</v>
      </c>
      <c r="J371" s="60">
        <f t="shared" ref="J371:J372" si="238">I371+(N371-I371)/5</f>
        <v>-1</v>
      </c>
      <c r="K371" s="60">
        <f t="shared" ref="K371:K372" si="239">J371+(N371-J371)/4</f>
        <v>-1</v>
      </c>
      <c r="L371" s="60">
        <f t="shared" ref="L371:L372" si="240">K371+(N371-K371)/3</f>
        <v>-1</v>
      </c>
      <c r="M371" s="60">
        <f t="shared" ref="M371:M372" si="241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234"/>
        <v>-1</v>
      </c>
      <c r="G372" s="65">
        <f t="shared" si="235"/>
        <v>-1</v>
      </c>
      <c r="H372" s="65">
        <f t="shared" si="236"/>
        <v>-1</v>
      </c>
      <c r="I372" s="65">
        <f t="shared" si="237"/>
        <v>-1</v>
      </c>
      <c r="J372" s="65">
        <f t="shared" si="238"/>
        <v>-1</v>
      </c>
      <c r="K372" s="65">
        <f t="shared" si="239"/>
        <v>-1</v>
      </c>
      <c r="L372" s="65">
        <f t="shared" si="240"/>
        <v>-1</v>
      </c>
      <c r="M372" s="65">
        <f t="shared" si="241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221</v>
      </c>
      <c r="E374" s="59">
        <f>IF(DIAG!H326,$GL$55,-1)</f>
        <v>-1</v>
      </c>
      <c r="F374" s="60">
        <f t="shared" ref="F374:F375" si="242">E374+(N374-E374)/9</f>
        <v>-1</v>
      </c>
      <c r="G374" s="60">
        <f t="shared" ref="G374:G375" si="243">F374+(N374-F374)/8</f>
        <v>-1</v>
      </c>
      <c r="H374" s="60">
        <f t="shared" ref="H374:H375" si="244">G374+(N374-G374)/7</f>
        <v>-1</v>
      </c>
      <c r="I374" s="60">
        <f t="shared" ref="I374:I375" si="245">H374+(N374-H374)/6</f>
        <v>-1</v>
      </c>
      <c r="J374" s="60">
        <f t="shared" ref="J374:J375" si="246">I374+(N374-I374)/5</f>
        <v>-1</v>
      </c>
      <c r="K374" s="60">
        <f t="shared" ref="K374:K375" si="247">J374+(N374-J374)/4</f>
        <v>-1</v>
      </c>
      <c r="L374" s="60">
        <f t="shared" ref="L374:L375" si="248">K374+(N374-K374)/3</f>
        <v>-1</v>
      </c>
      <c r="M374" s="60">
        <f t="shared" ref="M374:M375" si="249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242"/>
        <v>-1</v>
      </c>
      <c r="G375" s="65">
        <f t="shared" si="243"/>
        <v>-1</v>
      </c>
      <c r="H375" s="65">
        <f t="shared" si="244"/>
        <v>-1</v>
      </c>
      <c r="I375" s="65">
        <f t="shared" si="245"/>
        <v>-1</v>
      </c>
      <c r="J375" s="65">
        <f t="shared" si="246"/>
        <v>-1</v>
      </c>
      <c r="K375" s="65">
        <f t="shared" si="247"/>
        <v>-1</v>
      </c>
      <c r="L375" s="65">
        <f t="shared" si="248"/>
        <v>-1</v>
      </c>
      <c r="M375" s="65">
        <f t="shared" si="249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222</v>
      </c>
      <c r="E377" s="59">
        <f>IF(DIAG!H327,$GL$55,-1)</f>
        <v>-1</v>
      </c>
      <c r="F377" s="60">
        <f t="shared" ref="F377:F378" si="250">E377+(N377-E377)/9</f>
        <v>-1</v>
      </c>
      <c r="G377" s="60">
        <f t="shared" ref="G377:G378" si="251">F377+(N377-F377)/8</f>
        <v>-1</v>
      </c>
      <c r="H377" s="60">
        <f t="shared" ref="H377:H378" si="252">G377+(N377-G377)/7</f>
        <v>-1</v>
      </c>
      <c r="I377" s="60">
        <f t="shared" ref="I377:I378" si="253">H377+(N377-H377)/6</f>
        <v>-1</v>
      </c>
      <c r="J377" s="60">
        <f t="shared" ref="J377:J378" si="254">I377+(N377-I377)/5</f>
        <v>-1</v>
      </c>
      <c r="K377" s="60">
        <f t="shared" ref="K377:K378" si="255">J377+(N377-J377)/4</f>
        <v>-1</v>
      </c>
      <c r="L377" s="60">
        <f t="shared" ref="L377:L378" si="256">K377+(N377-K377)/3</f>
        <v>-1</v>
      </c>
      <c r="M377" s="60">
        <f t="shared" ref="M377:M378" si="257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250"/>
        <v>-1</v>
      </c>
      <c r="G378" s="65">
        <f t="shared" si="251"/>
        <v>-1</v>
      </c>
      <c r="H378" s="65">
        <f t="shared" si="252"/>
        <v>-1</v>
      </c>
      <c r="I378" s="65">
        <f t="shared" si="253"/>
        <v>-1</v>
      </c>
      <c r="J378" s="65">
        <f t="shared" si="254"/>
        <v>-1</v>
      </c>
      <c r="K378" s="65">
        <f t="shared" si="255"/>
        <v>-1</v>
      </c>
      <c r="L378" s="65">
        <f t="shared" si="256"/>
        <v>-1</v>
      </c>
      <c r="M378" s="65">
        <f t="shared" si="257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223</v>
      </c>
      <c r="E380" s="59">
        <f>IF(DIAG!H328,$GL$55,-1)</f>
        <v>-1</v>
      </c>
      <c r="F380" s="60">
        <f t="shared" ref="F380:F381" si="258">E380+(N380-E380)/9</f>
        <v>-1</v>
      </c>
      <c r="G380" s="60">
        <f t="shared" ref="G380:G381" si="259">F380+(N380-F380)/8</f>
        <v>-1</v>
      </c>
      <c r="H380" s="60">
        <f t="shared" ref="H380:H381" si="260">G380+(N380-G380)/7</f>
        <v>-1</v>
      </c>
      <c r="I380" s="60">
        <f t="shared" ref="I380:I381" si="261">H380+(N380-H380)/6</f>
        <v>-1</v>
      </c>
      <c r="J380" s="60">
        <f t="shared" ref="J380:J381" si="262">I380+(N380-I380)/5</f>
        <v>-1</v>
      </c>
      <c r="K380" s="60">
        <f t="shared" ref="K380:K381" si="263">J380+(N380-J380)/4</f>
        <v>-1</v>
      </c>
      <c r="L380" s="60">
        <f t="shared" ref="L380:L381" si="264">K380+(N380-K380)/3</f>
        <v>-1</v>
      </c>
      <c r="M380" s="60">
        <f t="shared" ref="M380:M381" si="265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258"/>
        <v>-1</v>
      </c>
      <c r="G381" s="65">
        <f t="shared" si="259"/>
        <v>-1</v>
      </c>
      <c r="H381" s="65">
        <f t="shared" si="260"/>
        <v>-1</v>
      </c>
      <c r="I381" s="65">
        <f t="shared" si="261"/>
        <v>-1</v>
      </c>
      <c r="J381" s="65">
        <f t="shared" si="262"/>
        <v>-1</v>
      </c>
      <c r="K381" s="65">
        <f t="shared" si="263"/>
        <v>-1</v>
      </c>
      <c r="L381" s="65">
        <f t="shared" si="264"/>
        <v>-1</v>
      </c>
      <c r="M381" s="65">
        <f t="shared" si="265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224</v>
      </c>
      <c r="E383" s="59">
        <f>IF(DIAG!H329,$GL$55,-1)</f>
        <v>-1</v>
      </c>
      <c r="F383" s="60">
        <f t="shared" ref="F383:F384" si="266">E383+(N383-E383)/9</f>
        <v>-1</v>
      </c>
      <c r="G383" s="60">
        <f t="shared" ref="G383:G384" si="267">F383+(N383-F383)/8</f>
        <v>-1</v>
      </c>
      <c r="H383" s="60">
        <f t="shared" ref="H383:H384" si="268">G383+(N383-G383)/7</f>
        <v>-1</v>
      </c>
      <c r="I383" s="60">
        <f t="shared" ref="I383:I384" si="269">H383+(N383-H383)/6</f>
        <v>-1</v>
      </c>
      <c r="J383" s="60">
        <f t="shared" ref="J383:J384" si="270">I383+(N383-I383)/5</f>
        <v>-1</v>
      </c>
      <c r="K383" s="60">
        <f t="shared" ref="K383:K384" si="271">J383+(N383-J383)/4</f>
        <v>-1</v>
      </c>
      <c r="L383" s="60">
        <f t="shared" ref="L383:L384" si="272">K383+(N383-K383)/3</f>
        <v>-1</v>
      </c>
      <c r="M383" s="60">
        <f t="shared" ref="M383:M384" si="273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266"/>
        <v>-1</v>
      </c>
      <c r="G384" s="65">
        <f t="shared" si="267"/>
        <v>-1</v>
      </c>
      <c r="H384" s="65">
        <f t="shared" si="268"/>
        <v>-1</v>
      </c>
      <c r="I384" s="65">
        <f t="shared" si="269"/>
        <v>-1</v>
      </c>
      <c r="J384" s="65">
        <f t="shared" si="270"/>
        <v>-1</v>
      </c>
      <c r="K384" s="65">
        <f t="shared" si="271"/>
        <v>-1</v>
      </c>
      <c r="L384" s="65">
        <f t="shared" si="272"/>
        <v>-1</v>
      </c>
      <c r="M384" s="65">
        <f t="shared" si="273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225</v>
      </c>
      <c r="E386" s="59">
        <f>IF(DIAG!H330,$GL$55,-1)</f>
        <v>-1</v>
      </c>
      <c r="F386" s="60">
        <f t="shared" ref="F386:F387" si="274">E386+(N386-E386)/9</f>
        <v>-1</v>
      </c>
      <c r="G386" s="60">
        <f t="shared" ref="G386:G387" si="275">F386+(N386-F386)/8</f>
        <v>-1</v>
      </c>
      <c r="H386" s="60">
        <f t="shared" ref="H386:H387" si="276">G386+(N386-G386)/7</f>
        <v>-1</v>
      </c>
      <c r="I386" s="60">
        <f t="shared" ref="I386:I387" si="277">H386+(N386-H386)/6</f>
        <v>-1</v>
      </c>
      <c r="J386" s="60">
        <f t="shared" ref="J386:J387" si="278">I386+(N386-I386)/5</f>
        <v>-1</v>
      </c>
      <c r="K386" s="60">
        <f t="shared" ref="K386:K387" si="279">J386+(N386-J386)/4</f>
        <v>-1</v>
      </c>
      <c r="L386" s="60">
        <f t="shared" ref="L386:L387" si="280">K386+(N386-K386)/3</f>
        <v>-1</v>
      </c>
      <c r="M386" s="60">
        <f t="shared" ref="M386:M387" si="281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274"/>
        <v>-1</v>
      </c>
      <c r="G387" s="65">
        <f t="shared" si="275"/>
        <v>-1</v>
      </c>
      <c r="H387" s="65">
        <f t="shared" si="276"/>
        <v>-1</v>
      </c>
      <c r="I387" s="65">
        <f t="shared" si="277"/>
        <v>-1</v>
      </c>
      <c r="J387" s="65">
        <f t="shared" si="278"/>
        <v>-1</v>
      </c>
      <c r="K387" s="65">
        <f t="shared" si="279"/>
        <v>-1</v>
      </c>
      <c r="L387" s="65">
        <f t="shared" si="280"/>
        <v>-1</v>
      </c>
      <c r="M387" s="65">
        <f t="shared" si="281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226</v>
      </c>
      <c r="E389" s="59">
        <f>IF(DIAG!H331,$GL$55,-1)</f>
        <v>-1</v>
      </c>
      <c r="F389" s="60">
        <f t="shared" ref="F389:F390" si="282">E389+(N389-E389)/9</f>
        <v>-1</v>
      </c>
      <c r="G389" s="60">
        <f t="shared" ref="G389:G390" si="283">F389+(N389-F389)/8</f>
        <v>-1</v>
      </c>
      <c r="H389" s="60">
        <f t="shared" ref="H389:H390" si="284">G389+(N389-G389)/7</f>
        <v>-1</v>
      </c>
      <c r="I389" s="60">
        <f t="shared" ref="I389:I390" si="285">H389+(N389-H389)/6</f>
        <v>-1</v>
      </c>
      <c r="J389" s="60">
        <f t="shared" ref="J389:J390" si="286">I389+(N389-I389)/5</f>
        <v>-1</v>
      </c>
      <c r="K389" s="60">
        <f t="shared" ref="K389:K390" si="287">J389+(N389-J389)/4</f>
        <v>-1</v>
      </c>
      <c r="L389" s="60">
        <f t="shared" ref="L389:L390" si="288">K389+(N389-K389)/3</f>
        <v>-1</v>
      </c>
      <c r="M389" s="60">
        <f t="shared" ref="M389:M390" si="289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282"/>
        <v>-1</v>
      </c>
      <c r="G390" s="65">
        <f t="shared" si="283"/>
        <v>-1</v>
      </c>
      <c r="H390" s="65">
        <f t="shared" si="284"/>
        <v>-1</v>
      </c>
      <c r="I390" s="65">
        <f t="shared" si="285"/>
        <v>-1</v>
      </c>
      <c r="J390" s="65">
        <f t="shared" si="286"/>
        <v>-1</v>
      </c>
      <c r="K390" s="65">
        <f t="shared" si="287"/>
        <v>-1</v>
      </c>
      <c r="L390" s="65">
        <f t="shared" si="288"/>
        <v>-1</v>
      </c>
      <c r="M390" s="65">
        <f t="shared" si="289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227</v>
      </c>
      <c r="E392" s="59">
        <f>IF(DIAG!H332,$GL$55,-1)</f>
        <v>-1</v>
      </c>
      <c r="F392" s="60">
        <f t="shared" ref="F392:F393" si="290">E392+(N392-E392)/9</f>
        <v>-1</v>
      </c>
      <c r="G392" s="60">
        <f t="shared" ref="G392:G393" si="291">F392+(N392-F392)/8</f>
        <v>-1</v>
      </c>
      <c r="H392" s="60">
        <f t="shared" ref="H392:H393" si="292">G392+(N392-G392)/7</f>
        <v>-1</v>
      </c>
      <c r="I392" s="60">
        <f t="shared" ref="I392:I393" si="293">H392+(N392-H392)/6</f>
        <v>-1</v>
      </c>
      <c r="J392" s="60">
        <f t="shared" ref="J392:J393" si="294">I392+(N392-I392)/5</f>
        <v>-1</v>
      </c>
      <c r="K392" s="60">
        <f t="shared" ref="K392:K393" si="295">J392+(N392-J392)/4</f>
        <v>-1</v>
      </c>
      <c r="L392" s="60">
        <f t="shared" ref="L392:L393" si="296">K392+(N392-K392)/3</f>
        <v>-1</v>
      </c>
      <c r="M392" s="60">
        <f t="shared" ref="M392:M393" si="297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290"/>
        <v>-1</v>
      </c>
      <c r="G393" s="65">
        <f t="shared" si="291"/>
        <v>-1</v>
      </c>
      <c r="H393" s="65">
        <f t="shared" si="292"/>
        <v>-1</v>
      </c>
      <c r="I393" s="65">
        <f t="shared" si="293"/>
        <v>-1</v>
      </c>
      <c r="J393" s="65">
        <f t="shared" si="294"/>
        <v>-1</v>
      </c>
      <c r="K393" s="65">
        <f t="shared" si="295"/>
        <v>-1</v>
      </c>
      <c r="L393" s="65">
        <f t="shared" si="296"/>
        <v>-1</v>
      </c>
      <c r="M393" s="65">
        <f t="shared" si="297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228</v>
      </c>
      <c r="E395" s="59">
        <f>IF(DIAG!H333,$GL$55,-1)</f>
        <v>-1</v>
      </c>
      <c r="F395" s="60">
        <f t="shared" ref="F395:F396" si="298">E395+(N395-E395)/9</f>
        <v>-1</v>
      </c>
      <c r="G395" s="60">
        <f t="shared" ref="G395:G396" si="299">F395+(N395-F395)/8</f>
        <v>-1</v>
      </c>
      <c r="H395" s="60">
        <f t="shared" ref="H395:H396" si="300">G395+(N395-G395)/7</f>
        <v>-1</v>
      </c>
      <c r="I395" s="60">
        <f t="shared" ref="I395:I396" si="301">H395+(N395-H395)/6</f>
        <v>-1</v>
      </c>
      <c r="J395" s="60">
        <f t="shared" ref="J395:J396" si="302">I395+(N395-I395)/5</f>
        <v>-1</v>
      </c>
      <c r="K395" s="60">
        <f t="shared" ref="K395:K396" si="303">J395+(N395-J395)/4</f>
        <v>-1</v>
      </c>
      <c r="L395" s="60">
        <f t="shared" ref="L395:L396" si="304">K395+(N395-K395)/3</f>
        <v>-1</v>
      </c>
      <c r="M395" s="60">
        <f t="shared" ref="M395:M396" si="305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298"/>
        <v>-1</v>
      </c>
      <c r="G396" s="65">
        <f t="shared" si="299"/>
        <v>-1</v>
      </c>
      <c r="H396" s="65">
        <f t="shared" si="300"/>
        <v>-1</v>
      </c>
      <c r="I396" s="65">
        <f t="shared" si="301"/>
        <v>-1</v>
      </c>
      <c r="J396" s="65">
        <f t="shared" si="302"/>
        <v>-1</v>
      </c>
      <c r="K396" s="65">
        <f t="shared" si="303"/>
        <v>-1</v>
      </c>
      <c r="L396" s="65">
        <f t="shared" si="304"/>
        <v>-1</v>
      </c>
      <c r="M396" s="65">
        <f t="shared" si="305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229</v>
      </c>
      <c r="E398" s="59">
        <f>IF(DIAG!H334,$GL$55,-1)</f>
        <v>-1</v>
      </c>
      <c r="F398" s="60">
        <f t="shared" ref="F398:F399" si="306">E398+(N398-E398)/9</f>
        <v>-1</v>
      </c>
      <c r="G398" s="60">
        <f t="shared" ref="G398:G399" si="307">F398+(N398-F398)/8</f>
        <v>-1</v>
      </c>
      <c r="H398" s="60">
        <f t="shared" ref="H398:H399" si="308">G398+(N398-G398)/7</f>
        <v>-1</v>
      </c>
      <c r="I398" s="60">
        <f t="shared" ref="I398:I399" si="309">H398+(N398-H398)/6</f>
        <v>-1</v>
      </c>
      <c r="J398" s="60">
        <f t="shared" ref="J398:J399" si="310">I398+(N398-I398)/5</f>
        <v>-1</v>
      </c>
      <c r="K398" s="60">
        <f t="shared" ref="K398:K399" si="311">J398+(N398-J398)/4</f>
        <v>-1</v>
      </c>
      <c r="L398" s="60">
        <f t="shared" ref="L398:L399" si="312">K398+(N398-K398)/3</f>
        <v>-1</v>
      </c>
      <c r="M398" s="60">
        <f t="shared" ref="M398:M399" si="313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306"/>
        <v>-1</v>
      </c>
      <c r="G399" s="65">
        <f t="shared" si="307"/>
        <v>-1</v>
      </c>
      <c r="H399" s="65">
        <f t="shared" si="308"/>
        <v>-1</v>
      </c>
      <c r="I399" s="65">
        <f t="shared" si="309"/>
        <v>-1</v>
      </c>
      <c r="J399" s="65">
        <f t="shared" si="310"/>
        <v>-1</v>
      </c>
      <c r="K399" s="65">
        <f t="shared" si="311"/>
        <v>-1</v>
      </c>
      <c r="L399" s="65">
        <f t="shared" si="312"/>
        <v>-1</v>
      </c>
      <c r="M399" s="65">
        <f t="shared" si="313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230</v>
      </c>
      <c r="E401" s="59">
        <f>IF(DIAG!H335,$GL$55,-1)</f>
        <v>-1</v>
      </c>
      <c r="F401" s="60">
        <f t="shared" ref="F401:F402" si="314">E401+(N401-E401)/9</f>
        <v>-1</v>
      </c>
      <c r="G401" s="60">
        <f t="shared" ref="G401:G402" si="315">F401+(N401-F401)/8</f>
        <v>-1</v>
      </c>
      <c r="H401" s="60">
        <f t="shared" ref="H401:H402" si="316">G401+(N401-G401)/7</f>
        <v>-1</v>
      </c>
      <c r="I401" s="60">
        <f t="shared" ref="I401:I402" si="317">H401+(N401-H401)/6</f>
        <v>-1</v>
      </c>
      <c r="J401" s="60">
        <f t="shared" ref="J401:J402" si="318">I401+(N401-I401)/5</f>
        <v>-1</v>
      </c>
      <c r="K401" s="60">
        <f t="shared" ref="K401:K402" si="319">J401+(N401-J401)/4</f>
        <v>-1</v>
      </c>
      <c r="L401" s="60">
        <f t="shared" ref="L401:L402" si="320">K401+(N401-K401)/3</f>
        <v>-1</v>
      </c>
      <c r="M401" s="60">
        <f t="shared" ref="M401:M402" si="321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314"/>
        <v>-1</v>
      </c>
      <c r="G402" s="65">
        <f t="shared" si="315"/>
        <v>-1</v>
      </c>
      <c r="H402" s="65">
        <f t="shared" si="316"/>
        <v>-1</v>
      </c>
      <c r="I402" s="65">
        <f t="shared" si="317"/>
        <v>-1</v>
      </c>
      <c r="J402" s="65">
        <f t="shared" si="318"/>
        <v>-1</v>
      </c>
      <c r="K402" s="65">
        <f t="shared" si="319"/>
        <v>-1</v>
      </c>
      <c r="L402" s="65">
        <f t="shared" si="320"/>
        <v>-1</v>
      </c>
      <c r="M402" s="65">
        <f t="shared" si="321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231</v>
      </c>
      <c r="E404" s="59">
        <f>IF(DIAG!H336,$GL$55,-1)</f>
        <v>-1</v>
      </c>
      <c r="F404" s="60">
        <f t="shared" ref="F404:F405" si="322">E404+(N404-E404)/9</f>
        <v>-1</v>
      </c>
      <c r="G404" s="60">
        <f t="shared" ref="G404:G405" si="323">F404+(N404-F404)/8</f>
        <v>-1</v>
      </c>
      <c r="H404" s="60">
        <f t="shared" ref="H404:H405" si="324">G404+(N404-G404)/7</f>
        <v>-1</v>
      </c>
      <c r="I404" s="60">
        <f t="shared" ref="I404:I405" si="325">H404+(N404-H404)/6</f>
        <v>-1</v>
      </c>
      <c r="J404" s="60">
        <f t="shared" ref="J404:J405" si="326">I404+(N404-I404)/5</f>
        <v>-1</v>
      </c>
      <c r="K404" s="60">
        <f t="shared" ref="K404:K405" si="327">J404+(N404-J404)/4</f>
        <v>-1</v>
      </c>
      <c r="L404" s="60">
        <f t="shared" ref="L404:L405" si="328">K404+(N404-K404)/3</f>
        <v>-1</v>
      </c>
      <c r="M404" s="60">
        <f t="shared" ref="M404:M405" si="329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322"/>
        <v>-1</v>
      </c>
      <c r="G405" s="65">
        <f t="shared" si="323"/>
        <v>-1</v>
      </c>
      <c r="H405" s="65">
        <f t="shared" si="324"/>
        <v>-1</v>
      </c>
      <c r="I405" s="65">
        <f t="shared" si="325"/>
        <v>-1</v>
      </c>
      <c r="J405" s="65">
        <f t="shared" si="326"/>
        <v>-1</v>
      </c>
      <c r="K405" s="65">
        <f t="shared" si="327"/>
        <v>-1</v>
      </c>
      <c r="L405" s="65">
        <f t="shared" si="328"/>
        <v>-1</v>
      </c>
      <c r="M405" s="65">
        <f t="shared" si="329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232</v>
      </c>
      <c r="E407" s="59">
        <f>IF(DIAG!H337,$GL$55,-1)</f>
        <v>-1</v>
      </c>
      <c r="F407" s="60">
        <f t="shared" ref="F407:F408" si="330">E407+(N407-E407)/9</f>
        <v>-1</v>
      </c>
      <c r="G407" s="60">
        <f t="shared" ref="G407:G408" si="331">F407+(N407-F407)/8</f>
        <v>-1</v>
      </c>
      <c r="H407" s="60">
        <f t="shared" ref="H407:H408" si="332">G407+(N407-G407)/7</f>
        <v>-1</v>
      </c>
      <c r="I407" s="60">
        <f t="shared" ref="I407:I408" si="333">H407+(N407-H407)/6</f>
        <v>-1</v>
      </c>
      <c r="J407" s="60">
        <f t="shared" ref="J407:J408" si="334">I407+(N407-I407)/5</f>
        <v>-1</v>
      </c>
      <c r="K407" s="60">
        <f t="shared" ref="K407:K408" si="335">J407+(N407-J407)/4</f>
        <v>-1</v>
      </c>
      <c r="L407" s="60">
        <f t="shared" ref="L407:L408" si="336">K407+(N407-K407)/3</f>
        <v>-1</v>
      </c>
      <c r="M407" s="60">
        <f t="shared" ref="M407:M408" si="337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330"/>
        <v>-1</v>
      </c>
      <c r="G408" s="65">
        <f t="shared" si="331"/>
        <v>-1</v>
      </c>
      <c r="H408" s="65">
        <f t="shared" si="332"/>
        <v>-1</v>
      </c>
      <c r="I408" s="65">
        <f t="shared" si="333"/>
        <v>-1</v>
      </c>
      <c r="J408" s="65">
        <f t="shared" si="334"/>
        <v>-1</v>
      </c>
      <c r="K408" s="65">
        <f t="shared" si="335"/>
        <v>-1</v>
      </c>
      <c r="L408" s="65">
        <f t="shared" si="336"/>
        <v>-1</v>
      </c>
      <c r="M408" s="65">
        <f t="shared" si="337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233</v>
      </c>
      <c r="E410" s="59">
        <f>IF(DIAG!H338,$GL$55,-1)</f>
        <v>-1</v>
      </c>
      <c r="F410" s="60">
        <f t="shared" ref="F410:F411" si="338">E410+(N410-E410)/9</f>
        <v>-1</v>
      </c>
      <c r="G410" s="60">
        <f t="shared" ref="G410:G411" si="339">F410+(N410-F410)/8</f>
        <v>-1</v>
      </c>
      <c r="H410" s="60">
        <f t="shared" ref="H410:H411" si="340">G410+(N410-G410)/7</f>
        <v>-1</v>
      </c>
      <c r="I410" s="60">
        <f t="shared" ref="I410:I411" si="341">H410+(N410-H410)/6</f>
        <v>-1</v>
      </c>
      <c r="J410" s="60">
        <f t="shared" ref="J410:J411" si="342">I410+(N410-I410)/5</f>
        <v>-1</v>
      </c>
      <c r="K410" s="60">
        <f t="shared" ref="K410:K411" si="343">J410+(N410-J410)/4</f>
        <v>-1</v>
      </c>
      <c r="L410" s="60">
        <f t="shared" ref="L410:L411" si="344">K410+(N410-K410)/3</f>
        <v>-1</v>
      </c>
      <c r="M410" s="60">
        <f t="shared" ref="M410:M411" si="345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338"/>
        <v>-1</v>
      </c>
      <c r="G411" s="65">
        <f t="shared" si="339"/>
        <v>-1</v>
      </c>
      <c r="H411" s="65">
        <f t="shared" si="340"/>
        <v>-1</v>
      </c>
      <c r="I411" s="65">
        <f t="shared" si="341"/>
        <v>-1</v>
      </c>
      <c r="J411" s="65">
        <f t="shared" si="342"/>
        <v>-1</v>
      </c>
      <c r="K411" s="65">
        <f t="shared" si="343"/>
        <v>-1</v>
      </c>
      <c r="L411" s="65">
        <f t="shared" si="344"/>
        <v>-1</v>
      </c>
      <c r="M411" s="65">
        <f t="shared" si="345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35" priority="61" stopIfTrue="1" operator="greaterThanOrEqual">
      <formula>5</formula>
    </cfRule>
    <cfRule type="cellIs" dxfId="34" priority="62" stopIfTrue="1" operator="between">
      <formula>2</formula>
      <formula>5</formula>
    </cfRule>
    <cfRule type="cellIs" dxfId="33" priority="63" stopIfTrue="1" operator="lessThan">
      <formula>2</formula>
    </cfRule>
  </conditionalFormatting>
  <conditionalFormatting sqref="CX21:GS21">
    <cfRule type="cellIs" dxfId="32" priority="64" stopIfTrue="1" operator="lessThanOrEqual">
      <formula>0.25</formula>
    </cfRule>
    <cfRule type="cellIs" dxfId="31" priority="65" stopIfTrue="1" operator="between">
      <formula>0.25</formula>
      <formula>1</formula>
    </cfRule>
    <cfRule type="cellIs" dxfId="30" priority="66" stopIfTrue="1" operator="greaterThan">
      <formula>1</formula>
    </cfRule>
  </conditionalFormatting>
  <conditionalFormatting sqref="CX22:GS22">
    <cfRule type="cellIs" dxfId="29" priority="67" stopIfTrue="1" operator="lessThanOrEqual">
      <formula>2</formula>
    </cfRule>
    <cfRule type="cellIs" dxfId="28" priority="68" stopIfTrue="1" operator="between">
      <formula>2</formula>
      <formula>10</formula>
    </cfRule>
    <cfRule type="cellIs" dxfId="27" priority="69" stopIfTrue="1" operator="greaterThan">
      <formula>10</formula>
    </cfRule>
  </conditionalFormatting>
  <conditionalFormatting sqref="CX23:GS23">
    <cfRule type="cellIs" dxfId="26" priority="70" stopIfTrue="1" operator="greaterThanOrEqual">
      <formula>5</formula>
    </cfRule>
    <cfRule type="cellIs" dxfId="25" priority="71" stopIfTrue="1" operator="between">
      <formula>1</formula>
      <formula>5</formula>
    </cfRule>
    <cfRule type="cellIs" dxfId="24" priority="72" stopIfTrue="1" operator="lessThan">
      <formula>1</formula>
    </cfRule>
  </conditionalFormatting>
  <conditionalFormatting sqref="GL49">
    <cfRule type="cellIs" dxfId="23" priority="25" stopIfTrue="1" operator="greaterThanOrEqual">
      <formula>5</formula>
    </cfRule>
    <cfRule type="cellIs" dxfId="22" priority="26" stopIfTrue="1" operator="between">
      <formula>2</formula>
      <formula>5</formula>
    </cfRule>
    <cfRule type="cellIs" dxfId="21" priority="27" stopIfTrue="1" operator="lessThan">
      <formula>2</formula>
    </cfRule>
  </conditionalFormatting>
  <conditionalFormatting sqref="GL50">
    <cfRule type="cellIs" dxfId="20" priority="28" stopIfTrue="1" operator="lessThanOrEqual">
      <formula>0.25</formula>
    </cfRule>
    <cfRule type="cellIs" dxfId="19" priority="29" stopIfTrue="1" operator="between">
      <formula>0.25</formula>
      <formula>1</formula>
    </cfRule>
    <cfRule type="cellIs" dxfId="18" priority="30" stopIfTrue="1" operator="greaterThan">
      <formula>1</formula>
    </cfRule>
  </conditionalFormatting>
  <conditionalFormatting sqref="GL51">
    <cfRule type="cellIs" dxfId="17" priority="31" stopIfTrue="1" operator="lessThanOrEqual">
      <formula>2</formula>
    </cfRule>
    <cfRule type="cellIs" dxfId="16" priority="32" stopIfTrue="1" operator="between">
      <formula>2</formula>
      <formula>10</formula>
    </cfRule>
    <cfRule type="cellIs" dxfId="15" priority="33" stopIfTrue="1" operator="greaterThan">
      <formula>10</formula>
    </cfRule>
  </conditionalFormatting>
  <conditionalFormatting sqref="GL52">
    <cfRule type="cellIs" dxfId="14" priority="34" stopIfTrue="1" operator="greaterThanOrEqual">
      <formula>5</formula>
    </cfRule>
    <cfRule type="cellIs" dxfId="13" priority="35" stopIfTrue="1" operator="between">
      <formula>1</formula>
      <formula>5</formula>
    </cfRule>
    <cfRule type="cellIs" dxfId="12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2023-05-24T04:45:32Z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