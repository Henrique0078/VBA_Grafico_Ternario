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37D09DEC-C75C-423E-8821-7F55A917B809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7" i="6"/>
  <c r="T37" i="6"/>
  <c r="U37" i="6"/>
  <c r="V37" i="6"/>
  <c r="S35" i="6"/>
  <c r="T35" i="6"/>
  <c r="U35" i="6"/>
  <c r="V35" i="6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AP57" i="6" s="1"/>
  <c r="AQ57" i="6" s="1"/>
  <c r="AR57" i="6" s="1"/>
  <c r="GL45" i="6"/>
  <c r="GL41" i="6"/>
  <c r="GL42" i="6"/>
  <c r="GL46" i="6"/>
  <c r="AP51" i="6" l="1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AP56" i="6" s="1"/>
  <c r="AQ56" i="6" s="1"/>
  <c r="AR56" i="6" s="1"/>
  <c r="GL50" i="6"/>
  <c r="GL47" i="6"/>
  <c r="GL48" i="6"/>
  <c r="GL51" i="6"/>
  <c r="AP50" i="6" l="1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<sst xmlns="http://schemas.openxmlformats.org/spreadsheetml/2006/main" count="2808" uniqueCount="430">
  <si>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</si>
  <si>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</si>
  <si>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</si>
  <si>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</si>
  <si>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</si>
  <si>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</si>
  <si>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</si>
  <si>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</si>
  <si>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</si>
  <si>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</si>
  <si>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</si>
  <si>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</si>
  <si>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</si>
  <si>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</si>
  <si>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</si>
  <si>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</si>
  <si>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</si>
  <si>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</si>
  <si>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</si>
  <si>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</si>
  <si>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</si>
  <si>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</si>
  <si>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</si>
  <si>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</si>
  <si>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</si>
  <si>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</si>
  <si>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</si>
  <si>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</si>
  <si>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</si>
  <si>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</si>
  <si>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</si>
  <si>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</si>
  <si>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</si>
  <si>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</si>
  <si>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</si>
  <si>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</si>
  <si>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</si>
  <si>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</si>
  <si>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</si>
  <si>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</si>
  <si>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</si>
  <si>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</si>
  <si>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</si>
  <si>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</si>
  <si>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</si>
  <si>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</si>
  <si>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</si>
  <si>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</si>
  <si>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</si>
  <si>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</si>
  <si>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</si>
  <si>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</si>
  <si>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</si>
  <si>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</si>
  <si>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</si>
  <si>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</si>
  <si>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</si>
  <si>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</si>
  <si>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</si>
  <si>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</si>
  <si>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</si>
  <si>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</si>
  <si>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</si>
  <si>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</si>
  <si>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</si>
  <si>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</si>
  <si>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</si>
  <si>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</si>
  <si>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</si>
  <si>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</si>
  <si>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</si>
  <si>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</si>
  <si>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</si>
  <si>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</si>
  <si>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</si>
  <si>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</si>
  <si>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</si>
  <si>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</si>
  <si>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</si>
  <si>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</si>
  <si>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</si>
  <si>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</si>
  <si>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</si>
  <si>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</si>
  <si>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</si>
  <si>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</si>
  <si>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</si>
  <si>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</si>
  <si>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</si>
  <si>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</si>
  <si>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</si>
  <si>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</si>
  <si>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</si>
  <si>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</si>
  <si>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</si>
  <si>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</si>
  <si>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</si>
  <si>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</si>
  <si>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</si>
  <si>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</si>
  <si>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</si>
  <si>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</si>
  <si>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</si>
  <si>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</si>
  <si>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</si>
  <si>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</si>
  <si>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</si>
  <si>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</si>
  <si>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</si>
  <si>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</si>
  <si>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</si>
  <si>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</si>
  <si>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</si>
  <si>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</si>
  <si>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</si>
  <si>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</si>
  <si>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</si>
  <si>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</si>
  <si>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</si>
  <si>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</si>
  <si>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</si>
  <si>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</si>
  <si>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</si>
  <si>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</si>
  <si>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</si>
  <si>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</si>
  <si>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</si>
  <si>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</si>
  <si>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</si>
  <si>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</si>
  <si>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</si>
  <si>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</si>
  <si>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</si>
  <si>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</si>
  <si>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</si>
  <si>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</si>
  <si>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</si>
  <si>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Os pontos de Entrada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</si>
  <si>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</si>
  <si>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</si>
  <si>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</si>
  <si>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</si>
  <si>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</si>
  <si>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</si>
  <si>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</si>
  <si>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</si>
  <si>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</si>
  <si>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</si>
  <si>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</si>
  <si>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</si>
  <si>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</si>
  <si>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</si>
  <si>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</si>
  <si>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</si>
  <si>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</si>
  <si>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</si>
  <si>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</si>
  <si>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</si>
  <si>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</si>
  <si>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</si>
  <si>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</si>
  <si>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</si>
  <si>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</si>
  <si>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</si>
  <si>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</si>
  <si>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</si>
  <si>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</si>
  <si>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</si>
  <si>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</si>
  <si>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</si>
  <si>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</si>
  <si>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</si>
  <si>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</si>
  <si>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</si>
  <si>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</si>
  <si>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</si>
  <si>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</si>
  <si>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</si>
  <si>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</si>
  <si>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</si>
  <si>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</si>
  <si>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</si>
  <si>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</si>
  <si>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</si>
  <si>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</si>
  <si>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</si>
  <si>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</si>
  <si>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</si>
  <si>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</si>
  <si>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</si>
  <si>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</si>
  <si>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</si>
  <si>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</si>
  <si>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</si>
  <si>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</si>
  <si>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</si>
  <si>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</si>
  <si>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</si>
  <si>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</si>
  <si>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</si>
  <si>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</si>
  <si>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</si>
  <si>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</si>
  <si>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</si>
  <si>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</si>
  <si>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</si>
  <si>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</si>
  <si>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</si>
  <si>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</si>
  <si>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</si>
  <si>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</si>
  <si>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</si>
  <si>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</si>
  <si>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</si>
  <si>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</si>
  <si>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</si>
  <si>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</si>
  <si>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</si>
  <si>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</si>
  <si>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</si>
  <si>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</si>
  <si>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</si>
  <si>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</si>
  <si>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</si>
  <si>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</si>
  <si>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</si>
  <si>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</si>
  <si>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</si>
  <si>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Ponto117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</si>
  <si>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</si>
  <si>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</si>
  <si>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</si>
  <si>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</si>
  <si>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</si>
  <si>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</si>
  <si>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</si>
  <si>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</si>
  <si>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</si>
  <si>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</si>
  <si>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</si>
  <si>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</si>
  <si>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</si>
  <si>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</si>
  <si>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</si>
  <si>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</si>
  <si>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</si>
  <si>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</si>
  <si>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</si>
  <si>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</si>
  <si>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</si>
  <si>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</si>
  <si>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</si>
  <si>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</si>
  <si>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</si>
  <si>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</si>
  <si>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</si>
  <si>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</si>
  <si>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</si>
  <si>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</si>
  <si>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</si>
  <si>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</si>
  <si>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</si>
  <si>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</si>
  <si>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</si>
  <si>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</si>
  <si>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</si>
  <si>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</si>
  <si>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</si>
  <si>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</si>
  <si>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</si>
  <si>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</si>
  <si>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</si>
  <si>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</si>
  <si>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</si>
  <si>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</si>
  <si>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</si>
  <si>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</si>
  <si>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</si>
  <si>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</si>
  <si>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</si>
  <si>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</si>
  <si>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</si>
  <si>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</si>
  <si>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</si>
  <si>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</si>
  <si>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</si>
  <si>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</si>
  <si>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</si>
  <si>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</si>
  <si>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</si>
  <si>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</si>
  <si>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</si>
  <si>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</si>
  <si>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</si>
  <si>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</si>
  <si>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</si>
  <si>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</si>
  <si>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</si>
  <si>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</si>
  <si>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</si>
  <si>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</si>
  <si>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</si>
  <si>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</si>
  <si>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</si>
  <si>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</si>
  <si>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</si>
  <si>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</si>
  <si>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</si>
  <si>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</si>
  <si>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</si>
  <si>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</si>
  <si>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</si>
  <si>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</si>
  <si>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</si>
  <si>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</si>
  <si>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</si>
  <si>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</si>
  <si>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</si>
  <si>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</si>
  <si>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</si>
  <si>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</si>
  <si>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</si>
  <si>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</si>
  <si>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</si>
  <si>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</si>
  <si>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</si>
  <si>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</si>
  <si>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</si>
  <si>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</si>
  <si>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</si>
  <si>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</si>
  <si>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</si>
  <si>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</si>
  <si>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</si>
  <si>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</si>
  <si>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</si>
  <si>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</si>
  <si>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</si>
  <si>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</si>
  <si>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</si>
  <si>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</si>
  <si>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</si>
  <si>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</si>
  <si>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</si>
  <si>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</si>
  <si>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</si>
  <si>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</si>
  <si>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</si>
  <si>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</si>
  <si>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</si>
  <si>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</si>
  <si>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</si>
  <si>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</si>
  <si>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</si>
  <si>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</si>
  <si>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</si>
  <si>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</si>
  <si>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</si>
  <si>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</si>
  <si>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</si>
  <si>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</si>
  <si>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</si>
  <si>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</si>
  <si>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</si>
  <si>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</si>
  <si>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</si>
  <si>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</si>
  <si>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</si>
  <si>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</si>
  <si>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</si>
  <si>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</si>
  <si>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</si>
  <si>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</si>
  <si>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</si>
  <si>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</si>
  <si>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</si>
  <si>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</si>
  <si>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</si>
  <si>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</si>
  <si>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</si>
  <si>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</si>
  <si>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</si>
  <si>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</si>
  <si>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</si>
  <si>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</si>
  <si>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</si>
  <si>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</si>
  <si>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</si>
  <si>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</si>
  <si>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</si>
  <si>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</si>
  <si>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</si>
  <si>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</si>
  <si>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</si>
  <si>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</si>
  <si>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</si>
  <si>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</si>
  <si>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</si>
  <si>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</si>
  <si>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</si>
  <si>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</si>
  <si>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</si>
  <si>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</si>
  <si>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</si>
  <si>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</si>
  <si>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</si>
  <si>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</si>
  <si>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</si>
  <si>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</si>
  <si>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</si>
  <si>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</si>
  <si>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</si>
  <si>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</si>
  <si>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</si>
  <si>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</si>
  <si>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</si>
  <si>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</si>
  <si>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</si>
  <si>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</si>
  <si>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</si>
  <si>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</si>
  <si>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</si>
  <si>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</si>
  <si>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</si>
  <si>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</si>
  <si>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</si>
  <si>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</si>
  <si>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</si>
  <si>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</si>
  <si>
    <t>K:\André\testes\NOVO\teste 100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</si>
</sst>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1.8042195912175808E-2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9.6225044864937673E-2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0</c:v>
                </c:pt>
                <c:pt idx="1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3.8490017945975043E-2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0</c:v>
                </c:pt>
                <c:pt idx="1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2.4056261216234449E-2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0</c:v>
                </c:pt>
                <c:pt idx="1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1.7495462702715917E-2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0</c:v>
                </c:pt>
                <c:pt idx="1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1.3746434980705328E-2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0</c:v>
                </c:pt>
                <c:pt idx="1">
                  <c:v>0.30952380952380953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1.1320593513522034E-2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0</c:v>
                </c:pt>
                <c:pt idx="1">
                  <c:v>0.31372549019607843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9.6225044864937295E-3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0</c:v>
                </c:pt>
                <c:pt idx="1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8.3673952056467875E-3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0</c:v>
                </c:pt>
                <c:pt idx="1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7.4019265280720996E-3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0</c:v>
                </c:pt>
                <c:pt idx="1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6.6362099906854101E-3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0</c:v>
                </c:pt>
                <c:pt idx="1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Diagrama!$CX$26</c:f>
              <c:numCache>
                <c:formatCode>0.00</c:formatCode>
                <c:ptCount val="1"/>
              </c:numCache>
            </c:numRef>
          </c:xVal>
          <c:yVal>
            <c:numRef>
              <c:f>Diagrama!$CX$27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250-4AB7-85F0-9E4846E1EDB9}"/>
            </c:ext>
          </c:extLst>
        </c:ser>
        <c:ser>
          <c:idx val="135"/>
          <c:order val="135"/>
          <c:tx>
            <c:strRef>
              <c:f>Diagrama!$CY$25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Diagrama!$CY$26</c:f>
              <c:numCache>
                <c:formatCode>0.00</c:formatCode>
                <c:ptCount val="1"/>
              </c:numCache>
            </c:numRef>
          </c:xVal>
          <c:yVal>
            <c:numRef>
              <c:f>Diagrama!$CY$27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250-4AB7-85F0-9E4846E1EDB9}"/>
            </c:ext>
          </c:extLst>
        </c:ser>
        <c:ser>
          <c:idx val="136"/>
          <c:order val="136"/>
          <c:tx>
            <c:strRef>
              <c:f>Diagrama!$CZ$25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Diagrama!$CZ$26</c:f>
              <c:numCache>
                <c:formatCode>0.00</c:formatCode>
                <c:ptCount val="1"/>
              </c:numCache>
            </c:numRef>
          </c:xVal>
          <c:yVal>
            <c:numRef>
              <c:f>Diagrama!$CZ$27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250-4AB7-85F0-9E4846E1EDB9}"/>
            </c:ext>
          </c:extLst>
        </c:ser>
        <c:ser>
          <c:idx val="137"/>
          <c:order val="137"/>
          <c:tx>
            <c:strRef>
              <c:f>Diagrama!$DA$25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Diagrama!$DA$26</c:f>
              <c:numCache>
                <c:formatCode>0.00</c:formatCode>
                <c:ptCount val="1"/>
              </c:numCache>
            </c:numRef>
          </c:xVal>
          <c:yVal>
            <c:numRef>
              <c:f>Diagrama!$DA$27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250-4AB7-85F0-9E4846E1EDB9}"/>
            </c:ext>
          </c:extLst>
        </c:ser>
        <c:ser>
          <c:idx val="138"/>
          <c:order val="138"/>
          <c:tx>
            <c:strRef>
              <c:f>Diagrama!$DB$25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Diagrama!$DB$26</c:f>
              <c:numCache>
                <c:formatCode>0.00</c:formatCode>
                <c:ptCount val="1"/>
              </c:numCache>
            </c:numRef>
          </c:xVal>
          <c:yVal>
            <c:numRef>
              <c:f>Diagrama!$DB$27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E250-4AB7-85F0-9E4846E1EDB9}"/>
            </c:ext>
          </c:extLst>
        </c:ser>
        <c:ser>
          <c:idx val="139"/>
          <c:order val="139"/>
          <c:tx>
            <c:strRef>
              <c:f>Diagrama!$DC$25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Diagrama!$DC$26</c:f>
              <c:numCache>
                <c:formatCode>0.00</c:formatCode>
                <c:ptCount val="1"/>
              </c:numCache>
            </c:numRef>
          </c:xVal>
          <c:yVal>
            <c:numRef>
              <c:f>Diagrama!$DC$27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250-4AB7-85F0-9E4846E1EDB9}"/>
            </c:ext>
          </c:extLst>
        </c:ser>
        <c:ser>
          <c:idx val="140"/>
          <c:order val="140"/>
          <c:tx>
            <c:strRef>
              <c:f>Diagrama!$DD$25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Diagrama!$DD$26</c:f>
              <c:numCache>
                <c:formatCode>0.00</c:formatCode>
                <c:ptCount val="1"/>
              </c:numCache>
            </c:numRef>
          </c:xVal>
          <c:yVal>
            <c:numRef>
              <c:f>Diagrama!$DD$27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250-4AB7-85F0-9E4846E1EDB9}"/>
            </c:ext>
          </c:extLst>
        </c:ser>
        <c:ser>
          <c:idx val="141"/>
          <c:order val="141"/>
          <c:tx>
            <c:strRef>
              <c:f>Diagrama!$DE$25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Diagrama!$DE$26</c:f>
              <c:numCache>
                <c:formatCode>0.00</c:formatCode>
                <c:ptCount val="1"/>
              </c:numCache>
            </c:numRef>
          </c:xVal>
          <c:yVal>
            <c:numRef>
              <c:f>Diagrama!$DE$27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250-4AB7-85F0-9E4846E1EDB9}"/>
            </c:ext>
          </c:extLst>
        </c:ser>
        <c:ser>
          <c:idx val="142"/>
          <c:order val="142"/>
          <c:tx>
            <c:strRef>
              <c:f>Diagrama!$DF$25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Diagrama!$DF$26</c:f>
              <c:numCache>
                <c:formatCode>0.00</c:formatCode>
                <c:ptCount val="1"/>
              </c:numCache>
            </c:numRef>
          </c:xVal>
          <c:yVal>
            <c:numRef>
              <c:f>Diagrama!$DF$27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250-4AB7-85F0-9E4846E1EDB9}"/>
            </c:ext>
          </c:extLst>
        </c:ser>
        <c:ser>
          <c:idx val="143"/>
          <c:order val="143"/>
          <c:tx>
            <c:strRef>
              <c:f>Diagrama!$DG$25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Diagrama!$DG$26</c:f>
              <c:numCache>
                <c:formatCode>0.00</c:formatCode>
                <c:ptCount val="1"/>
              </c:numCache>
            </c:numRef>
          </c:xVal>
          <c:yVal>
            <c:numRef>
              <c:f>Diagrama!$DG$27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250-4AB7-85F0-9E4846E1EDB9}"/>
            </c:ext>
          </c:extLst>
        </c:ser>
        <c:ser>
          <c:idx val="144"/>
          <c:order val="144"/>
          <c:tx>
            <c:strRef>
              <c:f>Diagrama!$DH$25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Diagrama!$DH$26</c:f>
              <c:numCache>
                <c:formatCode>0.00</c:formatCode>
                <c:ptCount val="1"/>
              </c:numCache>
            </c:numRef>
          </c:xVal>
          <c:yVal>
            <c:numRef>
              <c:f>Diagrama!$DH$27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250-4AB7-85F0-9E4846E1EDB9}"/>
            </c:ext>
          </c:extLst>
        </c:ser>
        <c:ser>
          <c:idx val="145"/>
          <c:order val="145"/>
          <c:tx>
            <c:strRef>
              <c:f>Diagrama!$DI$25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Diagrama!$DI$26</c:f>
              <c:numCache>
                <c:formatCode>0.00</c:formatCode>
                <c:ptCount val="1"/>
              </c:numCache>
            </c:numRef>
          </c:xVal>
          <c:yVal>
            <c:numRef>
              <c:f>Diagrama!$DI$27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250-4AB7-85F0-9E4846E1EDB9}"/>
            </c:ext>
          </c:extLst>
        </c:ser>
        <c:ser>
          <c:idx val="146"/>
          <c:order val="146"/>
          <c:tx>
            <c:strRef>
              <c:f>Diagrama!$DJ$25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Diagrama!$DJ$26</c:f>
              <c:numCache>
                <c:formatCode>0.00</c:formatCode>
                <c:ptCount val="1"/>
              </c:numCache>
            </c:numRef>
          </c:xVal>
          <c:yVal>
            <c:numRef>
              <c:f>Diagrama!$DJ$27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250-4AB7-85F0-9E4846E1EDB9}"/>
            </c:ext>
          </c:extLst>
        </c:ser>
        <c:ser>
          <c:idx val="147"/>
          <c:order val="147"/>
          <c:tx>
            <c:strRef>
              <c:f>Diagrama!$DK$25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Diagrama!$DK$26</c:f>
              <c:numCache>
                <c:formatCode>0.00</c:formatCode>
                <c:ptCount val="1"/>
              </c:numCache>
            </c:numRef>
          </c:xVal>
          <c:yVal>
            <c:numRef>
              <c:f>Diagrama!$DK$27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250-4AB7-85F0-9E4846E1EDB9}"/>
            </c:ext>
          </c:extLst>
        </c:ser>
        <c:ser>
          <c:idx val="148"/>
          <c:order val="148"/>
          <c:tx>
            <c:strRef>
              <c:f>Diagrama!$DL$25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Diagrama!$DL$26</c:f>
              <c:numCache>
                <c:formatCode>0.00</c:formatCode>
                <c:ptCount val="1"/>
              </c:numCache>
            </c:numRef>
          </c:xVal>
          <c:yVal>
            <c:numRef>
              <c:f>Diagrama!$DL$27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250-4AB7-85F0-9E4846E1EDB9}"/>
            </c:ext>
          </c:extLst>
        </c:ser>
        <c:ser>
          <c:idx val="149"/>
          <c:order val="149"/>
          <c:tx>
            <c:strRef>
              <c:f>Diagrama!$DM$25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Diagrama!$DM$26</c:f>
              <c:numCache>
                <c:formatCode>0.00</c:formatCode>
                <c:ptCount val="1"/>
              </c:numCache>
            </c:numRef>
          </c:xVal>
          <c:yVal>
            <c:numRef>
              <c:f>Diagrama!$DM$27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250-4AB7-85F0-9E4846E1EDB9}"/>
            </c:ext>
          </c:extLst>
        </c:ser>
        <c:ser>
          <c:idx val="150"/>
          <c:order val="150"/>
          <c:tx>
            <c:strRef>
              <c:f>Diagrama!$DN$25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Diagrama!$DN$26</c:f>
              <c:numCache>
                <c:formatCode>0.00</c:formatCode>
                <c:ptCount val="1"/>
              </c:numCache>
            </c:numRef>
          </c:xVal>
          <c:yVal>
            <c:numRef>
              <c:f>Diagrama!$DN$27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250-4AB7-85F0-9E4846E1EDB9}"/>
            </c:ext>
          </c:extLst>
        </c:ser>
        <c:ser>
          <c:idx val="151"/>
          <c:order val="151"/>
          <c:tx>
            <c:strRef>
              <c:f>Diagrama!$DO$25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Diagrama!$DO$26</c:f>
              <c:numCache>
                <c:formatCode>0.00</c:formatCode>
                <c:ptCount val="1"/>
              </c:numCache>
            </c:numRef>
          </c:xVal>
          <c:yVal>
            <c:numRef>
              <c:f>Diagrama!$DO$27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250-4AB7-85F0-9E4846E1EDB9}"/>
            </c:ext>
          </c:extLst>
        </c:ser>
        <c:ser>
          <c:idx val="152"/>
          <c:order val="152"/>
          <c:tx>
            <c:strRef>
              <c:f>Diagrama!$DP$25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Diagrama!$DP$26</c:f>
              <c:numCache>
                <c:formatCode>0.00</c:formatCode>
                <c:ptCount val="1"/>
              </c:numCache>
            </c:numRef>
          </c:xVal>
          <c:yVal>
            <c:numRef>
              <c:f>Diagrama!$DP$27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250-4AB7-85F0-9E4846E1EDB9}"/>
            </c:ext>
          </c:extLst>
        </c:ser>
        <c:ser>
          <c:idx val="153"/>
          <c:order val="153"/>
          <c:tx>
            <c:strRef>
              <c:f>Diagrama!$DQ$25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Diagrama!$DQ$26</c:f>
              <c:numCache>
                <c:formatCode>0.00</c:formatCode>
                <c:ptCount val="1"/>
              </c:numCache>
            </c:numRef>
          </c:xVal>
          <c:yVal>
            <c:numRef>
              <c:f>Diagrama!$DQ$27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250-4AB7-85F0-9E4846E1EDB9}"/>
            </c:ext>
          </c:extLst>
        </c:ser>
        <c:ser>
          <c:idx val="154"/>
          <c:order val="154"/>
          <c:tx>
            <c:strRef>
              <c:f>Diagrama!$DR$25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Diagrama!$DR$26</c:f>
              <c:numCache>
                <c:formatCode>0.00</c:formatCode>
                <c:ptCount val="1"/>
              </c:numCache>
            </c:numRef>
          </c:xVal>
          <c:yVal>
            <c:numRef>
              <c:f>Diagrama!$DR$27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250-4AB7-85F0-9E4846E1EDB9}"/>
            </c:ext>
          </c:extLst>
        </c:ser>
        <c:ser>
          <c:idx val="155"/>
          <c:order val="155"/>
          <c:tx>
            <c:strRef>
              <c:f>Diagrama!$DS$25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Diagrama!$DS$26</c:f>
              <c:numCache>
                <c:formatCode>0.00</c:formatCode>
                <c:ptCount val="1"/>
              </c:numCache>
            </c:numRef>
          </c:xVal>
          <c:yVal>
            <c:numRef>
              <c:f>Diagrama!$DS$27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250-4AB7-85F0-9E4846E1EDB9}"/>
            </c:ext>
          </c:extLst>
        </c:ser>
        <c:ser>
          <c:idx val="156"/>
          <c:order val="156"/>
          <c:tx>
            <c:strRef>
              <c:f>Diagrama!$DT$25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Diagrama!$DT$26</c:f>
              <c:numCache>
                <c:formatCode>0.00</c:formatCode>
                <c:ptCount val="1"/>
              </c:numCache>
            </c:numRef>
          </c:xVal>
          <c:yVal>
            <c:numRef>
              <c:f>Diagrama!$DT$27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250-4AB7-85F0-9E4846E1EDB9}"/>
            </c:ext>
          </c:extLst>
        </c:ser>
        <c:ser>
          <c:idx val="157"/>
          <c:order val="157"/>
          <c:tx>
            <c:strRef>
              <c:f>Diagrama!$DU$25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Diagrama!$DU$26</c:f>
              <c:numCache>
                <c:formatCode>0.00</c:formatCode>
                <c:ptCount val="1"/>
              </c:numCache>
            </c:numRef>
          </c:xVal>
          <c:yVal>
            <c:numRef>
              <c:f>Diagrama!$DU$27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250-4AB7-85F0-9E4846E1EDB9}"/>
            </c:ext>
          </c:extLst>
        </c:ser>
        <c:ser>
          <c:idx val="158"/>
          <c:order val="158"/>
          <c:tx>
            <c:strRef>
              <c:f>Diagrama!$DV$25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Diagrama!$DV$26</c:f>
              <c:numCache>
                <c:formatCode>0.00</c:formatCode>
                <c:ptCount val="1"/>
              </c:numCache>
            </c:numRef>
          </c:xVal>
          <c:yVal>
            <c:numRef>
              <c:f>Diagrama!$DV$27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E250-4AB7-85F0-9E4846E1EDB9}"/>
            </c:ext>
          </c:extLst>
        </c:ser>
        <c:ser>
          <c:idx val="159"/>
          <c:order val="159"/>
          <c:tx>
            <c:strRef>
              <c:f>Diagrama!$DW$25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Diagrama!$DW$26</c:f>
              <c:numCache>
                <c:formatCode>0.00</c:formatCode>
                <c:ptCount val="1"/>
              </c:numCache>
            </c:numRef>
          </c:xVal>
          <c:yVal>
            <c:numRef>
              <c:f>Diagrama!$DW$27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E250-4AB7-85F0-9E4846E1EDB9}"/>
            </c:ext>
          </c:extLst>
        </c:ser>
        <c:ser>
          <c:idx val="160"/>
          <c:order val="160"/>
          <c:tx>
            <c:strRef>
              <c:f>Diagrama!$DX$25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Diagrama!$DX$26</c:f>
              <c:numCache>
                <c:formatCode>0.00</c:formatCode>
                <c:ptCount val="1"/>
              </c:numCache>
            </c:numRef>
          </c:xVal>
          <c:yVal>
            <c:numRef>
              <c:f>Diagrama!$DX$27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E250-4AB7-85F0-9E4846E1EDB9}"/>
            </c:ext>
          </c:extLst>
        </c:ser>
        <c:ser>
          <c:idx val="161"/>
          <c:order val="161"/>
          <c:tx>
            <c:strRef>
              <c:f>Diagrama!$DY$25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Diagrama!$DY$26</c:f>
              <c:numCache>
                <c:formatCode>0.00</c:formatCode>
                <c:ptCount val="1"/>
              </c:numCache>
            </c:numRef>
          </c:xVal>
          <c:yVal>
            <c:numRef>
              <c:f>Diagrama!$DY$27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E250-4AB7-85F0-9E4846E1EDB9}"/>
            </c:ext>
          </c:extLst>
        </c:ser>
        <c:ser>
          <c:idx val="162"/>
          <c:order val="162"/>
          <c:tx>
            <c:strRef>
              <c:f>Diagrama!$DZ$25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Diagrama!$DZ$26</c:f>
              <c:numCache>
                <c:formatCode>0.00</c:formatCode>
                <c:ptCount val="1"/>
              </c:numCache>
            </c:numRef>
          </c:xVal>
          <c:yVal>
            <c:numRef>
              <c:f>Diagrama!$DZ$27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E250-4AB7-85F0-9E4846E1EDB9}"/>
            </c:ext>
          </c:extLst>
        </c:ser>
        <c:ser>
          <c:idx val="163"/>
          <c:order val="163"/>
          <c:tx>
            <c:strRef>
              <c:f>Diagrama!$EA$25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Diagrama!$EA$26</c:f>
              <c:numCache>
                <c:formatCode>0.00</c:formatCode>
                <c:ptCount val="1"/>
              </c:numCache>
            </c:numRef>
          </c:xVal>
          <c:yVal>
            <c:numRef>
              <c:f>Diagrama!$EA$27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E250-4AB7-85F0-9E4846E1EDB9}"/>
            </c:ext>
          </c:extLst>
        </c:ser>
        <c:ser>
          <c:idx val="164"/>
          <c:order val="164"/>
          <c:tx>
            <c:strRef>
              <c:f>Diagrama!$EB$25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Diagrama!$EB$26</c:f>
              <c:numCache>
                <c:formatCode>0.00</c:formatCode>
                <c:ptCount val="1"/>
              </c:numCache>
            </c:numRef>
          </c:xVal>
          <c:yVal>
            <c:numRef>
              <c:f>Diagrama!$EB$27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E250-4AB7-85F0-9E4846E1EDB9}"/>
            </c:ext>
          </c:extLst>
        </c:ser>
        <c:ser>
          <c:idx val="165"/>
          <c:order val="165"/>
          <c:tx>
            <c:strRef>
              <c:f>Diagrama!$EC$25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Diagrama!$EC$26</c:f>
              <c:numCache>
                <c:formatCode>0.00</c:formatCode>
                <c:ptCount val="1"/>
              </c:numCache>
            </c:numRef>
          </c:xVal>
          <c:yVal>
            <c:numRef>
              <c:f>Diagrama!$EC$27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E250-4AB7-85F0-9E4846E1EDB9}"/>
            </c:ext>
          </c:extLst>
        </c:ser>
        <c:ser>
          <c:idx val="166"/>
          <c:order val="166"/>
          <c:tx>
            <c:strRef>
              <c:f>Diagrama!$ED$25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Diagrama!$ED$26</c:f>
              <c:numCache>
                <c:formatCode>0.00</c:formatCode>
                <c:ptCount val="1"/>
              </c:numCache>
            </c:numRef>
          </c:xVal>
          <c:yVal>
            <c:numRef>
              <c:f>Diagrama!$ED$27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E250-4AB7-85F0-9E4846E1EDB9}"/>
            </c:ext>
          </c:extLst>
        </c:ser>
        <c:ser>
          <c:idx val="167"/>
          <c:order val="167"/>
          <c:tx>
            <c:strRef>
              <c:f>Diagrama!$EE$25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Diagrama!$EE$26</c:f>
              <c:numCache>
                <c:formatCode>0.00</c:formatCode>
                <c:ptCount val="1"/>
              </c:numCache>
            </c:numRef>
          </c:xVal>
          <c:yVal>
            <c:numRef>
              <c:f>Diagrama!$EE$27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E250-4AB7-85F0-9E4846E1EDB9}"/>
            </c:ext>
          </c:extLst>
        </c:ser>
        <c:ser>
          <c:idx val="168"/>
          <c:order val="168"/>
          <c:tx>
            <c:strRef>
              <c:f>Diagrama!$EF$25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Diagrama!$EF$26</c:f>
              <c:numCache>
                <c:formatCode>0.00</c:formatCode>
                <c:ptCount val="1"/>
              </c:numCache>
            </c:numRef>
          </c:xVal>
          <c:yVal>
            <c:numRef>
              <c:f>Diagrama!$EF$27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E250-4AB7-85F0-9E4846E1EDB9}"/>
            </c:ext>
          </c:extLst>
        </c:ser>
        <c:ser>
          <c:idx val="169"/>
          <c:order val="169"/>
          <c:tx>
            <c:strRef>
              <c:f>Diagrama!$EG$25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Diagrama!$EG$26</c:f>
              <c:numCache>
                <c:formatCode>0.00</c:formatCode>
                <c:ptCount val="1"/>
              </c:numCache>
            </c:numRef>
          </c:xVal>
          <c:yVal>
            <c:numRef>
              <c:f>Diagrama!$EG$27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E250-4AB7-85F0-9E4846E1EDB9}"/>
            </c:ext>
          </c:extLst>
        </c:ser>
        <c:ser>
          <c:idx val="170"/>
          <c:order val="170"/>
          <c:tx>
            <c:strRef>
              <c:f>Diagrama!$EH$25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Diagrama!$EH$26</c:f>
              <c:numCache>
                <c:formatCode>0.00</c:formatCode>
                <c:ptCount val="1"/>
              </c:numCache>
            </c:numRef>
          </c:xVal>
          <c:yVal>
            <c:numRef>
              <c:f>Diagrama!$EH$27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E250-4AB7-85F0-9E4846E1EDB9}"/>
            </c:ext>
          </c:extLst>
        </c:ser>
        <c:ser>
          <c:idx val="171"/>
          <c:order val="171"/>
          <c:tx>
            <c:strRef>
              <c:f>Diagrama!$EI$25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Diagrama!$EI$26</c:f>
              <c:numCache>
                <c:formatCode>0.00</c:formatCode>
                <c:ptCount val="1"/>
              </c:numCache>
            </c:numRef>
          </c:xVal>
          <c:yVal>
            <c:numRef>
              <c:f>Diagrama!$EI$27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E250-4AB7-85F0-9E4846E1EDB9}"/>
            </c:ext>
          </c:extLst>
        </c:ser>
        <c:ser>
          <c:idx val="172"/>
          <c:order val="172"/>
          <c:tx>
            <c:strRef>
              <c:f>Diagrama!$EJ$25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Diagrama!$EJ$26</c:f>
              <c:numCache>
                <c:formatCode>0.00</c:formatCode>
                <c:ptCount val="1"/>
              </c:numCache>
            </c:numRef>
          </c:xVal>
          <c:yVal>
            <c:numRef>
              <c:f>Diagrama!$EJ$27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E250-4AB7-85F0-9E4846E1EDB9}"/>
            </c:ext>
          </c:extLst>
        </c:ser>
        <c:ser>
          <c:idx val="173"/>
          <c:order val="173"/>
          <c:tx>
            <c:strRef>
              <c:f>Diagrama!$EK$25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Diagrama!$EK$26</c:f>
              <c:numCache>
                <c:formatCode>0.00</c:formatCode>
                <c:ptCount val="1"/>
              </c:numCache>
            </c:numRef>
          </c:xVal>
          <c:yVal>
            <c:numRef>
              <c:f>Diagrama!$EK$27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E250-4AB7-85F0-9E4846E1EDB9}"/>
            </c:ext>
          </c:extLst>
        </c:ser>
        <c:ser>
          <c:idx val="174"/>
          <c:order val="174"/>
          <c:tx>
            <c:strRef>
              <c:f>Diagrama!$EL$25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Diagrama!$EL$26</c:f>
              <c:numCache>
                <c:formatCode>0.00</c:formatCode>
                <c:ptCount val="1"/>
              </c:numCache>
            </c:numRef>
          </c:xVal>
          <c:yVal>
            <c:numRef>
              <c:f>Diagrama!$EL$27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E250-4AB7-85F0-9E4846E1EDB9}"/>
            </c:ext>
          </c:extLst>
        </c:ser>
        <c:ser>
          <c:idx val="175"/>
          <c:order val="175"/>
          <c:tx>
            <c:strRef>
              <c:f>Diagrama!$EM$25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Diagrama!$EM$26</c:f>
              <c:numCache>
                <c:formatCode>0.00</c:formatCode>
                <c:ptCount val="1"/>
              </c:numCache>
            </c:numRef>
          </c:xVal>
          <c:yVal>
            <c:numRef>
              <c:f>Diagrama!$EM$27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E250-4AB7-85F0-9E4846E1EDB9}"/>
            </c:ext>
          </c:extLst>
        </c:ser>
        <c:ser>
          <c:idx val="176"/>
          <c:order val="176"/>
          <c:tx>
            <c:strRef>
              <c:f>Diagrama!$EN$25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Diagrama!$EN$26</c:f>
              <c:numCache>
                <c:formatCode>0.00</c:formatCode>
                <c:ptCount val="1"/>
              </c:numCache>
            </c:numRef>
          </c:xVal>
          <c:yVal>
            <c:numRef>
              <c:f>Diagrama!$EN$27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250-4AB7-85F0-9E4846E1EDB9}"/>
            </c:ext>
          </c:extLst>
        </c:ser>
        <c:ser>
          <c:idx val="177"/>
          <c:order val="177"/>
          <c:tx>
            <c:strRef>
              <c:f>Diagrama!$EO$25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Diagrama!$EO$26</c:f>
              <c:numCache>
                <c:formatCode>0.00</c:formatCode>
                <c:ptCount val="1"/>
              </c:numCache>
            </c:numRef>
          </c:xVal>
          <c:yVal>
            <c:numRef>
              <c:f>Diagrama!$EO$27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250-4AB7-85F0-9E4846E1EDB9}"/>
            </c:ext>
          </c:extLst>
        </c:ser>
        <c:ser>
          <c:idx val="178"/>
          <c:order val="178"/>
          <c:tx>
            <c:strRef>
              <c:f>Diagrama!$EP$25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Diagrama!$EP$26</c:f>
              <c:numCache>
                <c:formatCode>0.00</c:formatCode>
                <c:ptCount val="1"/>
              </c:numCache>
            </c:numRef>
          </c:xVal>
          <c:yVal>
            <c:numRef>
              <c:f>Diagrama!$EP$27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250-4AB7-85F0-9E4846E1EDB9}"/>
            </c:ext>
          </c:extLst>
        </c:ser>
        <c:ser>
          <c:idx val="179"/>
          <c:order val="179"/>
          <c:tx>
            <c:strRef>
              <c:f>Diagrama!$EQ$25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Diagrama!$EQ$26</c:f>
              <c:numCache>
                <c:formatCode>0.00</c:formatCode>
                <c:ptCount val="1"/>
              </c:numCache>
            </c:numRef>
          </c:xVal>
          <c:yVal>
            <c:numRef>
              <c:f>Diagrama!$EQ$27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E250-4AB7-85F0-9E4846E1EDB9}"/>
            </c:ext>
          </c:extLst>
        </c:ser>
        <c:ser>
          <c:idx val="180"/>
          <c:order val="180"/>
          <c:tx>
            <c:strRef>
              <c:f>Diagrama!$ER$25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Diagrama!$ER$26</c:f>
              <c:numCache>
                <c:formatCode>0.00</c:formatCode>
                <c:ptCount val="1"/>
              </c:numCache>
            </c:numRef>
          </c:xVal>
          <c:yVal>
            <c:numRef>
              <c:f>Diagrama!$ER$27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E250-4AB7-85F0-9E4846E1EDB9}"/>
            </c:ext>
          </c:extLst>
        </c:ser>
        <c:ser>
          <c:idx val="181"/>
          <c:order val="181"/>
          <c:tx>
            <c:strRef>
              <c:f>Diagrama!$ES$25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Diagrama!$ES$26</c:f>
              <c:numCache>
                <c:formatCode>0.00</c:formatCode>
                <c:ptCount val="1"/>
              </c:numCache>
            </c:numRef>
          </c:xVal>
          <c:yVal>
            <c:numRef>
              <c:f>Diagrama!$ES$27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250-4AB7-85F0-9E4846E1EDB9}"/>
            </c:ext>
          </c:extLst>
        </c:ser>
        <c:ser>
          <c:idx val="182"/>
          <c:order val="182"/>
          <c:tx>
            <c:strRef>
              <c:f>Diagrama!$ET$25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Diagrama!$ET$26</c:f>
              <c:numCache>
                <c:formatCode>0.00</c:formatCode>
                <c:ptCount val="1"/>
              </c:numCache>
            </c:numRef>
          </c:xVal>
          <c:yVal>
            <c:numRef>
              <c:f>Diagrama!$ET$27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E250-4AB7-85F0-9E4846E1EDB9}"/>
            </c:ext>
          </c:extLst>
        </c:ser>
        <c:ser>
          <c:idx val="183"/>
          <c:order val="183"/>
          <c:tx>
            <c:strRef>
              <c:f>Diagrama!$EU$25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Diagrama!$EU$26</c:f>
              <c:numCache>
                <c:formatCode>0.00</c:formatCode>
                <c:ptCount val="1"/>
              </c:numCache>
            </c:numRef>
          </c:xVal>
          <c:yVal>
            <c:numRef>
              <c:f>Diagrama!$EU$27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E250-4AB7-85F0-9E4846E1EDB9}"/>
            </c:ext>
          </c:extLst>
        </c:ser>
        <c:ser>
          <c:idx val="184"/>
          <c:order val="184"/>
          <c:tx>
            <c:strRef>
              <c:f>Diagrama!$EV$25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Diagrama!$EV$26</c:f>
              <c:numCache>
                <c:formatCode>0.00</c:formatCode>
                <c:ptCount val="1"/>
              </c:numCache>
            </c:numRef>
          </c:xVal>
          <c:yVal>
            <c:numRef>
              <c:f>Diagrama!$EV$27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E250-4AB7-85F0-9E4846E1EDB9}"/>
            </c:ext>
          </c:extLst>
        </c:ser>
        <c:ser>
          <c:idx val="185"/>
          <c:order val="185"/>
          <c:tx>
            <c:strRef>
              <c:f>Diagrama!$EW$25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Diagrama!$EW$26</c:f>
              <c:numCache>
                <c:formatCode>0.00</c:formatCode>
                <c:ptCount val="1"/>
              </c:numCache>
            </c:numRef>
          </c:xVal>
          <c:yVal>
            <c:numRef>
              <c:f>Diagrama!$EW$27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E250-4AB7-85F0-9E4846E1EDB9}"/>
            </c:ext>
          </c:extLst>
        </c:ser>
        <c:ser>
          <c:idx val="186"/>
          <c:order val="186"/>
          <c:tx>
            <c:strRef>
              <c:f>Diagrama!$EX$25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Diagrama!$EX$26</c:f>
              <c:numCache>
                <c:formatCode>0.00</c:formatCode>
                <c:ptCount val="1"/>
              </c:numCache>
            </c:numRef>
          </c:xVal>
          <c:yVal>
            <c:numRef>
              <c:f>Diagrama!$EX$27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E250-4AB7-85F0-9E4846E1EDB9}"/>
            </c:ext>
          </c:extLst>
        </c:ser>
        <c:ser>
          <c:idx val="187"/>
          <c:order val="187"/>
          <c:tx>
            <c:strRef>
              <c:f>Diagrama!$EY$25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Diagrama!$EY$26</c:f>
              <c:numCache>
                <c:formatCode>0.00</c:formatCode>
                <c:ptCount val="1"/>
              </c:numCache>
            </c:numRef>
          </c:xVal>
          <c:yVal>
            <c:numRef>
              <c:f>Diagrama!$EY$27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E250-4AB7-85F0-9E4846E1EDB9}"/>
            </c:ext>
          </c:extLst>
        </c:ser>
        <c:ser>
          <c:idx val="188"/>
          <c:order val="188"/>
          <c:tx>
            <c:strRef>
              <c:f>Diagrama!$EZ$25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Diagrama!$EZ$26</c:f>
              <c:numCache>
                <c:formatCode>0.00</c:formatCode>
                <c:ptCount val="1"/>
              </c:numCache>
            </c:numRef>
          </c:xVal>
          <c:yVal>
            <c:numRef>
              <c:f>Diagrama!$EZ$27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E250-4AB7-85F0-9E4846E1EDB9}"/>
            </c:ext>
          </c:extLst>
        </c:ser>
        <c:ser>
          <c:idx val="189"/>
          <c:order val="189"/>
          <c:tx>
            <c:strRef>
              <c:f>Diagrama!$FA$25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Diagrama!$FA$26</c:f>
              <c:numCache>
                <c:formatCode>0.00</c:formatCode>
                <c:ptCount val="1"/>
              </c:numCache>
            </c:numRef>
          </c:xVal>
          <c:yVal>
            <c:numRef>
              <c:f>Diagrama!$FA$27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E250-4AB7-85F0-9E4846E1EDB9}"/>
            </c:ext>
          </c:extLst>
        </c:ser>
        <c:ser>
          <c:idx val="190"/>
          <c:order val="190"/>
          <c:tx>
            <c:strRef>
              <c:f>Diagrama!$FB$25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Diagrama!$FB$26</c:f>
              <c:numCache>
                <c:formatCode>0.00</c:formatCode>
                <c:ptCount val="1"/>
              </c:numCache>
            </c:numRef>
          </c:xVal>
          <c:yVal>
            <c:numRef>
              <c:f>Diagrama!$FB$27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E250-4AB7-85F0-9E4846E1EDB9}"/>
            </c:ext>
          </c:extLst>
        </c:ser>
        <c:ser>
          <c:idx val="191"/>
          <c:order val="191"/>
          <c:tx>
            <c:strRef>
              <c:f>Diagrama!$FC$25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Diagrama!$FC$26</c:f>
              <c:numCache>
                <c:formatCode>0.00</c:formatCode>
                <c:ptCount val="1"/>
              </c:numCache>
            </c:numRef>
          </c:xVal>
          <c:yVal>
            <c:numRef>
              <c:f>Diagrama!$FC$27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E250-4AB7-85F0-9E4846E1EDB9}"/>
            </c:ext>
          </c:extLst>
        </c:ser>
        <c:ser>
          <c:idx val="192"/>
          <c:order val="192"/>
          <c:tx>
            <c:strRef>
              <c:f>Diagrama!$FD$25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Diagrama!$FD$26</c:f>
              <c:numCache>
                <c:formatCode>0.00</c:formatCode>
                <c:ptCount val="1"/>
              </c:numCache>
            </c:numRef>
          </c:xVal>
          <c:yVal>
            <c:numRef>
              <c:f>Diagrama!$FD$27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E250-4AB7-85F0-9E4846E1EDB9}"/>
            </c:ext>
          </c:extLst>
        </c:ser>
        <c:ser>
          <c:idx val="193"/>
          <c:order val="193"/>
          <c:tx>
            <c:strRef>
              <c:f>Diagrama!$FE$25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Diagrama!$FE$26</c:f>
              <c:numCache>
                <c:formatCode>0.00</c:formatCode>
                <c:ptCount val="1"/>
              </c:numCache>
            </c:numRef>
          </c:xVal>
          <c:yVal>
            <c:numRef>
              <c:f>Diagrama!$FE$27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E250-4AB7-85F0-9E4846E1EDB9}"/>
            </c:ext>
          </c:extLst>
        </c:ser>
        <c:ser>
          <c:idx val="194"/>
          <c:order val="194"/>
          <c:tx>
            <c:strRef>
              <c:f>Diagrama!$FF$25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Diagrama!$FF$26</c:f>
              <c:numCache>
                <c:formatCode>0.00</c:formatCode>
                <c:ptCount val="1"/>
              </c:numCache>
            </c:numRef>
          </c:xVal>
          <c:yVal>
            <c:numRef>
              <c:f>Diagrama!$FF$27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E250-4AB7-85F0-9E4846E1EDB9}"/>
            </c:ext>
          </c:extLst>
        </c:ser>
        <c:ser>
          <c:idx val="195"/>
          <c:order val="195"/>
          <c:tx>
            <c:strRef>
              <c:f>Diagrama!$FG$25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Diagrama!$FG$26</c:f>
              <c:numCache>
                <c:formatCode>0.00</c:formatCode>
                <c:ptCount val="1"/>
              </c:numCache>
            </c:numRef>
          </c:xVal>
          <c:yVal>
            <c:numRef>
              <c:f>Diagrama!$FG$27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E250-4AB7-85F0-9E4846E1EDB9}"/>
            </c:ext>
          </c:extLst>
        </c:ser>
        <c:ser>
          <c:idx val="196"/>
          <c:order val="196"/>
          <c:tx>
            <c:strRef>
              <c:f>Diagrama!$FH$25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Diagrama!$FH$26</c:f>
              <c:numCache>
                <c:formatCode>0.00</c:formatCode>
                <c:ptCount val="1"/>
              </c:numCache>
            </c:numRef>
          </c:xVal>
          <c:yVal>
            <c:numRef>
              <c:f>Diagrama!$FH$27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E250-4AB7-85F0-9E4846E1EDB9}"/>
            </c:ext>
          </c:extLst>
        </c:ser>
        <c:ser>
          <c:idx val="197"/>
          <c:order val="197"/>
          <c:tx>
            <c:strRef>
              <c:f>Diagrama!$FI$25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Diagrama!$FI$26</c:f>
              <c:numCache>
                <c:formatCode>0.00</c:formatCode>
                <c:ptCount val="1"/>
              </c:numCache>
            </c:numRef>
          </c:xVal>
          <c:yVal>
            <c:numRef>
              <c:f>Diagrama!$FI$27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E250-4AB7-85F0-9E4846E1EDB9}"/>
            </c:ext>
          </c:extLst>
        </c:ser>
        <c:ser>
          <c:idx val="198"/>
          <c:order val="198"/>
          <c:tx>
            <c:strRef>
              <c:f>Diagrama!$FJ$25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Diagrama!$FJ$26</c:f>
              <c:numCache>
                <c:formatCode>0.00</c:formatCode>
                <c:ptCount val="1"/>
              </c:numCache>
            </c:numRef>
          </c:xVal>
          <c:yVal>
            <c:numRef>
              <c:f>Diagrama!$FJ$27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E250-4AB7-85F0-9E4846E1EDB9}"/>
            </c:ext>
          </c:extLst>
        </c:ser>
        <c:ser>
          <c:idx val="199"/>
          <c:order val="199"/>
          <c:tx>
            <c:strRef>
              <c:f>Diagrama!$FK$25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Diagrama!$FK$26</c:f>
              <c:numCache>
                <c:formatCode>0.00</c:formatCode>
                <c:ptCount val="1"/>
              </c:numCache>
            </c:numRef>
          </c:xVal>
          <c:yVal>
            <c:numRef>
              <c:f>Diagrama!$FK$27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E250-4AB7-85F0-9E4846E1EDB9}"/>
            </c:ext>
          </c:extLst>
        </c:ser>
        <c:ser>
          <c:idx val="200"/>
          <c:order val="200"/>
          <c:tx>
            <c:strRef>
              <c:f>Diagrama!$FL$25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Diagrama!$FL$26</c:f>
              <c:numCache>
                <c:formatCode>0.00</c:formatCode>
                <c:ptCount val="1"/>
              </c:numCache>
            </c:numRef>
          </c:xVal>
          <c:yVal>
            <c:numRef>
              <c:f>Diagrama!$FL$27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E250-4AB7-85F0-9E4846E1EDB9}"/>
            </c:ext>
          </c:extLst>
        </c:ser>
        <c:ser>
          <c:idx val="201"/>
          <c:order val="201"/>
          <c:tx>
            <c:strRef>
              <c:f>Diagrama!$FM$25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Diagrama!$FM$26</c:f>
              <c:numCache>
                <c:formatCode>0.00</c:formatCode>
                <c:ptCount val="1"/>
              </c:numCache>
            </c:numRef>
          </c:xVal>
          <c:yVal>
            <c:numRef>
              <c:f>Diagrama!$FM$27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E250-4AB7-85F0-9E4846E1EDB9}"/>
            </c:ext>
          </c:extLst>
        </c:ser>
        <c:ser>
          <c:idx val="202"/>
          <c:order val="202"/>
          <c:tx>
            <c:strRef>
              <c:f>Diagrama!$FN$25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Diagrama!$FN$26</c:f>
              <c:numCache>
                <c:formatCode>0.00</c:formatCode>
                <c:ptCount val="1"/>
              </c:numCache>
            </c:numRef>
          </c:xVal>
          <c:yVal>
            <c:numRef>
              <c:f>Diagrama!$FN$27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E250-4AB7-85F0-9E4846E1EDB9}"/>
            </c:ext>
          </c:extLst>
        </c:ser>
        <c:ser>
          <c:idx val="203"/>
          <c:order val="203"/>
          <c:tx>
            <c:strRef>
              <c:f>Diagrama!$FO$25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Diagrama!$FO$26</c:f>
              <c:numCache>
                <c:formatCode>0.00</c:formatCode>
                <c:ptCount val="1"/>
              </c:numCache>
            </c:numRef>
          </c:xVal>
          <c:yVal>
            <c:numRef>
              <c:f>Diagrama!$FO$27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E250-4AB7-85F0-9E4846E1EDB9}"/>
            </c:ext>
          </c:extLst>
        </c:ser>
        <c:ser>
          <c:idx val="204"/>
          <c:order val="204"/>
          <c:tx>
            <c:strRef>
              <c:f>Diagrama!$FP$25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Diagrama!$FP$26</c:f>
              <c:numCache>
                <c:formatCode>0.00</c:formatCode>
                <c:ptCount val="1"/>
              </c:numCache>
            </c:numRef>
          </c:xVal>
          <c:yVal>
            <c:numRef>
              <c:f>Diagrama!$FP$27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E250-4AB7-85F0-9E4846E1EDB9}"/>
            </c:ext>
          </c:extLst>
        </c:ser>
        <c:ser>
          <c:idx val="205"/>
          <c:order val="205"/>
          <c:tx>
            <c:strRef>
              <c:f>Diagrama!$FQ$25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Diagrama!$FQ$26</c:f>
              <c:numCache>
                <c:formatCode>0.00</c:formatCode>
                <c:ptCount val="1"/>
              </c:numCache>
            </c:numRef>
          </c:xVal>
          <c:yVal>
            <c:numRef>
              <c:f>Diagrama!$FQ$27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E250-4AB7-85F0-9E4846E1EDB9}"/>
            </c:ext>
          </c:extLst>
        </c:ser>
        <c:ser>
          <c:idx val="206"/>
          <c:order val="206"/>
          <c:tx>
            <c:strRef>
              <c:f>Diagrama!$FR$25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Diagrama!$FR$26</c:f>
              <c:numCache>
                <c:formatCode>0.00</c:formatCode>
                <c:ptCount val="1"/>
              </c:numCache>
            </c:numRef>
          </c:xVal>
          <c:yVal>
            <c:numRef>
              <c:f>Diagrama!$FR$27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E250-4AB7-85F0-9E4846E1EDB9}"/>
            </c:ext>
          </c:extLst>
        </c:ser>
        <c:ser>
          <c:idx val="207"/>
          <c:order val="207"/>
          <c:tx>
            <c:strRef>
              <c:f>Diagrama!$FS$25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Diagrama!$FS$26</c:f>
              <c:numCache>
                <c:formatCode>0.00</c:formatCode>
                <c:ptCount val="1"/>
              </c:numCache>
            </c:numRef>
          </c:xVal>
          <c:yVal>
            <c:numRef>
              <c:f>Diagrama!$FS$27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E250-4AB7-85F0-9E4846E1EDB9}"/>
            </c:ext>
          </c:extLst>
        </c:ser>
        <c:ser>
          <c:idx val="208"/>
          <c:order val="208"/>
          <c:tx>
            <c:strRef>
              <c:f>Diagrama!$FT$25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Diagrama!$FT$26</c:f>
              <c:numCache>
                <c:formatCode>0.00</c:formatCode>
                <c:ptCount val="1"/>
              </c:numCache>
            </c:numRef>
          </c:xVal>
          <c:yVal>
            <c:numRef>
              <c:f>Diagrama!$FT$27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E250-4AB7-85F0-9E4846E1EDB9}"/>
            </c:ext>
          </c:extLst>
        </c:ser>
        <c:ser>
          <c:idx val="209"/>
          <c:order val="209"/>
          <c:tx>
            <c:strRef>
              <c:f>Diagrama!$FU$25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Diagrama!$FU$26</c:f>
              <c:numCache>
                <c:formatCode>0.00</c:formatCode>
                <c:ptCount val="1"/>
              </c:numCache>
            </c:numRef>
          </c:xVal>
          <c:yVal>
            <c:numRef>
              <c:f>Diagrama!$FU$27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250-4AB7-85F0-9E4846E1EDB9}"/>
            </c:ext>
          </c:extLst>
        </c:ser>
        <c:ser>
          <c:idx val="210"/>
          <c:order val="210"/>
          <c:tx>
            <c:strRef>
              <c:f>Diagrama!$FV$25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Diagrama!$FV$26</c:f>
              <c:numCache>
                <c:formatCode>0.00</c:formatCode>
                <c:ptCount val="1"/>
              </c:numCache>
            </c:numRef>
          </c:xVal>
          <c:yVal>
            <c:numRef>
              <c:f>Diagrama!$FV$27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E250-4AB7-85F0-9E4846E1EDB9}"/>
            </c:ext>
          </c:extLst>
        </c:ser>
        <c:ser>
          <c:idx val="211"/>
          <c:order val="211"/>
          <c:tx>
            <c:strRef>
              <c:f>Diagrama!$FW$25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Diagrama!$FW$26</c:f>
              <c:numCache>
                <c:formatCode>0.00</c:formatCode>
                <c:ptCount val="1"/>
              </c:numCache>
            </c:numRef>
          </c:xVal>
          <c:yVal>
            <c:numRef>
              <c:f>Diagrama!$FW$27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E250-4AB7-85F0-9E4846E1EDB9}"/>
            </c:ext>
          </c:extLst>
        </c:ser>
        <c:ser>
          <c:idx val="212"/>
          <c:order val="212"/>
          <c:tx>
            <c:strRef>
              <c:f>Diagrama!$FX$25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Diagrama!$FX$26</c:f>
              <c:numCache>
                <c:formatCode>0.00</c:formatCode>
                <c:ptCount val="1"/>
              </c:numCache>
            </c:numRef>
          </c:xVal>
          <c:yVal>
            <c:numRef>
              <c:f>Diagrama!$FX$27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E250-4AB7-85F0-9E4846E1EDB9}"/>
            </c:ext>
          </c:extLst>
        </c:ser>
        <c:ser>
          <c:idx val="213"/>
          <c:order val="213"/>
          <c:tx>
            <c:strRef>
              <c:f>Diagrama!$FY$25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Diagrama!$FY$26</c:f>
              <c:numCache>
                <c:formatCode>0.00</c:formatCode>
                <c:ptCount val="1"/>
              </c:numCache>
            </c:numRef>
          </c:xVal>
          <c:yVal>
            <c:numRef>
              <c:f>Diagrama!$FY$27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E250-4AB7-85F0-9E4846E1EDB9}"/>
            </c:ext>
          </c:extLst>
        </c:ser>
        <c:ser>
          <c:idx val="214"/>
          <c:order val="214"/>
          <c:tx>
            <c:strRef>
              <c:f>Diagrama!$FZ$25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Diagrama!$FZ$26</c:f>
              <c:numCache>
                <c:formatCode>0.00</c:formatCode>
                <c:ptCount val="1"/>
              </c:numCache>
            </c:numRef>
          </c:xVal>
          <c:yVal>
            <c:numRef>
              <c:f>Diagrama!$FZ$27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E250-4AB7-85F0-9E4846E1EDB9}"/>
            </c:ext>
          </c:extLst>
        </c:ser>
        <c:ser>
          <c:idx val="215"/>
          <c:order val="215"/>
          <c:tx>
            <c:strRef>
              <c:f>Diagrama!$GA$25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Diagrama!$GA$26</c:f>
              <c:numCache>
                <c:formatCode>0.00</c:formatCode>
                <c:ptCount val="1"/>
              </c:numCache>
            </c:numRef>
          </c:xVal>
          <c:yVal>
            <c:numRef>
              <c:f>Diagrama!$GA$27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E250-4AB7-85F0-9E4846E1EDB9}"/>
            </c:ext>
          </c:extLst>
        </c:ser>
        <c:ser>
          <c:idx val="216"/>
          <c:order val="216"/>
          <c:tx>
            <c:strRef>
              <c:f>Diagrama!$GB$25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Diagrama!$GB$26</c:f>
              <c:numCache>
                <c:formatCode>0.00</c:formatCode>
                <c:ptCount val="1"/>
              </c:numCache>
            </c:numRef>
          </c:xVal>
          <c:yVal>
            <c:numRef>
              <c:f>Diagrama!$GB$27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E250-4AB7-85F0-9E4846E1EDB9}"/>
            </c:ext>
          </c:extLst>
        </c:ser>
        <c:ser>
          <c:idx val="217"/>
          <c:order val="217"/>
          <c:tx>
            <c:strRef>
              <c:f>Diagrama!$GC$25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Diagrama!$GC$26</c:f>
              <c:numCache>
                <c:formatCode>0.00</c:formatCode>
                <c:ptCount val="1"/>
              </c:numCache>
            </c:numRef>
          </c:xVal>
          <c:yVal>
            <c:numRef>
              <c:f>Diagrama!$GC$27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E250-4AB7-85F0-9E4846E1EDB9}"/>
            </c:ext>
          </c:extLst>
        </c:ser>
        <c:ser>
          <c:idx val="218"/>
          <c:order val="218"/>
          <c:tx>
            <c:strRef>
              <c:f>Diagrama!$GD$25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Diagrama!$GD$26</c:f>
              <c:numCache>
                <c:formatCode>0.00</c:formatCode>
                <c:ptCount val="1"/>
              </c:numCache>
            </c:numRef>
          </c:xVal>
          <c:yVal>
            <c:numRef>
              <c:f>Diagrama!$GD$27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E250-4AB7-85F0-9E4846E1EDB9}"/>
            </c:ext>
          </c:extLst>
        </c:ser>
        <c:ser>
          <c:idx val="219"/>
          <c:order val="219"/>
          <c:tx>
            <c:strRef>
              <c:f>Diagrama!$GE$25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Diagrama!$GE$26</c:f>
              <c:numCache>
                <c:formatCode>0.00</c:formatCode>
                <c:ptCount val="1"/>
              </c:numCache>
            </c:numRef>
          </c:xVal>
          <c:yVal>
            <c:numRef>
              <c:f>Diagrama!$GE$27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E250-4AB7-85F0-9E4846E1EDB9}"/>
            </c:ext>
          </c:extLst>
        </c:ser>
        <c:ser>
          <c:idx val="220"/>
          <c:order val="220"/>
          <c:tx>
            <c:strRef>
              <c:f>Diagrama!$GF$25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Diagrama!$GF$26</c:f>
              <c:numCache>
                <c:formatCode>0.00</c:formatCode>
                <c:ptCount val="1"/>
              </c:numCache>
            </c:numRef>
          </c:xVal>
          <c:yVal>
            <c:numRef>
              <c:f>Diagrama!$GF$27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E250-4AB7-85F0-9E4846E1EDB9}"/>
            </c:ext>
          </c:extLst>
        </c:ser>
        <c:ser>
          <c:idx val="221"/>
          <c:order val="221"/>
          <c:tx>
            <c:strRef>
              <c:f>Diagrama!$GG$25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Diagrama!$GG$26</c:f>
              <c:numCache>
                <c:formatCode>0.00</c:formatCode>
                <c:ptCount val="1"/>
              </c:numCache>
            </c:numRef>
          </c:xVal>
          <c:yVal>
            <c:numRef>
              <c:f>Diagrama!$GG$27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E250-4AB7-85F0-9E4846E1EDB9}"/>
            </c:ext>
          </c:extLst>
        </c:ser>
        <c:ser>
          <c:idx val="222"/>
          <c:order val="222"/>
          <c:tx>
            <c:strRef>
              <c:f>Diagrama!$GH$25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Diagrama!$GH$26</c:f>
              <c:numCache>
                <c:formatCode>0.00</c:formatCode>
                <c:ptCount val="1"/>
              </c:numCache>
            </c:numRef>
          </c:xVal>
          <c:yVal>
            <c:numRef>
              <c:f>Diagrama!$GH$27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E250-4AB7-85F0-9E4846E1EDB9}"/>
            </c:ext>
          </c:extLst>
        </c:ser>
        <c:ser>
          <c:idx val="223"/>
          <c:order val="223"/>
          <c:tx>
            <c:strRef>
              <c:f>Diagrama!$GI$25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Diagrama!$GI$26</c:f>
              <c:numCache>
                <c:formatCode>0.00</c:formatCode>
                <c:ptCount val="1"/>
              </c:numCache>
            </c:numRef>
          </c:xVal>
          <c:yVal>
            <c:numRef>
              <c:f>Diagrama!$GI$27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E250-4AB7-85F0-9E4846E1EDB9}"/>
            </c:ext>
          </c:extLst>
        </c:ser>
        <c:ser>
          <c:idx val="224"/>
          <c:order val="224"/>
          <c:tx>
            <c:strRef>
              <c:f>Diagrama!$GJ$25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Diagrama!$GJ$26</c:f>
              <c:numCache>
                <c:formatCode>0.00</c:formatCode>
                <c:ptCount val="1"/>
              </c:numCache>
            </c:numRef>
          </c:xVal>
          <c:yVal>
            <c:numRef>
              <c:f>Diagrama!$GJ$27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E250-4AB7-85F0-9E4846E1EDB9}"/>
            </c:ext>
          </c:extLst>
        </c:ser>
        <c:ser>
          <c:idx val="225"/>
          <c:order val="225"/>
          <c:tx>
            <c:strRef>
              <c:f>Diagrama!$GK$25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Diagrama!$GK$26</c:f>
              <c:numCache>
                <c:formatCode>0.00</c:formatCode>
                <c:ptCount val="1"/>
              </c:numCache>
            </c:numRef>
          </c:xVal>
          <c:yVal>
            <c:numRef>
              <c:f>Diagrama!$GK$27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E250-4AB7-85F0-9E4846E1EDB9}"/>
            </c:ext>
          </c:extLst>
        </c:ser>
        <c:ser>
          <c:idx val="226"/>
          <c:order val="226"/>
          <c:tx>
            <c:strRef>
              <c:f>Diagrama!$GL$25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Diagrama!$GL$26</c:f>
              <c:numCache>
                <c:formatCode>0.00</c:formatCode>
                <c:ptCount val="1"/>
              </c:numCache>
            </c:numRef>
          </c:xVal>
          <c:yVal>
            <c:numRef>
              <c:f>Diagrama!$GL$27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E250-4AB7-85F0-9E4846E1EDB9}"/>
            </c:ext>
          </c:extLst>
        </c:ser>
        <c:ser>
          <c:idx val="227"/>
          <c:order val="227"/>
          <c:tx>
            <c:strRef>
              <c:f>Diagrama!$GM$25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Diagrama!$GM$26</c:f>
              <c:numCache>
                <c:formatCode>0.00</c:formatCode>
                <c:ptCount val="1"/>
              </c:numCache>
            </c:numRef>
          </c:xVal>
          <c:yVal>
            <c:numRef>
              <c:f>Diagrama!$GM$27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E250-4AB7-85F0-9E4846E1EDB9}"/>
            </c:ext>
          </c:extLst>
        </c:ser>
        <c:ser>
          <c:idx val="228"/>
          <c:order val="228"/>
          <c:tx>
            <c:strRef>
              <c:f>Diagrama!$GN$25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Diagrama!$GN$26</c:f>
              <c:numCache>
                <c:formatCode>0.00</c:formatCode>
                <c:ptCount val="1"/>
              </c:numCache>
            </c:numRef>
          </c:xVal>
          <c:yVal>
            <c:numRef>
              <c:f>Diagrama!$GN$27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E250-4AB7-85F0-9E4846E1EDB9}"/>
            </c:ext>
          </c:extLst>
        </c:ser>
        <c:ser>
          <c:idx val="229"/>
          <c:order val="229"/>
          <c:tx>
            <c:strRef>
              <c:f>Diagrama!$GO$25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Diagrama!$GO$26</c:f>
              <c:numCache>
                <c:formatCode>0.00</c:formatCode>
                <c:ptCount val="1"/>
              </c:numCache>
            </c:numRef>
          </c:xVal>
          <c:yVal>
            <c:numRef>
              <c:f>Diagrama!$GO$27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E250-4AB7-85F0-9E4846E1EDB9}"/>
            </c:ext>
          </c:extLst>
        </c:ser>
        <c:ser>
          <c:idx val="230"/>
          <c:order val="230"/>
          <c:tx>
            <c:strRef>
              <c:f>Diagrama!$GP$25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Diagrama!$GP$26</c:f>
              <c:numCache>
                <c:formatCode>0.00</c:formatCode>
                <c:ptCount val="1"/>
              </c:numCache>
            </c:numRef>
          </c:xVal>
          <c:yVal>
            <c:numRef>
              <c:f>Diagrama!$GP$27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E250-4AB7-85F0-9E4846E1EDB9}"/>
            </c:ext>
          </c:extLst>
        </c:ser>
        <c:ser>
          <c:idx val="231"/>
          <c:order val="231"/>
          <c:tx>
            <c:strRef>
              <c:f>Diagrama!$GQ$25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Diagrama!$GQ$26</c:f>
              <c:numCache>
                <c:formatCode>0.00</c:formatCode>
                <c:ptCount val="1"/>
              </c:numCache>
            </c:numRef>
          </c:xVal>
          <c:yVal>
            <c:numRef>
              <c:f>Diagrama!$GQ$27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E250-4AB7-85F0-9E4846E1EDB9}"/>
            </c:ext>
          </c:extLst>
        </c:ser>
        <c:ser>
          <c:idx val="232"/>
          <c:order val="232"/>
          <c:tx>
            <c:strRef>
              <c:f>Diagrama!$GR$25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Diagrama!$GR$26</c:f>
              <c:numCache>
                <c:formatCode>0.00</c:formatCode>
                <c:ptCount val="1"/>
              </c:numCache>
            </c:numRef>
          </c:xVal>
          <c:yVal>
            <c:numRef>
              <c:f>Diagrama!$GR$27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E250-4AB7-85F0-9E4846E1EDB9}"/>
            </c:ext>
          </c:extLst>
        </c:ser>
        <c:ser>
          <c:idx val="233"/>
          <c:order val="233"/>
          <c:tx>
            <c:strRef>
              <c:f>Diagrama!$GS$25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Diagrama!$GS$26</c:f>
              <c:numCache>
                <c:formatCode>0.00</c:formatCode>
                <c:ptCount val="1"/>
              </c:numCache>
            </c:numRef>
          </c:xVal>
          <c:yVal>
            <c:numRef>
              <c:f>Diagrama!$GS$27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E250-4AB7-85F0-9E4846E1E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ontosEntra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N22" sqref="N22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100</v>
      </c>
      <c r="X1" s="176"/>
      <c r="Y1" s="176"/>
      <c r="AA1" s="174">
        <f>N5+O5+P5</f>
        <v>1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3</v>
      </c>
      <c r="U31" s="175">
        <v>3</v>
      </c>
      <c r="V31" s="175">
        <v>3</v>
      </c>
      <c r="W31" s="174">
        <f>IF($T$41,T31,1)</f>
        <v>3</v>
      </c>
      <c r="X31" s="174">
        <f>IF($T$41,T32,1)</f>
        <v>5</v>
      </c>
      <c r="Y31" s="174">
        <f>IF($T$41,T33,1)</f>
        <v>6</v>
      </c>
      <c r="Z31" s="174">
        <f>IF($T$41,T34,1)</f>
        <v>87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5</v>
      </c>
      <c r="U32" s="175">
        <v>5</v>
      </c>
      <c r="V32" s="175">
        <v>5</v>
      </c>
    </row>
    <row r="33" spans="1:24" x14ac:dyDescent="0.2">
      <c r="S33" s="175">
        <v>3</v>
      </c>
      <c r="T33" s="175">
        <v>6</v>
      </c>
      <c r="U33" s="175">
        <v>6</v>
      </c>
      <c r="V33" s="175">
        <v>6</v>
      </c>
    </row>
    <row r="34" spans="1:24" x14ac:dyDescent="0.2">
      <c r="S34" s="175">
        <v>4</v>
      </c>
      <c r="T34" s="175">
        <v>87</v>
      </c>
      <c r="U34" s="175">
        <v>87</v>
      </c>
      <c r="V34" s="175">
        <v>87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125</v>
      </c>
      <c r="M37" s="207" t="s">
        <v>125</v>
      </c>
      <c r="N37" s="207" t="s">
        <v>125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123</v>
      </c>
      <c r="M38" s="207" t="s">
        <v>123</v>
      </c>
      <c r="N38" s="207" t="s">
        <v>123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124</v>
      </c>
      <c r="M39" s="207" t="s">
        <v>124</v>
      </c>
      <c r="N39" s="207" t="s">
        <v>124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126</v>
      </c>
      <c r="M40" s="207" t="s">
        <v>126</v>
      </c>
      <c r="N40" s="207" t="s">
        <v>126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127</v>
      </c>
      <c r="M41" s="207" t="s">
        <v>127</v>
      </c>
      <c r="N41" s="207" t="s">
        <v>127</v>
      </c>
      <c r="R41" s="174" t="s">
        <v>71</v>
      </c>
      <c r="S41" s="175">
        <v>0</v>
      </c>
      <c r="T41" s="175" t="b">
        <v>1</v>
      </c>
      <c r="U41" s="175" t="b">
        <v>1</v>
      </c>
      <c r="V41" s="175" t="b">
        <v>1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128</v>
      </c>
      <c r="M42" s="207" t="s">
        <v>128</v>
      </c>
      <c r="N42" s="207" t="s">
        <v>128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129</v>
      </c>
      <c r="M43" s="207" t="s">
        <v>129</v>
      </c>
      <c r="N43" s="207" t="s">
        <v>129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130</v>
      </c>
      <c r="M44" s="207" t="s">
        <v>130</v>
      </c>
      <c r="N44" s="207" t="s">
        <v>130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131</v>
      </c>
      <c r="M45" s="207" t="s">
        <v>131</v>
      </c>
      <c r="N45" s="207" t="s">
        <v>131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132</v>
      </c>
      <c r="M46" s="207" t="s">
        <v>132</v>
      </c>
      <c r="N46" s="207" t="s">
        <v>132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429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138</v>
      </c>
      <c r="M47" s="207" t="s">
        <v>138</v>
      </c>
      <c r="N47" s="207" t="s">
        <v>138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139</v>
      </c>
      <c r="M48" s="207" t="s">
        <v>139</v>
      </c>
      <c r="N48" s="207" t="s">
        <v>139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140</v>
      </c>
      <c r="M49" s="207" t="s">
        <v>140</v>
      </c>
      <c r="N49" s="207" t="s">
        <v>140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141</v>
      </c>
      <c r="M50" s="207" t="s">
        <v>141</v>
      </c>
      <c r="N50" s="207" t="s">
        <v>141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142</v>
      </c>
      <c r="M51" s="207" t="s">
        <v>142</v>
      </c>
      <c r="N51" s="207" t="s">
        <v>142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143</v>
      </c>
      <c r="M52" s="207" t="s">
        <v>143</v>
      </c>
      <c r="N52" s="207" t="s">
        <v>143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144</v>
      </c>
      <c r="M53" s="207" t="s">
        <v>144</v>
      </c>
      <c r="N53" s="207" t="s">
        <v>144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145</v>
      </c>
      <c r="M54" s="207" t="s">
        <v>145</v>
      </c>
      <c r="N54" s="207" t="s">
        <v>145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146</v>
      </c>
      <c r="M55" s="207" t="s">
        <v>146</v>
      </c>
      <c r="N55" s="207" t="s">
        <v>146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228</v>
      </c>
      <c r="X55" s="174" t="s">
        <v>228</v>
      </c>
      <c r="Y55" s="174" t="s">
        <v>228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147</v>
      </c>
      <c r="M56" s="207" t="s">
        <v>147</v>
      </c>
      <c r="N56" s="207" t="s">
        <v>147</v>
      </c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117</v>
      </c>
      <c r="X56" s="174">
        <v>117</v>
      </c>
      <c r="Y56" s="174">
        <v>117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148</v>
      </c>
      <c r="M57" s="207" t="s">
        <v>148</v>
      </c>
      <c r="N57" s="207" t="s">
        <v>148</v>
      </c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132</v>
      </c>
      <c r="X57" s="174" t="s">
        <v>132</v>
      </c>
      <c r="Y57" s="174" t="s">
        <v>132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149</v>
      </c>
      <c r="M58" s="207" t="s">
        <v>149</v>
      </c>
      <c r="N58" s="207" t="s">
        <v>149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10</v>
      </c>
      <c r="X58" s="174">
        <v>10</v>
      </c>
      <c r="Y58" s="174">
        <v>10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150</v>
      </c>
      <c r="M59" s="207" t="s">
        <v>150</v>
      </c>
      <c r="N59" s="207" t="s">
        <v>150</v>
      </c>
      <c r="R59" s="174" t="s">
        <v>72</v>
      </c>
      <c r="S59" s="175">
        <v>0</v>
      </c>
      <c r="T59" s="175" t="s">
        <v>125</v>
      </c>
      <c r="U59" s="175" t="s">
        <v>125</v>
      </c>
      <c r="V59" s="175" t="s">
        <v>125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151</v>
      </c>
      <c r="M60" s="207" t="s">
        <v>151</v>
      </c>
      <c r="N60" s="207" t="s">
        <v>151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152</v>
      </c>
      <c r="M61" s="207" t="s">
        <v>152</v>
      </c>
      <c r="N61" s="207" t="s">
        <v>152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153</v>
      </c>
      <c r="M62" s="207" t="s">
        <v>153</v>
      </c>
      <c r="N62" s="207" t="s">
        <v>153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154</v>
      </c>
      <c r="M63" s="207" t="s">
        <v>154</v>
      </c>
      <c r="N63" s="207" t="s">
        <v>154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155</v>
      </c>
      <c r="M64" s="207" t="s">
        <v>155</v>
      </c>
      <c r="N64" s="207" t="s">
        <v>155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156</v>
      </c>
      <c r="M65" s="207" t="s">
        <v>156</v>
      </c>
      <c r="N65" s="207" t="s">
        <v>156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157</v>
      </c>
      <c r="M66" s="207" t="s">
        <v>157</v>
      </c>
      <c r="N66" s="207" t="s">
        <v>157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158</v>
      </c>
      <c r="M67" s="207" t="s">
        <v>158</v>
      </c>
      <c r="N67" s="207" t="s">
        <v>158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159</v>
      </c>
      <c r="M68" s="207" t="s">
        <v>159</v>
      </c>
      <c r="N68" s="207" t="s">
        <v>159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160</v>
      </c>
      <c r="M69" s="207" t="s">
        <v>160</v>
      </c>
      <c r="N69" s="207" t="s">
        <v>160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161</v>
      </c>
      <c r="M70" s="207" t="s">
        <v>161</v>
      </c>
      <c r="N70" s="207" t="s">
        <v>161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162</v>
      </c>
      <c r="M71" s="207" t="s">
        <v>162</v>
      </c>
      <c r="N71" s="207" t="s">
        <v>162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163</v>
      </c>
      <c r="M72" s="207" t="s">
        <v>163</v>
      </c>
      <c r="N72" s="207" t="s">
        <v>163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164</v>
      </c>
      <c r="M73" s="207" t="s">
        <v>164</v>
      </c>
      <c r="N73" s="207" t="s">
        <v>164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165</v>
      </c>
      <c r="M74" s="207" t="s">
        <v>165</v>
      </c>
      <c r="N74" s="207" t="s">
        <v>165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166</v>
      </c>
      <c r="M75" s="207" t="s">
        <v>166</v>
      </c>
      <c r="N75" s="207" t="s">
        <v>166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167</v>
      </c>
      <c r="M76" s="207" t="s">
        <v>167</v>
      </c>
      <c r="N76" s="207" t="s">
        <v>167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168</v>
      </c>
      <c r="M77" s="207" t="s">
        <v>168</v>
      </c>
      <c r="N77" s="207" t="s">
        <v>168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169</v>
      </c>
      <c r="M78" s="207" t="s">
        <v>169</v>
      </c>
      <c r="N78" s="207" t="s">
        <v>169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170</v>
      </c>
      <c r="M79" s="207" t="s">
        <v>170</v>
      </c>
      <c r="N79" s="207" t="s">
        <v>170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171</v>
      </c>
      <c r="M80" s="207" t="s">
        <v>171</v>
      </c>
      <c r="N80" s="207" t="s">
        <v>171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172</v>
      </c>
      <c r="M81" s="207" t="s">
        <v>172</v>
      </c>
      <c r="N81" s="207" t="s">
        <v>172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173</v>
      </c>
      <c r="M82" s="207" t="s">
        <v>173</v>
      </c>
      <c r="N82" s="207" t="s">
        <v>173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174</v>
      </c>
      <c r="M83" s="207" t="s">
        <v>174</v>
      </c>
      <c r="N83" s="207" t="s">
        <v>174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175</v>
      </c>
      <c r="M84" s="207" t="s">
        <v>175</v>
      </c>
      <c r="N84" s="207" t="s">
        <v>175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176</v>
      </c>
      <c r="M85" s="207" t="s">
        <v>176</v>
      </c>
      <c r="N85" s="207" t="s">
        <v>176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177</v>
      </c>
      <c r="M86" s="207" t="s">
        <v>177</v>
      </c>
      <c r="N86" s="207" t="s">
        <v>177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178</v>
      </c>
      <c r="M87" s="207" t="s">
        <v>178</v>
      </c>
      <c r="N87" s="207" t="s">
        <v>178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179</v>
      </c>
      <c r="M88" s="207" t="s">
        <v>179</v>
      </c>
      <c r="N88" s="207" t="s">
        <v>179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180</v>
      </c>
      <c r="M89" s="207" t="s">
        <v>180</v>
      </c>
      <c r="N89" s="207" t="s">
        <v>180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181</v>
      </c>
      <c r="M90" s="207" t="s">
        <v>181</v>
      </c>
      <c r="N90" s="207" t="s">
        <v>181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182</v>
      </c>
      <c r="M91" s="207" t="s">
        <v>182</v>
      </c>
      <c r="N91" s="207" t="s">
        <v>182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183</v>
      </c>
      <c r="M92" s="207" t="s">
        <v>183</v>
      </c>
      <c r="N92" s="207" t="s">
        <v>183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184</v>
      </c>
      <c r="M93" s="207" t="s">
        <v>184</v>
      </c>
      <c r="N93" s="207" t="s">
        <v>184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185</v>
      </c>
      <c r="M94" s="207" t="s">
        <v>185</v>
      </c>
      <c r="N94" s="207" t="s">
        <v>185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186</v>
      </c>
      <c r="M95" s="207" t="s">
        <v>186</v>
      </c>
      <c r="N95" s="207" t="s">
        <v>186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187</v>
      </c>
      <c r="M96" s="207" t="s">
        <v>187</v>
      </c>
      <c r="N96" s="207" t="s">
        <v>187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188</v>
      </c>
      <c r="M97" s="207" t="s">
        <v>188</v>
      </c>
      <c r="N97" s="207" t="s">
        <v>188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189</v>
      </c>
      <c r="M98" s="207" t="s">
        <v>189</v>
      </c>
      <c r="N98" s="207" t="s">
        <v>189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190</v>
      </c>
      <c r="M99" s="207" t="s">
        <v>190</v>
      </c>
      <c r="N99" s="207" t="s">
        <v>190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191</v>
      </c>
      <c r="M100" s="207" t="s">
        <v>191</v>
      </c>
      <c r="N100" s="207" t="s">
        <v>191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192</v>
      </c>
      <c r="M101" s="207" t="s">
        <v>192</v>
      </c>
      <c r="N101" s="207" t="s">
        <v>192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193</v>
      </c>
      <c r="M102" s="207" t="s">
        <v>193</v>
      </c>
      <c r="N102" s="207" t="s">
        <v>193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194</v>
      </c>
      <c r="M103" s="207" t="s">
        <v>194</v>
      </c>
      <c r="N103" s="207" t="s">
        <v>194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195</v>
      </c>
      <c r="M104" s="207" t="s">
        <v>195</v>
      </c>
      <c r="N104" s="207" t="s">
        <v>195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196</v>
      </c>
      <c r="M105" s="207" t="s">
        <v>196</v>
      </c>
      <c r="N105" s="207" t="s">
        <v>196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197</v>
      </c>
      <c r="M106" s="207" t="s">
        <v>197</v>
      </c>
      <c r="N106" s="207" t="s">
        <v>197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198</v>
      </c>
      <c r="M107" s="207" t="s">
        <v>198</v>
      </c>
      <c r="N107" s="207" t="s">
        <v>198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199</v>
      </c>
      <c r="M108" s="207" t="s">
        <v>199</v>
      </c>
      <c r="N108" s="207" t="s">
        <v>199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200</v>
      </c>
      <c r="M109" s="207" t="s">
        <v>200</v>
      </c>
      <c r="N109" s="207" t="s">
        <v>200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201</v>
      </c>
      <c r="M110" s="207" t="s">
        <v>201</v>
      </c>
      <c r="N110" s="207" t="s">
        <v>201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202</v>
      </c>
      <c r="M111" s="207" t="s">
        <v>202</v>
      </c>
      <c r="N111" s="207" t="s">
        <v>202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203</v>
      </c>
      <c r="M112" s="207" t="s">
        <v>203</v>
      </c>
      <c r="N112" s="207" t="s">
        <v>203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204</v>
      </c>
      <c r="M113" s="207" t="s">
        <v>204</v>
      </c>
      <c r="N113" s="207" t="s">
        <v>204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205</v>
      </c>
      <c r="M114" s="207" t="s">
        <v>205</v>
      </c>
      <c r="N114" s="207" t="s">
        <v>205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206</v>
      </c>
      <c r="M115" s="207" t="s">
        <v>206</v>
      </c>
      <c r="N115" s="207" t="s">
        <v>206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207</v>
      </c>
      <c r="M116" s="207" t="s">
        <v>207</v>
      </c>
      <c r="N116" s="207" t="s">
        <v>207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208</v>
      </c>
      <c r="M117" s="207" t="s">
        <v>208</v>
      </c>
      <c r="N117" s="207" t="s">
        <v>208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209</v>
      </c>
      <c r="M118" s="207" t="s">
        <v>209</v>
      </c>
      <c r="N118" s="207" t="s">
        <v>209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210</v>
      </c>
      <c r="M119" s="207" t="s">
        <v>210</v>
      </c>
      <c r="N119" s="207" t="s">
        <v>210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211</v>
      </c>
      <c r="M120" s="207" t="s">
        <v>211</v>
      </c>
      <c r="N120" s="207" t="s">
        <v>211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212</v>
      </c>
      <c r="M121" s="207" t="s">
        <v>212</v>
      </c>
      <c r="N121" s="207" t="s">
        <v>212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213</v>
      </c>
      <c r="M122" s="207" t="s">
        <v>213</v>
      </c>
      <c r="N122" s="207" t="s">
        <v>213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214</v>
      </c>
      <c r="M123" s="207" t="s">
        <v>214</v>
      </c>
      <c r="N123" s="207" t="s">
        <v>214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215</v>
      </c>
      <c r="M124" s="207" t="s">
        <v>215</v>
      </c>
      <c r="N124" s="207" t="s">
        <v>215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216</v>
      </c>
      <c r="M125" s="207" t="s">
        <v>216</v>
      </c>
      <c r="N125" s="207" t="s">
        <v>216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217</v>
      </c>
      <c r="M126" s="207" t="s">
        <v>217</v>
      </c>
      <c r="N126" s="207" t="s">
        <v>217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218</v>
      </c>
      <c r="M127" s="207" t="s">
        <v>218</v>
      </c>
      <c r="N127" s="207" t="s">
        <v>218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219</v>
      </c>
      <c r="M128" s="207" t="s">
        <v>219</v>
      </c>
      <c r="N128" s="207" t="s">
        <v>219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220</v>
      </c>
      <c r="M129" s="207" t="s">
        <v>220</v>
      </c>
      <c r="N129" s="207" t="s">
        <v>220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221</v>
      </c>
      <c r="M130" s="207" t="s">
        <v>221</v>
      </c>
      <c r="N130" s="207" t="s">
        <v>221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222</v>
      </c>
      <c r="M131" s="207" t="s">
        <v>222</v>
      </c>
      <c r="N131" s="207" t="s">
        <v>222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223</v>
      </c>
      <c r="M132" s="207" t="s">
        <v>223</v>
      </c>
      <c r="N132" s="207" t="s">
        <v>223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224</v>
      </c>
      <c r="M133" s="207" t="s">
        <v>224</v>
      </c>
      <c r="N133" s="207" t="s">
        <v>224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225</v>
      </c>
      <c r="M134" s="207" t="s">
        <v>225</v>
      </c>
      <c r="N134" s="207" t="s">
        <v>225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226</v>
      </c>
      <c r="M135" s="207" t="s">
        <v>226</v>
      </c>
      <c r="N135" s="207" t="s">
        <v>226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227</v>
      </c>
      <c r="M136" s="207" t="s">
        <v>227</v>
      </c>
      <c r="N136" s="207" t="s">
        <v>227</v>
      </c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1</v>
      </c>
      <c r="C239" s="174">
        <f>IF($T$41,L239,1)</f>
        <v>1</v>
      </c>
      <c r="E239" s="174" t="s">
        <v>133</v>
      </c>
      <c r="F239" s="175">
        <v>1</v>
      </c>
      <c r="G239" s="175" t="b">
        <v>1</v>
      </c>
      <c r="H239" s="175" t="b">
        <v>1</v>
      </c>
      <c r="I239" s="175" t="b">
        <v>1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1</v>
      </c>
      <c r="C240" s="174">
        <f>IF($T$41,L240,1)</f>
        <v>1</v>
      </c>
      <c r="F240" s="175">
        <v>2</v>
      </c>
      <c r="G240" s="175" t="b">
        <v>1</v>
      </c>
      <c r="H240" s="175" t="b">
        <v>1</v>
      </c>
      <c r="I240" s="175" t="b">
        <v>1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1</v>
      </c>
      <c r="C241" s="174">
        <f>IF($T$41,L241,1)</f>
        <v>1</v>
      </c>
      <c r="F241" s="175">
        <v>3</v>
      </c>
      <c r="G241" s="175" t="b">
        <v>1</v>
      </c>
      <c r="H241" s="175" t="b">
        <v>1</v>
      </c>
      <c r="I241" s="175" t="b">
        <v>1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1</v>
      </c>
      <c r="C242" s="174">
        <f t="shared" ref="C242:C305" si="1">IF($T$41,L242,1)</f>
        <v>1</v>
      </c>
      <c r="F242" s="175">
        <v>4</v>
      </c>
      <c r="G242" s="175" t="b">
        <v>1</v>
      </c>
      <c r="H242" s="175" t="b">
        <v>1</v>
      </c>
      <c r="I242" s="175" t="b">
        <v>1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1</v>
      </c>
      <c r="C243" s="174">
        <f t="shared" si="1"/>
        <v>1</v>
      </c>
      <c r="F243" s="175">
        <v>5</v>
      </c>
      <c r="G243" s="175" t="b">
        <v>1</v>
      </c>
      <c r="H243" s="175" t="b">
        <v>1</v>
      </c>
      <c r="I243" s="175" t="b">
        <v>1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1</v>
      </c>
      <c r="C244" s="174">
        <f t="shared" si="1"/>
        <v>1</v>
      </c>
      <c r="F244" s="175">
        <v>6</v>
      </c>
      <c r="G244" s="175" t="b">
        <v>1</v>
      </c>
      <c r="H244" s="175" t="b">
        <v>1</v>
      </c>
      <c r="I244" s="175" t="b">
        <v>1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1</v>
      </c>
      <c r="C245" s="174">
        <f t="shared" si="1"/>
        <v>1</v>
      </c>
      <c r="F245" s="175">
        <v>7</v>
      </c>
      <c r="G245" s="175" t="b">
        <v>1</v>
      </c>
      <c r="H245" s="175" t="b">
        <v>1</v>
      </c>
      <c r="I245" s="175" t="b">
        <v>1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1</v>
      </c>
      <c r="C246" s="174">
        <f t="shared" si="1"/>
        <v>1</v>
      </c>
      <c r="F246" s="175">
        <v>8</v>
      </c>
      <c r="G246" s="175" t="b">
        <v>1</v>
      </c>
      <c r="H246" s="175" t="b">
        <v>1</v>
      </c>
      <c r="I246" s="175" t="b">
        <v>1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1</v>
      </c>
      <c r="C247" s="174">
        <f t="shared" si="1"/>
        <v>1</v>
      </c>
      <c r="F247" s="175">
        <v>9</v>
      </c>
      <c r="G247" s="175" t="b">
        <v>1</v>
      </c>
      <c r="H247" s="175" t="b">
        <v>1</v>
      </c>
      <c r="I247" s="175" t="b">
        <v>1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1</v>
      </c>
      <c r="C248" s="174">
        <f t="shared" si="1"/>
        <v>1</v>
      </c>
      <c r="F248" s="175">
        <v>10</v>
      </c>
      <c r="G248" s="175" t="b">
        <v>1</v>
      </c>
      <c r="H248" s="175" t="b">
        <v>1</v>
      </c>
      <c r="I248" s="175" t="b">
        <v>1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1</v>
      </c>
      <c r="C440" s="174">
        <f>IF(G240,1,0)</f>
        <v>1</v>
      </c>
      <c r="D440" s="174">
        <f>IF(G241,1,0)</f>
        <v>1</v>
      </c>
      <c r="E440" s="174">
        <f>IF(G242,1,0)</f>
        <v>1</v>
      </c>
      <c r="F440" s="174">
        <f>IF(G243,1,0)</f>
        <v>1</v>
      </c>
      <c r="G440" s="174">
        <f>IF(G244,1,0)</f>
        <v>1</v>
      </c>
      <c r="H440" s="174">
        <f>IF(G245,1,0)</f>
        <v>1</v>
      </c>
      <c r="I440" s="174">
        <f>IF(G246,1,0)</f>
        <v>1</v>
      </c>
      <c r="J440" s="174">
        <f>IF(G247,1,0)</f>
        <v>1</v>
      </c>
      <c r="K440" s="174">
        <f>IF(G248,1,0)</f>
        <v>1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125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125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125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123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123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123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124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124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124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126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126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126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127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127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127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128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128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128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129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129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129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130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130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130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131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131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131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132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132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132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138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138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138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139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139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139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140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140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140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141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141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141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142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142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142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143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143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143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144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144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144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145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145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145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146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146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146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147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147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147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148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148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148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149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149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149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150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150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150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151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151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151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152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152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152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153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153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153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154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154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154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155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155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155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156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156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156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157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157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157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158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158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158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159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159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159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160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160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160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161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161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161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162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162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162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163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163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163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164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164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164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165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165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165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166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166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166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167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167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167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168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168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168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169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169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169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170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170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170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171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171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171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172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172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172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173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173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173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174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174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174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175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175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175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176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176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176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177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177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177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178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178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178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179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179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179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180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180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180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181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181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181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182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182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182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183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183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183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184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184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184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185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185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185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186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186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186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187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187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187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188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188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188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189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189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189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190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190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190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191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191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191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192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192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192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193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193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193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194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194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194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195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195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195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196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196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196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197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197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197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198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198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198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199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199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199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200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200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200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201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201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201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202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202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202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203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203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203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204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204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204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205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205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205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206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206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206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207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207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207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208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208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208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209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209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209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210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210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210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211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211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211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212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212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212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213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213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213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214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214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214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215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215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215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216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216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216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217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217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217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218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218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218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219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219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219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220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220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220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221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221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221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222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222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222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223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223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223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224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224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224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225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225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225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226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226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226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227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227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227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/>
      <c r="C502" s="203"/>
    </row>
    <row r="503" spans="1:9" x14ac:dyDescent="0.2">
      <c r="A503" s="203"/>
      <c r="C503" s="203"/>
    </row>
    <row r="504" spans="1:9" x14ac:dyDescent="0.2">
      <c r="A504" s="203"/>
      <c r="C504" s="203"/>
    </row>
    <row r="505" spans="1:9" x14ac:dyDescent="0.2">
      <c r="A505" s="203"/>
      <c r="C505" s="203"/>
    </row>
    <row r="506" spans="1:9" x14ac:dyDescent="0.2">
      <c r="A506" s="203"/>
      <c r="C506" s="203"/>
    </row>
    <row r="507" spans="1:9" x14ac:dyDescent="0.2">
      <c r="A507" s="203"/>
      <c r="C507" s="203"/>
    </row>
    <row r="508" spans="1:9" x14ac:dyDescent="0.2">
      <c r="A508" s="203"/>
      <c r="C508" s="203"/>
    </row>
    <row r="509" spans="1:9" x14ac:dyDescent="0.2">
      <c r="A509" s="203"/>
      <c r="C509" s="203"/>
    </row>
    <row r="510" spans="1:9" x14ac:dyDescent="0.2">
      <c r="A510" s="203"/>
      <c r="C510" s="203"/>
    </row>
    <row r="511" spans="1:9" x14ac:dyDescent="0.2">
      <c r="A511" s="203"/>
      <c r="C511" s="203"/>
    </row>
    <row r="512" spans="1:9" x14ac:dyDescent="0.2">
      <c r="A512" s="203"/>
      <c r="C512" s="203"/>
    </row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H22" sqref="H2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125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123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124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126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127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128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129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130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131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132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138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139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140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141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142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143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144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145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146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147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148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149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150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151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152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153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154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155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156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157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158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159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160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161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162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163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164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165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166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167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168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169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170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171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172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173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174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175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176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177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178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179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180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181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182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183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184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185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186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187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188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189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190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191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192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193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194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195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196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197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198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199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200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201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202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203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204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205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206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207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208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209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210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211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212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213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214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215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216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217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218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219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220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221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222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223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224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225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226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227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311"/>
  <sheetViews>
    <sheetView windowProtection="1" showGridLines="0" topLeftCell="AJ27" zoomScale="98" zoomScaleNormal="98" workbookViewId="0">
      <selection activeCell="AK47" sqref="AK47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19"/>
      <c r="C1" s="219"/>
      <c r="D1" s="10"/>
      <c r="E1" s="219"/>
      <c r="F1" s="219"/>
    </row>
    <row r="4" spans="1:201" x14ac:dyDescent="0.2">
      <c r="A4" s="212" t="s">
        <v>18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19</v>
      </c>
      <c r="B5" s="13" t="s">
        <v>229</v>
      </c>
      <c r="C5" s="13" t="s">
        <v>230</v>
      </c>
      <c r="D5" s="13" t="s">
        <v>231</v>
      </c>
      <c r="E5" s="13" t="s">
        <v>232</v>
      </c>
      <c r="F5" s="13" t="s">
        <v>233</v>
      </c>
      <c r="G5" s="13" t="s">
        <v>234</v>
      </c>
      <c r="H5" s="13" t="s">
        <v>235</v>
      </c>
      <c r="I5" s="13" t="s">
        <v>236</v>
      </c>
      <c r="J5" s="13" t="s">
        <v>237</v>
      </c>
      <c r="K5" s="13" t="s">
        <v>238</v>
      </c>
      <c r="L5" s="13" t="s">
        <v>239</v>
      </c>
      <c r="M5" s="13" t="s">
        <v>240</v>
      </c>
      <c r="N5" s="13" t="s">
        <v>241</v>
      </c>
      <c r="O5" s="13" t="s">
        <v>242</v>
      </c>
      <c r="P5" s="13" t="s">
        <v>243</v>
      </c>
      <c r="Q5" s="13" t="s">
        <v>244</v>
      </c>
      <c r="R5" s="13" t="s">
        <v>245</v>
      </c>
      <c r="S5" s="13" t="s">
        <v>246</v>
      </c>
      <c r="T5" s="13" t="s">
        <v>247</v>
      </c>
      <c r="U5" s="13" t="s">
        <v>248</v>
      </c>
      <c r="V5" s="13" t="s">
        <v>249</v>
      </c>
      <c r="W5" s="13" t="s">
        <v>250</v>
      </c>
      <c r="X5" s="13" t="s">
        <v>251</v>
      </c>
      <c r="Y5" s="13" t="s">
        <v>252</v>
      </c>
      <c r="Z5" s="13" t="s">
        <v>253</v>
      </c>
      <c r="AA5" s="13" t="s">
        <v>254</v>
      </c>
      <c r="AB5" s="13" t="s">
        <v>255</v>
      </c>
      <c r="AC5" s="13" t="s">
        <v>256</v>
      </c>
      <c r="AD5" s="13" t="s">
        <v>257</v>
      </c>
      <c r="AE5" s="13" t="s">
        <v>258</v>
      </c>
      <c r="AF5" s="13" t="s">
        <v>259</v>
      </c>
      <c r="AG5" s="13" t="s">
        <v>260</v>
      </c>
      <c r="AH5" s="13" t="s">
        <v>261</v>
      </c>
      <c r="AI5" s="13" t="s">
        <v>262</v>
      </c>
      <c r="AJ5" s="13" t="s">
        <v>263</v>
      </c>
      <c r="AK5" s="13" t="s">
        <v>264</v>
      </c>
      <c r="AL5" s="13" t="s">
        <v>265</v>
      </c>
      <c r="AM5" s="13" t="s">
        <v>266</v>
      </c>
      <c r="AN5" s="13" t="s">
        <v>267</v>
      </c>
      <c r="AO5" s="13" t="s">
        <v>268</v>
      </c>
      <c r="AP5" s="13" t="s">
        <v>269</v>
      </c>
      <c r="AQ5" s="13" t="s">
        <v>270</v>
      </c>
      <c r="AR5" s="13" t="s">
        <v>271</v>
      </c>
      <c r="AS5" s="13" t="s">
        <v>272</v>
      </c>
      <c r="AT5" s="13" t="s">
        <v>273</v>
      </c>
      <c r="AU5" s="13" t="s">
        <v>274</v>
      </c>
      <c r="AV5" s="13" t="s">
        <v>275</v>
      </c>
      <c r="AW5" s="13" t="s">
        <v>276</v>
      </c>
      <c r="AX5" s="13" t="s">
        <v>277</v>
      </c>
      <c r="AY5" s="13" t="s">
        <v>278</v>
      </c>
      <c r="AZ5" s="13" t="s">
        <v>279</v>
      </c>
      <c r="BA5" s="13" t="s">
        <v>280</v>
      </c>
      <c r="BB5" s="13" t="s">
        <v>281</v>
      </c>
      <c r="BC5" s="13" t="s">
        <v>282</v>
      </c>
      <c r="BD5" s="13" t="s">
        <v>283</v>
      </c>
      <c r="BE5" s="13" t="s">
        <v>284</v>
      </c>
      <c r="BF5" s="13" t="s">
        <v>285</v>
      </c>
      <c r="BG5" s="13" t="s">
        <v>286</v>
      </c>
      <c r="BH5" s="13" t="s">
        <v>287</v>
      </c>
      <c r="BI5" s="13" t="s">
        <v>288</v>
      </c>
      <c r="BJ5" s="13" t="s">
        <v>289</v>
      </c>
      <c r="BK5" s="13" t="s">
        <v>290</v>
      </c>
      <c r="BL5" s="13" t="s">
        <v>291</v>
      </c>
      <c r="BM5" s="13" t="s">
        <v>292</v>
      </c>
      <c r="BN5" s="13" t="s">
        <v>293</v>
      </c>
      <c r="BO5" s="13" t="s">
        <v>294</v>
      </c>
      <c r="BP5" s="13" t="s">
        <v>295</v>
      </c>
      <c r="BQ5" s="13" t="s">
        <v>296</v>
      </c>
      <c r="BR5" s="13" t="s">
        <v>297</v>
      </c>
      <c r="BS5" s="13" t="s">
        <v>298</v>
      </c>
      <c r="BT5" s="13" t="s">
        <v>299</v>
      </c>
      <c r="BU5" s="13" t="s">
        <v>300</v>
      </c>
      <c r="BV5" s="13" t="s">
        <v>301</v>
      </c>
      <c r="BW5" s="13" t="s">
        <v>302</v>
      </c>
      <c r="BX5" s="13" t="s">
        <v>303</v>
      </c>
      <c r="BY5" s="13" t="s">
        <v>304</v>
      </c>
      <c r="BZ5" s="13" t="s">
        <v>305</v>
      </c>
      <c r="CA5" s="13" t="s">
        <v>306</v>
      </c>
      <c r="CB5" s="13" t="s">
        <v>307</v>
      </c>
      <c r="CC5" s="13" t="s">
        <v>308</v>
      </c>
      <c r="CD5" s="13" t="s">
        <v>309</v>
      </c>
      <c r="CE5" s="13" t="s">
        <v>310</v>
      </c>
      <c r="CF5" s="13" t="s">
        <v>311</v>
      </c>
      <c r="CG5" s="13" t="s">
        <v>312</v>
      </c>
      <c r="CH5" s="13" t="s">
        <v>313</v>
      </c>
      <c r="CI5" s="13" t="s">
        <v>314</v>
      </c>
      <c r="CJ5" s="13" t="s">
        <v>315</v>
      </c>
      <c r="CK5" s="13" t="s">
        <v>316</v>
      </c>
      <c r="CL5" s="13" t="s">
        <v>317</v>
      </c>
      <c r="CM5" s="13" t="s">
        <v>318</v>
      </c>
      <c r="CN5" s="13" t="s">
        <v>319</v>
      </c>
      <c r="CO5" s="13" t="s">
        <v>320</v>
      </c>
      <c r="CP5" s="13" t="s">
        <v>321</v>
      </c>
      <c r="CQ5" s="13" t="s">
        <v>322</v>
      </c>
      <c r="CR5" s="13" t="s">
        <v>323</v>
      </c>
      <c r="CS5" s="13" t="s">
        <v>324</v>
      </c>
      <c r="CT5" s="13" t="s">
        <v>325</v>
      </c>
      <c r="CU5" s="13" t="s">
        <v>326</v>
      </c>
      <c r="CV5" s="13" t="s">
        <v>327</v>
      </c>
      <c r="CW5" s="13" t="s">
        <v>328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4" t="s">
        <v>21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4" t="s">
        <v>33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34</v>
      </c>
      <c r="B25" s="56" t="s">
        <v>229</v>
      </c>
      <c r="C25" s="13" t="s">
        <v>230</v>
      </c>
      <c r="D25" s="13" t="s">
        <v>231</v>
      </c>
      <c r="E25" s="13" t="s">
        <v>232</v>
      </c>
      <c r="F25" s="13" t="s">
        <v>233</v>
      </c>
      <c r="G25" s="13" t="s">
        <v>234</v>
      </c>
      <c r="H25" s="13" t="s">
        <v>235</v>
      </c>
      <c r="I25" s="13" t="s">
        <v>236</v>
      </c>
      <c r="J25" s="13" t="s">
        <v>237</v>
      </c>
      <c r="K25" s="13" t="s">
        <v>238</v>
      </c>
      <c r="L25" s="13" t="s">
        <v>239</v>
      </c>
      <c r="M25" s="13" t="s">
        <v>240</v>
      </c>
      <c r="N25" s="13" t="s">
        <v>241</v>
      </c>
      <c r="O25" s="13" t="s">
        <v>242</v>
      </c>
      <c r="P25" s="13" t="s">
        <v>243</v>
      </c>
      <c r="Q25" s="13" t="s">
        <v>244</v>
      </c>
      <c r="R25" s="13" t="s">
        <v>245</v>
      </c>
      <c r="S25" s="13" t="s">
        <v>246</v>
      </c>
      <c r="T25" s="13" t="s">
        <v>247</v>
      </c>
      <c r="U25" s="13" t="s">
        <v>248</v>
      </c>
      <c r="V25" s="13" t="s">
        <v>249</v>
      </c>
      <c r="W25" s="13" t="s">
        <v>250</v>
      </c>
      <c r="X25" s="13" t="s">
        <v>251</v>
      </c>
      <c r="Y25" s="13" t="s">
        <v>252</v>
      </c>
      <c r="Z25" s="13" t="s">
        <v>253</v>
      </c>
      <c r="AA25" s="13" t="s">
        <v>254</v>
      </c>
      <c r="AB25" s="13" t="s">
        <v>255</v>
      </c>
      <c r="AC25" s="13" t="s">
        <v>256</v>
      </c>
      <c r="AD25" s="13" t="s">
        <v>257</v>
      </c>
      <c r="AE25" s="13" t="s">
        <v>258</v>
      </c>
      <c r="AF25" s="13" t="s">
        <v>259</v>
      </c>
      <c r="AG25" s="13" t="s">
        <v>260</v>
      </c>
      <c r="AH25" s="13" t="s">
        <v>261</v>
      </c>
      <c r="AI25" s="13" t="s">
        <v>262</v>
      </c>
      <c r="AJ25" s="13" t="s">
        <v>263</v>
      </c>
      <c r="AK25" s="13" t="s">
        <v>264</v>
      </c>
      <c r="AL25" s="13" t="s">
        <v>265</v>
      </c>
      <c r="AM25" s="13" t="s">
        <v>266</v>
      </c>
      <c r="AN25" s="13" t="s">
        <v>267</v>
      </c>
      <c r="AO25" s="13" t="s">
        <v>268</v>
      </c>
      <c r="AP25" s="13" t="s">
        <v>269</v>
      </c>
      <c r="AQ25" s="13" t="s">
        <v>270</v>
      </c>
      <c r="AR25" s="13" t="s">
        <v>271</v>
      </c>
      <c r="AS25" s="13" t="s">
        <v>272</v>
      </c>
      <c r="AT25" s="13" t="s">
        <v>273</v>
      </c>
      <c r="AU25" s="13" t="s">
        <v>274</v>
      </c>
      <c r="AV25" s="13" t="s">
        <v>275</v>
      </c>
      <c r="AW25" s="13" t="s">
        <v>276</v>
      </c>
      <c r="AX25" s="13" t="s">
        <v>277</v>
      </c>
      <c r="AY25" s="13" t="s">
        <v>278</v>
      </c>
      <c r="AZ25" s="13" t="s">
        <v>279</v>
      </c>
      <c r="BA25" s="13" t="s">
        <v>280</v>
      </c>
      <c r="BB25" s="13" t="s">
        <v>281</v>
      </c>
      <c r="BC25" s="13" t="s">
        <v>282</v>
      </c>
      <c r="BD25" s="13" t="s">
        <v>283</v>
      </c>
      <c r="BE25" s="13" t="s">
        <v>284</v>
      </c>
      <c r="BF25" s="13" t="s">
        <v>285</v>
      </c>
      <c r="BG25" s="13" t="s">
        <v>286</v>
      </c>
      <c r="BH25" s="13" t="s">
        <v>287</v>
      </c>
      <c r="BI25" s="13" t="s">
        <v>288</v>
      </c>
      <c r="BJ25" s="13" t="s">
        <v>289</v>
      </c>
      <c r="BK25" s="13" t="s">
        <v>290</v>
      </c>
      <c r="BL25" s="13" t="s">
        <v>291</v>
      </c>
      <c r="BM25" s="13" t="s">
        <v>292</v>
      </c>
      <c r="BN25" s="13" t="s">
        <v>293</v>
      </c>
      <c r="BO25" s="13" t="s">
        <v>294</v>
      </c>
      <c r="BP25" s="13" t="s">
        <v>295</v>
      </c>
      <c r="BQ25" s="13" t="s">
        <v>296</v>
      </c>
      <c r="BR25" s="13" t="s">
        <v>297</v>
      </c>
      <c r="BS25" s="13" t="s">
        <v>298</v>
      </c>
      <c r="BT25" s="13" t="s">
        <v>299</v>
      </c>
      <c r="BU25" s="13" t="s">
        <v>300</v>
      </c>
      <c r="BV25" s="13" t="s">
        <v>301</v>
      </c>
      <c r="BW25" s="13" t="s">
        <v>302</v>
      </c>
      <c r="BX25" s="13" t="s">
        <v>303</v>
      </c>
      <c r="BY25" s="13" t="s">
        <v>304</v>
      </c>
      <c r="BZ25" s="13" t="s">
        <v>305</v>
      </c>
      <c r="CA25" s="13" t="s">
        <v>306</v>
      </c>
      <c r="CB25" s="13" t="s">
        <v>307</v>
      </c>
      <c r="CC25" s="13" t="s">
        <v>308</v>
      </c>
      <c r="CD25" s="13" t="s">
        <v>309</v>
      </c>
      <c r="CE25" s="13" t="s">
        <v>310</v>
      </c>
      <c r="CF25" s="13" t="s">
        <v>311</v>
      </c>
      <c r="CG25" s="13" t="s">
        <v>312</v>
      </c>
      <c r="CH25" s="13" t="s">
        <v>313</v>
      </c>
      <c r="CI25" s="13" t="s">
        <v>314</v>
      </c>
      <c r="CJ25" s="13" t="s">
        <v>315</v>
      </c>
      <c r="CK25" s="13" t="s">
        <v>316</v>
      </c>
      <c r="CL25" s="13" t="s">
        <v>317</v>
      </c>
      <c r="CM25" s="13" t="s">
        <v>318</v>
      </c>
      <c r="CN25" s="13" t="s">
        <v>319</v>
      </c>
      <c r="CO25" s="13" t="s">
        <v>320</v>
      </c>
      <c r="CP25" s="13" t="s">
        <v>321</v>
      </c>
      <c r="CQ25" s="13" t="s">
        <v>322</v>
      </c>
      <c r="CR25" s="13" t="s">
        <v>323</v>
      </c>
      <c r="CS25" s="13" t="s">
        <v>324</v>
      </c>
      <c r="CT25" s="13" t="s">
        <v>325</v>
      </c>
      <c r="CU25" s="13" t="s">
        <v>326</v>
      </c>
      <c r="CV25" s="13" t="s">
        <v>327</v>
      </c>
      <c r="CW25" s="13" t="s">
        <v>328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6" t="s">
        <v>34</v>
      </c>
      <c r="B28" s="217"/>
      <c r="C28" s="218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 ca="1">IF(DIAG!H239,$GL$55,-1)</f>
        <v>1.8042195912175808E-2</v>
      </c>
      <c r="AQ29" s="61">
        <f ca="1">AP29+(AY29-AP29)/9</f>
        <v>2.672917912914935E-2</v>
      </c>
      <c r="AR29" s="61">
        <f ca="1">AQ29+(AY29-AQ29)/8</f>
        <v>3.5416162346122888E-2</v>
      </c>
      <c r="AS29" s="61">
        <f ca="1">AR29+(AY29-AR29)/7</f>
        <v>4.4103145563096427E-2</v>
      </c>
      <c r="AT29" s="61">
        <f ca="1">AS29+(AY29-AS29)/6</f>
        <v>5.2790128780069966E-2</v>
      </c>
      <c r="AU29" s="61">
        <f ca="1">AT29+(AY29-AT29)/5</f>
        <v>6.1477111997043504E-2</v>
      </c>
      <c r="AV29" s="61">
        <f ca="1">AU29+(AY29-AU29)/4</f>
        <v>7.016409521401705E-2</v>
      </c>
      <c r="AW29" s="61">
        <f ca="1">AV29+(AY29-AV29)/3</f>
        <v>7.8851078430990595E-2</v>
      </c>
      <c r="AX29" s="61">
        <f ca="1">AW29+(AY29-AW29)/2</f>
        <v>8.7538061647964127E-2</v>
      </c>
      <c r="AY29" s="62">
        <f>IF(DIAG!H239,$B$26,-1)</f>
        <v>9.6225044864937673E-2</v>
      </c>
      <c r="BA29" s="11" t="s">
        <v>86</v>
      </c>
      <c r="BB29" s="9">
        <f>DIAG!W1</f>
        <v>100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 ca="1">IF(DIAG!H239,$GL$56,-1)</f>
        <v>0</v>
      </c>
      <c r="AQ30" s="67">
        <f ca="1">AP30+(AY30-AP30)/9</f>
        <v>1.8518518518518517E-2</v>
      </c>
      <c r="AR30" s="67">
        <f ca="1">AQ30+(AY30-AQ30)/8</f>
        <v>3.7037037037037035E-2</v>
      </c>
      <c r="AS30" s="67">
        <f ca="1">AR30+(AY30-AR30)/7</f>
        <v>5.5555555555555552E-2</v>
      </c>
      <c r="AT30" s="67">
        <f ca="1">AS30+(AY30-AS30)/6</f>
        <v>7.407407407407407E-2</v>
      </c>
      <c r="AU30" s="67">
        <f ca="1">AT30+(AY30-AT30)/5</f>
        <v>9.2592592592592587E-2</v>
      </c>
      <c r="AV30" s="67">
        <f ca="1">AU30+(AY30-AU30)/4</f>
        <v>0.1111111111111111</v>
      </c>
      <c r="AW30" s="67">
        <f ca="1">AV30+(AY30-AV30)/3</f>
        <v>0.12962962962962962</v>
      </c>
      <c r="AX30" s="67">
        <f ca="1">AW30+(AY30-AW30)/2</f>
        <v>0.14814814814814814</v>
      </c>
      <c r="AY30" s="68">
        <f>IF(DIAG!H239,$B$27,-1)</f>
        <v>0.16666666666666666</v>
      </c>
      <c r="BA30" s="11" t="s">
        <v>84</v>
      </c>
      <c r="BB30" s="14">
        <f ca="1">IF(BB29=0,0,MAX(OFFSET(BC29,1,1,1,BB29)))</f>
        <v>897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  <c r="BN30" s="14">
        <f t="shared" ref="BN30" si="1">L9</f>
        <v>96</v>
      </c>
      <c r="BO30" s="14">
        <f t="shared" ref="BO30" si="2">M9</f>
        <v>105</v>
      </c>
      <c r="BP30" s="14">
        <f t="shared" ref="BP30" si="3">N9</f>
        <v>114</v>
      </c>
      <c r="BQ30" s="14">
        <f t="shared" ref="BQ30" si="4">O9</f>
        <v>123</v>
      </c>
      <c r="BR30" s="14">
        <f t="shared" ref="BR30" si="5">P9</f>
        <v>132</v>
      </c>
      <c r="BS30" s="14">
        <f t="shared" ref="BS30" si="6">Q9</f>
        <v>141</v>
      </c>
      <c r="BT30" s="14">
        <f t="shared" ref="BT30" si="7">R9</f>
        <v>150</v>
      </c>
      <c r="BU30" s="14">
        <f t="shared" ref="BU30" si="8">S9</f>
        <v>159</v>
      </c>
      <c r="BV30" s="14">
        <f t="shared" ref="BV30" si="9">T9</f>
        <v>168</v>
      </c>
      <c r="BW30" s="14">
        <f t="shared" ref="BW30" si="10">U9</f>
        <v>177</v>
      </c>
      <c r="BX30" s="14">
        <f t="shared" ref="BX30" si="11">V9</f>
        <v>186</v>
      </c>
      <c r="BY30" s="14">
        <f t="shared" ref="BY30" si="12">W9</f>
        <v>195</v>
      </c>
      <c r="BZ30" s="14">
        <f t="shared" ref="BZ30" si="13">X9</f>
        <v>204</v>
      </c>
      <c r="CA30" s="14">
        <f t="shared" ref="CA30" si="14">Y9</f>
        <v>213</v>
      </c>
      <c r="CB30" s="14">
        <f t="shared" ref="CB30" si="15">Z9</f>
        <v>222</v>
      </c>
      <c r="CC30" s="14">
        <f t="shared" ref="CC30" si="16">AA9</f>
        <v>231</v>
      </c>
      <c r="CD30" s="14">
        <f t="shared" ref="CD30" si="17">AB9</f>
        <v>240</v>
      </c>
      <c r="CE30" s="14">
        <f t="shared" ref="CE30" si="18">AC9</f>
        <v>249</v>
      </c>
      <c r="CF30" s="14">
        <f t="shared" ref="CF30" si="19">AD9</f>
        <v>258</v>
      </c>
      <c r="CG30" s="14">
        <f t="shared" ref="CG30" si="20">AE9</f>
        <v>267</v>
      </c>
      <c r="CH30" s="14">
        <f t="shared" ref="CH30" si="21">AF9</f>
        <v>276</v>
      </c>
      <c r="CI30" s="14">
        <f t="shared" ref="CI30" si="22">AG9</f>
        <v>285</v>
      </c>
      <c r="CJ30" s="14">
        <f t="shared" ref="CJ30" si="23">AH9</f>
        <v>294</v>
      </c>
      <c r="CK30" s="14">
        <f t="shared" ref="CK30" si="24">AI9</f>
        <v>303</v>
      </c>
      <c r="CL30" s="14">
        <f t="shared" ref="CL30" si="25">AJ9</f>
        <v>312</v>
      </c>
      <c r="CM30" s="14">
        <f t="shared" ref="CM30" si="26">AK9</f>
        <v>321</v>
      </c>
      <c r="CN30" s="14">
        <f t="shared" ref="CN30" si="27">AL9</f>
        <v>330</v>
      </c>
      <c r="CO30" s="14">
        <f t="shared" ref="CO30" si="28">AM9</f>
        <v>339</v>
      </c>
      <c r="CP30" s="14">
        <f t="shared" ref="CP30" si="29">AN9</f>
        <v>348</v>
      </c>
      <c r="CQ30" s="14">
        <f t="shared" ref="CQ30" si="30">AO9</f>
        <v>357</v>
      </c>
      <c r="CR30" s="14">
        <f t="shared" ref="CR30" si="31">AP9</f>
        <v>366</v>
      </c>
      <c r="CS30" s="14">
        <f t="shared" ref="CS30" si="32">AQ9</f>
        <v>375</v>
      </c>
      <c r="CT30" s="14">
        <f t="shared" ref="CT30" si="33">AR9</f>
        <v>384</v>
      </c>
      <c r="CU30" s="14">
        <f t="shared" ref="CU30" si="34">AS9</f>
        <v>393</v>
      </c>
      <c r="CV30" s="14">
        <f t="shared" ref="CV30" si="35">AT9</f>
        <v>402</v>
      </c>
      <c r="CW30" s="14">
        <f t="shared" ref="CW30" si="36">AU9</f>
        <v>411</v>
      </c>
      <c r="CX30" s="14">
        <f t="shared" ref="CX30" si="37">AV9</f>
        <v>420</v>
      </c>
      <c r="CY30" s="14">
        <f t="shared" ref="CY30" si="38">AW9</f>
        <v>429</v>
      </c>
      <c r="CZ30" s="14">
        <f t="shared" ref="CZ30" si="39">AX9</f>
        <v>438</v>
      </c>
      <c r="DA30" s="14">
        <f t="shared" ref="DA30" si="40">AY9</f>
        <v>447</v>
      </c>
      <c r="DB30" s="14">
        <f t="shared" ref="DB30" si="41">AZ9</f>
        <v>456</v>
      </c>
      <c r="DC30" s="14">
        <f t="shared" ref="DC30" si="42">BA9</f>
        <v>465</v>
      </c>
      <c r="DD30" s="14">
        <f t="shared" ref="DD30" si="43">BB9</f>
        <v>474</v>
      </c>
      <c r="DE30" s="14">
        <f t="shared" ref="DE30" si="44">BC9</f>
        <v>483</v>
      </c>
      <c r="DF30" s="14">
        <f t="shared" ref="DF30" si="45">BD9</f>
        <v>492</v>
      </c>
      <c r="DG30" s="14">
        <f t="shared" ref="DG30" si="46">BE9</f>
        <v>501</v>
      </c>
      <c r="DH30" s="14">
        <f t="shared" ref="DH30" si="47">BF9</f>
        <v>510</v>
      </c>
      <c r="DI30" s="14">
        <f t="shared" ref="DI30" si="48">BG9</f>
        <v>519</v>
      </c>
      <c r="DJ30" s="14">
        <f t="shared" ref="DJ30" si="49">BH9</f>
        <v>528</v>
      </c>
      <c r="DK30" s="14">
        <f t="shared" ref="DK30" si="50">BI9</f>
        <v>537</v>
      </c>
      <c r="DL30" s="14">
        <f t="shared" ref="DL30" si="51">BJ9</f>
        <v>546</v>
      </c>
      <c r="DM30" s="14">
        <f t="shared" ref="DM30" si="52">BK9</f>
        <v>555</v>
      </c>
      <c r="DN30" s="14">
        <f t="shared" ref="DN30" si="53">BL9</f>
        <v>564</v>
      </c>
      <c r="DO30" s="14">
        <f t="shared" ref="DO30" si="54">BM9</f>
        <v>573</v>
      </c>
      <c r="DP30" s="14">
        <f t="shared" ref="DP30" si="55">BN9</f>
        <v>582</v>
      </c>
      <c r="DQ30" s="14">
        <f t="shared" ref="DQ30" si="56">BO9</f>
        <v>591</v>
      </c>
      <c r="DR30" s="14">
        <f t="shared" ref="DR30" si="57">BP9</f>
        <v>600</v>
      </c>
      <c r="DS30" s="14">
        <f t="shared" ref="DS30" si="58">BQ9</f>
        <v>609</v>
      </c>
      <c r="DT30" s="14">
        <f t="shared" ref="DT30" si="59">BR9</f>
        <v>618</v>
      </c>
      <c r="DU30" s="14">
        <f t="shared" ref="DU30" si="60">BS9</f>
        <v>627</v>
      </c>
      <c r="DV30" s="14">
        <f t="shared" ref="DV30" si="61">BT9</f>
        <v>636</v>
      </c>
      <c r="DW30" s="14">
        <f t="shared" ref="DW30" si="62">BU9</f>
        <v>645</v>
      </c>
      <c r="DX30" s="14">
        <f t="shared" ref="DX30" si="63">BV9</f>
        <v>654</v>
      </c>
      <c r="DY30" s="14">
        <f t="shared" ref="DY30" si="64">BW9</f>
        <v>663</v>
      </c>
      <c r="DZ30" s="14">
        <f t="shared" ref="DZ30" si="65">BX9</f>
        <v>672</v>
      </c>
      <c r="EA30" s="14">
        <f t="shared" ref="EA30" si="66">BY9</f>
        <v>681</v>
      </c>
      <c r="EB30" s="14">
        <f t="shared" ref="EB30" si="67">BZ9</f>
        <v>690</v>
      </c>
      <c r="EC30" s="14">
        <f t="shared" ref="EC30" si="68">CA9</f>
        <v>699</v>
      </c>
      <c r="ED30" s="14">
        <f t="shared" ref="ED30" si="69">CB9</f>
        <v>708</v>
      </c>
      <c r="EE30" s="14">
        <f t="shared" ref="EE30" si="70">CC9</f>
        <v>717</v>
      </c>
      <c r="EF30" s="14">
        <f t="shared" ref="EF30" si="71">CD9</f>
        <v>726</v>
      </c>
      <c r="EG30" s="14">
        <f t="shared" ref="EG30" si="72">CE9</f>
        <v>735</v>
      </c>
      <c r="EH30" s="14">
        <f t="shared" ref="EH30" si="73">CF9</f>
        <v>744</v>
      </c>
      <c r="EI30" s="14">
        <f t="shared" ref="EI30" si="74">CG9</f>
        <v>753</v>
      </c>
      <c r="EJ30" s="14">
        <f t="shared" ref="EJ30" si="75">CH9</f>
        <v>762</v>
      </c>
      <c r="EK30" s="14">
        <f t="shared" ref="EK30" si="76">CI9</f>
        <v>771</v>
      </c>
      <c r="EL30" s="14">
        <f t="shared" ref="EL30" si="77">CJ9</f>
        <v>780</v>
      </c>
      <c r="EM30" s="14">
        <f t="shared" ref="EM30" si="78">CK9</f>
        <v>789</v>
      </c>
      <c r="EN30" s="14">
        <f t="shared" ref="EN30" si="79">CL9</f>
        <v>798</v>
      </c>
      <c r="EO30" s="14">
        <f t="shared" ref="EO30" si="80">CM9</f>
        <v>807</v>
      </c>
      <c r="EP30" s="14">
        <f t="shared" ref="EP30" si="81">CN9</f>
        <v>816</v>
      </c>
      <c r="EQ30" s="14">
        <f t="shared" ref="EQ30" si="82">CO9</f>
        <v>825</v>
      </c>
      <c r="ER30" s="14">
        <f t="shared" ref="ER30" si="83">CP9</f>
        <v>834</v>
      </c>
      <c r="ES30" s="14">
        <f t="shared" ref="ES30" si="84">CQ9</f>
        <v>843</v>
      </c>
      <c r="ET30" s="14">
        <f t="shared" ref="ET30" si="85">CR9</f>
        <v>852</v>
      </c>
      <c r="EU30" s="14">
        <f t="shared" ref="EU30" si="86">CS9</f>
        <v>861</v>
      </c>
      <c r="EV30" s="14">
        <f t="shared" ref="EV30" si="87">CT9</f>
        <v>870</v>
      </c>
      <c r="EW30" s="14">
        <f t="shared" ref="EW30" si="88">CU9</f>
        <v>879</v>
      </c>
      <c r="EX30" s="14">
        <f t="shared" ref="EX30" si="89">CV9</f>
        <v>888</v>
      </c>
      <c r="EY30" s="14">
        <f t="shared" ref="EY30" si="90">CW9</f>
        <v>897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DO31" ca="1" si="191">IF(BD30=0,0,LOG(BD30/$BB$31,10))</f>
        <v>0</v>
      </c>
      <c r="BE31" s="9">
        <f t="shared" ca="1" si="191"/>
        <v>0.3979400086720376</v>
      </c>
      <c r="BF31" s="9">
        <f t="shared" ca="1" si="191"/>
        <v>0.60205999132796229</v>
      </c>
      <c r="BG31" s="9">
        <f t="shared" ca="1" si="191"/>
        <v>0.74036268949424378</v>
      </c>
      <c r="BH31" s="9">
        <f t="shared" ca="1" si="191"/>
        <v>0.8450980400142567</v>
      </c>
      <c r="BI31" s="9">
        <f t="shared" ca="1" si="191"/>
        <v>0.92941892571429263</v>
      </c>
      <c r="BJ31" s="9">
        <f t="shared" ca="1" si="191"/>
        <v>1</v>
      </c>
      <c r="BK31" s="9">
        <f t="shared" ca="1" si="191"/>
        <v>1.0606978403536116</v>
      </c>
      <c r="BL31" s="9">
        <f t="shared" ca="1" si="191"/>
        <v>1.1139433523068367</v>
      </c>
      <c r="BM31" s="9">
        <f t="shared" ca="1" si="191"/>
        <v>1.1613680022349748</v>
      </c>
      <c r="BN31" s="9">
        <f t="shared" ca="1" si="191"/>
        <v>1.2041199826559246</v>
      </c>
      <c r="BO31" s="9">
        <f t="shared" ca="1" si="191"/>
        <v>1.2430380486862944</v>
      </c>
      <c r="BP31" s="9">
        <f t="shared" ca="1" si="191"/>
        <v>1.2787536009528289</v>
      </c>
      <c r="BQ31" s="9">
        <f t="shared" ca="1" si="191"/>
        <v>1.3117538610557542</v>
      </c>
      <c r="BR31" s="9">
        <f t="shared" ca="1" si="191"/>
        <v>1.3424226808222062</v>
      </c>
      <c r="BS31" s="9">
        <f t="shared" ca="1" si="191"/>
        <v>1.3710678622717363</v>
      </c>
      <c r="BT31" s="9">
        <f t="shared" ca="1" si="191"/>
        <v>1.3979400086720375</v>
      </c>
      <c r="BU31" s="9">
        <f t="shared" ca="1" si="191"/>
        <v>1.4232458739368077</v>
      </c>
      <c r="BV31" s="9">
        <f t="shared" ca="1" si="191"/>
        <v>1.447158031342219</v>
      </c>
      <c r="BW31" s="9">
        <f t="shared" ca="1" si="191"/>
        <v>1.469822015978163</v>
      </c>
      <c r="BX31" s="9">
        <f t="shared" ca="1" si="191"/>
        <v>1.4913616938342726</v>
      </c>
      <c r="BY31" s="9">
        <f t="shared" ca="1" si="191"/>
        <v>1.5118833609788742</v>
      </c>
      <c r="BZ31" s="9">
        <f t="shared" ca="1" si="191"/>
        <v>1.5314789170422551</v>
      </c>
      <c r="CA31" s="9">
        <f t="shared" ca="1" si="191"/>
        <v>1.550228353055094</v>
      </c>
      <c r="CB31" s="9">
        <f t="shared" ca="1" si="191"/>
        <v>1.5682017240669948</v>
      </c>
      <c r="CC31" s="9">
        <f t="shared" ca="1" si="191"/>
        <v>1.5854607295085006</v>
      </c>
      <c r="CD31" s="9">
        <f t="shared" ca="1" si="191"/>
        <v>1.6020599913279623</v>
      </c>
      <c r="CE31" s="9">
        <f t="shared" ca="1" si="191"/>
        <v>1.6180480967120925</v>
      </c>
      <c r="CF31" s="9">
        <f t="shared" ca="1" si="191"/>
        <v>1.6334684555795864</v>
      </c>
      <c r="CG31" s="9">
        <f t="shared" ca="1" si="191"/>
        <v>1.6483600109809315</v>
      </c>
      <c r="CH31" s="9">
        <f t="shared" ca="1" si="191"/>
        <v>1.6627578316815739</v>
      </c>
      <c r="CI31" s="9">
        <f t="shared" ca="1" si="191"/>
        <v>1.6766936096248664</v>
      </c>
      <c r="CJ31" s="9">
        <f t="shared" ca="1" si="191"/>
        <v>1.6901960800285134</v>
      </c>
      <c r="CK31" s="9">
        <f t="shared" ca="1" si="191"/>
        <v>1.7032913781186614</v>
      </c>
      <c r="CL31" s="9">
        <f t="shared" ca="1" si="191"/>
        <v>1.716003343634799</v>
      </c>
      <c r="CM31" s="9">
        <f t="shared" ca="1" si="191"/>
        <v>1.7283537820212282</v>
      </c>
      <c r="CN31" s="9">
        <f t="shared" ca="1" si="191"/>
        <v>1.7403626894942439</v>
      </c>
      <c r="CO31" s="9">
        <f t="shared" ca="1" si="191"/>
        <v>1.7520484478194385</v>
      </c>
      <c r="CP31" s="9">
        <f t="shared" ca="1" si="191"/>
        <v>1.7634279935629371</v>
      </c>
      <c r="CQ31" s="9">
        <f t="shared" ca="1" si="191"/>
        <v>1.7745169657285496</v>
      </c>
      <c r="CR31" s="9">
        <f t="shared" ca="1" si="191"/>
        <v>1.7853298350107669</v>
      </c>
      <c r="CS31" s="9">
        <f t="shared" ca="1" si="191"/>
        <v>1.7958800173440752</v>
      </c>
      <c r="CT31" s="9">
        <f t="shared" ca="1" si="191"/>
        <v>1.8061799739838869</v>
      </c>
      <c r="CU31" s="9">
        <f t="shared" ca="1" si="191"/>
        <v>1.8162412999917832</v>
      </c>
      <c r="CV31" s="9">
        <f t="shared" ca="1" si="191"/>
        <v>1.8260748027008262</v>
      </c>
      <c r="CW31" s="9">
        <f t="shared" ca="1" si="191"/>
        <v>1.8356905714924254</v>
      </c>
      <c r="CX31" s="9">
        <f t="shared" ca="1" si="191"/>
        <v>1.8450980400142569</v>
      </c>
      <c r="CY31" s="9">
        <f t="shared" ca="1" si="191"/>
        <v>1.8543060418010802</v>
      </c>
      <c r="CZ31" s="9">
        <f t="shared" ca="1" si="191"/>
        <v>1.8633228601204557</v>
      </c>
      <c r="DA31" s="9">
        <f t="shared" ca="1" si="191"/>
        <v>1.8721562727482925</v>
      </c>
      <c r="DB31" s="9">
        <f t="shared" ca="1" si="191"/>
        <v>1.8808135922807911</v>
      </c>
      <c r="DC31" s="9">
        <f t="shared" ca="1" si="191"/>
        <v>1.8893017025063101</v>
      </c>
      <c r="DD31" s="9">
        <f t="shared" ca="1" si="191"/>
        <v>1.8976270912904412</v>
      </c>
      <c r="DE31" s="9">
        <f t="shared" ca="1" si="191"/>
        <v>1.9057958803678683</v>
      </c>
      <c r="DF31" s="9">
        <f t="shared" ca="1" si="191"/>
        <v>1.9138138523837167</v>
      </c>
      <c r="DG31" s="9">
        <f t="shared" ca="1" si="191"/>
        <v>1.9216864754836021</v>
      </c>
      <c r="DH31" s="9">
        <f t="shared" ca="1" si="191"/>
        <v>1.9294189257142926</v>
      </c>
      <c r="DI31" s="9">
        <f t="shared" ca="1" si="191"/>
        <v>1.9370161074648142</v>
      </c>
      <c r="DJ31" s="9">
        <f t="shared" ca="1" si="191"/>
        <v>1.9444826721501687</v>
      </c>
      <c r="DK31" s="9">
        <f t="shared" ca="1" si="191"/>
        <v>1.9518230353159116</v>
      </c>
      <c r="DL31" s="9">
        <f t="shared" ca="1" si="191"/>
        <v>1.9590413923210932</v>
      </c>
      <c r="DM31" s="9">
        <f t="shared" ca="1" si="191"/>
        <v>1.9661417327390327</v>
      </c>
      <c r="DN31" s="9">
        <f t="shared" ca="1" si="191"/>
        <v>1.9731278535996983</v>
      </c>
      <c r="DO31" s="9">
        <f t="shared" ca="1" si="191"/>
        <v>1.9800033715837462</v>
      </c>
      <c r="DP31" s="9">
        <f t="shared" ref="DP31:GA31" ca="1" si="192">IF(DP30=0,0,LOG(DP30/$BB$31,10))</f>
        <v>1.9867717342662448</v>
      </c>
      <c r="DQ31" s="9">
        <f t="shared" ca="1" si="192"/>
        <v>1.9934362304976114</v>
      </c>
      <c r="DR31" s="9">
        <f t="shared" ca="1" si="192"/>
        <v>2</v>
      </c>
      <c r="DS31" s="9">
        <f t="shared" ca="1" si="192"/>
        <v>2.0064660422492313</v>
      </c>
      <c r="DT31" s="9">
        <f t="shared" ca="1" si="192"/>
        <v>2.012837224705172</v>
      </c>
      <c r="DU31" s="9">
        <f t="shared" ca="1" si="192"/>
        <v>2.0191162904470725</v>
      </c>
      <c r="DV31" s="9">
        <f t="shared" ca="1" si="192"/>
        <v>2.02530586526477</v>
      </c>
      <c r="DW31" s="9">
        <f t="shared" ca="1" si="192"/>
        <v>2.0314084642516237</v>
      </c>
      <c r="DX31" s="9">
        <f t="shared" ca="1" si="192"/>
        <v>2.0374264979406234</v>
      </c>
      <c r="DY31" s="9">
        <f t="shared" ca="1" si="192"/>
        <v>2.0433622780211294</v>
      </c>
      <c r="DZ31" s="9">
        <f t="shared" ca="1" si="192"/>
        <v>2.049218022670181</v>
      </c>
      <c r="EA31" s="9">
        <f t="shared" ca="1" si="192"/>
        <v>2.0549958615291413</v>
      </c>
      <c r="EB31" s="9">
        <f t="shared" ca="1" si="192"/>
        <v>2.0606978403536114</v>
      </c>
      <c r="EC31" s="9">
        <f t="shared" ca="1" si="192"/>
        <v>2.0663259253620376</v>
      </c>
      <c r="ED31" s="9">
        <f t="shared" ca="1" si="192"/>
        <v>2.0718820073061255</v>
      </c>
      <c r="EE31" s="9">
        <f t="shared" ca="1" si="192"/>
        <v>2.0773679052841563</v>
      </c>
      <c r="EF31" s="9">
        <f t="shared" ca="1" si="192"/>
        <v>2.0827853703164498</v>
      </c>
      <c r="EG31" s="9">
        <f t="shared" ca="1" si="192"/>
        <v>2.0881360887005513</v>
      </c>
      <c r="EH31" s="9">
        <f t="shared" ca="1" si="192"/>
        <v>2.0934216851622351</v>
      </c>
      <c r="EI31" s="9">
        <f t="shared" ca="1" si="192"/>
        <v>2.0986437258170567</v>
      </c>
      <c r="EJ31" s="9">
        <f t="shared" ca="1" si="192"/>
        <v>2.1038037209559568</v>
      </c>
      <c r="EK31" s="9">
        <f t="shared" ca="1" si="192"/>
        <v>2.1089031276673134</v>
      </c>
      <c r="EL31" s="9">
        <f t="shared" ca="1" si="192"/>
        <v>2.1139433523068365</v>
      </c>
      <c r="EM31" s="9">
        <f t="shared" ca="1" si="192"/>
        <v>2.1189257528257763</v>
      </c>
      <c r="EN31" s="9">
        <f t="shared" ca="1" si="192"/>
        <v>2.1238516409670858</v>
      </c>
      <c r="EO31" s="9">
        <f t="shared" ca="1" si="192"/>
        <v>2.1287222843384264</v>
      </c>
      <c r="EP31" s="9">
        <f t="shared" ca="1" si="192"/>
        <v>2.1335389083702174</v>
      </c>
      <c r="EQ31" s="9">
        <f t="shared" ca="1" si="192"/>
        <v>2.1383026981662816</v>
      </c>
      <c r="ER31" s="9">
        <f t="shared" ca="1" si="192"/>
        <v>2.143014800254095</v>
      </c>
      <c r="ES31" s="9">
        <f t="shared" ca="1" si="192"/>
        <v>2.1476763242410986</v>
      </c>
      <c r="ET31" s="9">
        <f t="shared" ca="1" si="192"/>
        <v>2.1522883443830563</v>
      </c>
      <c r="EU31" s="9">
        <f t="shared" ca="1" si="192"/>
        <v>2.1568519010700111</v>
      </c>
      <c r="EV31" s="9">
        <f t="shared" ca="1" si="192"/>
        <v>2.1613680022349744</v>
      </c>
      <c r="EW31" s="9">
        <f t="shared" ca="1" si="192"/>
        <v>2.1658376246901283</v>
      </c>
      <c r="EX31" s="9">
        <f t="shared" ca="1" si="192"/>
        <v>2.170261715394957</v>
      </c>
      <c r="EY31" s="9">
        <f t="shared" ca="1" si="192"/>
        <v>2.1746411926604483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 ca="1">IF(DIAG!H240,$GL$55,-1)</f>
        <v>1.8042195912175808E-2</v>
      </c>
      <c r="AQ32" s="61">
        <f ca="1">AP32+(AY32-AP32)/9</f>
        <v>2.0314176138153499E-2</v>
      </c>
      <c r="AR32" s="61">
        <f ca="1">AQ32+(AY32-AQ32)/8</f>
        <v>2.2586156364131194E-2</v>
      </c>
      <c r="AS32" s="61">
        <f ca="1">AR32+(AY32-AR32)/7</f>
        <v>2.4858136590108885E-2</v>
      </c>
      <c r="AT32" s="61">
        <f ca="1">AS32+(AY32-AS32)/6</f>
        <v>2.7130116816086576E-2</v>
      </c>
      <c r="AU32" s="61">
        <f ca="1">AT32+(AY32-AT32)/5</f>
        <v>2.9402097042064271E-2</v>
      </c>
      <c r="AV32" s="61">
        <f ca="1">AU32+(AY32-AU32)/4</f>
        <v>3.1674077268041965E-2</v>
      </c>
      <c r="AW32" s="61">
        <f ca="1">AV32+(AY32-AV32)/3</f>
        <v>3.394605749401966E-2</v>
      </c>
      <c r="AX32" s="61">
        <f ca="1">AW32+(AY32-AW32)/2</f>
        <v>3.6218037719997348E-2</v>
      </c>
      <c r="AY32" s="62">
        <f>IF(DIAG!H240,$C$26,-1)</f>
        <v>3.8490017945975043E-2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 ca="1">IF(DIAG!H240,$GL$56,-1)</f>
        <v>0</v>
      </c>
      <c r="AQ33" s="67">
        <f ca="1">AP33+(AY33-AP33)/9</f>
        <v>2.9629629629629631E-2</v>
      </c>
      <c r="AR33" s="67">
        <f ca="1">AQ33+(AY33-AQ33)/8</f>
        <v>5.9259259259259262E-2</v>
      </c>
      <c r="AS33" s="67">
        <f ca="1">AR33+(AY33-AR33)/7</f>
        <v>8.8888888888888892E-2</v>
      </c>
      <c r="AT33" s="67">
        <f ca="1">AS33+(AY33-AS33)/6</f>
        <v>0.11851851851851852</v>
      </c>
      <c r="AU33" s="67">
        <f ca="1">AT33+(AY33-AT33)/5</f>
        <v>0.14814814814814814</v>
      </c>
      <c r="AV33" s="67">
        <f ca="1">AU33+(AY33-AU33)/4</f>
        <v>0.17777777777777776</v>
      </c>
      <c r="AW33" s="67">
        <f ca="1">AV33+(AY33-AV33)/3</f>
        <v>0.2074074074074074</v>
      </c>
      <c r="AX33" s="67">
        <f ca="1">AW33+(AY33-AW33)/2</f>
        <v>0.23703703703703705</v>
      </c>
      <c r="AY33" s="68">
        <f>IF(DIAG!H240,$C$27,-1)</f>
        <v>0.26666666666666666</v>
      </c>
      <c r="BA33" s="9" t="s">
        <v>87</v>
      </c>
      <c r="BB33" s="14">
        <f ca="1">IF(OR(BB29=0,BB30=BB31),1,LOG(BB30/BB31,10))</f>
        <v>2.1746411926604483</v>
      </c>
      <c r="BD33" s="14">
        <f t="shared" ref="BD33:DO33" ca="1" si="195">BD31/$BB$33</f>
        <v>0</v>
      </c>
      <c r="BE33" s="9">
        <f t="shared" ca="1" si="195"/>
        <v>0.18299111136821575</v>
      </c>
      <c r="BF33" s="14">
        <f t="shared" ca="1" si="195"/>
        <v>0.27685486385522029</v>
      </c>
      <c r="BG33" s="9">
        <f t="shared" ca="1" si="195"/>
        <v>0.34045280296952651</v>
      </c>
      <c r="BH33" s="9">
        <f t="shared" ca="1" si="195"/>
        <v>0.38861493236977029</v>
      </c>
      <c r="BI33" s="9">
        <f t="shared" ca="1" si="195"/>
        <v>0.42738955228620717</v>
      </c>
      <c r="BJ33" s="9">
        <f t="shared" ca="1" si="195"/>
        <v>0.45984597522343607</v>
      </c>
      <c r="BK33" s="9">
        <f t="shared" ca="1" si="195"/>
        <v>0.48775763281479906</v>
      </c>
      <c r="BL33" s="9">
        <f t="shared" ca="1" si="195"/>
        <v>0.512242367185201</v>
      </c>
      <c r="BM33" s="9">
        <f t="shared" ca="1" si="195"/>
        <v>0.53405040158103567</v>
      </c>
      <c r="BN33" s="14">
        <f t="shared" ca="1" si="195"/>
        <v>0.55370972771044058</v>
      </c>
      <c r="BO33" s="9">
        <f t="shared" ca="1" si="195"/>
        <v>0.57160604373798607</v>
      </c>
      <c r="BP33" s="14">
        <f t="shared" ca="1" si="195"/>
        <v>0.58802969670063421</v>
      </c>
      <c r="BQ33" s="9">
        <f t="shared" ca="1" si="195"/>
        <v>0.60320473349029091</v>
      </c>
      <c r="BR33" s="9">
        <f t="shared" ca="1" si="195"/>
        <v>0.61730766682474691</v>
      </c>
      <c r="BS33" s="9">
        <f t="shared" ca="1" si="195"/>
        <v>0.63048003822385834</v>
      </c>
      <c r="BT33" s="9">
        <f t="shared" ca="1" si="195"/>
        <v>0.64283708659165173</v>
      </c>
      <c r="BU33" s="9">
        <f t="shared" ca="1" si="195"/>
        <v>0.65447388688320285</v>
      </c>
      <c r="BV33" s="9">
        <f t="shared" ca="1" si="195"/>
        <v>0.66546979622499058</v>
      </c>
      <c r="BW33" s="9">
        <f t="shared" ca="1" si="195"/>
        <v>0.67589173834235516</v>
      </c>
      <c r="BX33" s="14">
        <f t="shared" ca="1" si="195"/>
        <v>0.68579667251209664</v>
      </c>
      <c r="BY33" s="9">
        <f t="shared" ca="1" si="195"/>
        <v>0.69523347855341666</v>
      </c>
      <c r="BZ33" s="14">
        <f t="shared" ca="1" si="195"/>
        <v>0.70424441614142763</v>
      </c>
      <c r="CA33" s="9">
        <f t="shared" ca="1" si="195"/>
        <v>0.71286626882964088</v>
      </c>
      <c r="CB33" s="9">
        <f t="shared" ca="1" si="195"/>
        <v>0.72113125115066101</v>
      </c>
      <c r="CC33" s="9">
        <f t="shared" ca="1" si="195"/>
        <v>0.72906773533929681</v>
      </c>
      <c r="CD33" s="9">
        <f t="shared" ca="1" si="195"/>
        <v>0.73670083907865636</v>
      </c>
      <c r="CE33" s="9">
        <f t="shared" ca="1" si="195"/>
        <v>0.74405290499099674</v>
      </c>
      <c r="CF33" s="9">
        <f t="shared" ca="1" si="195"/>
        <v>0.75114389495271494</v>
      </c>
      <c r="CG33" s="9">
        <f t="shared" ca="1" si="195"/>
        <v>0.75799171676884025</v>
      </c>
      <c r="CH33" s="14">
        <f t="shared" ca="1" si="195"/>
        <v>0.76461249667001929</v>
      </c>
      <c r="CI33" s="9">
        <f t="shared" ca="1" si="195"/>
        <v>0.77102080806884987</v>
      </c>
      <c r="CJ33" s="14">
        <f t="shared" ca="1" si="195"/>
        <v>0.77722986473954059</v>
      </c>
      <c r="CK33" s="9">
        <f t="shared" ca="1" si="195"/>
        <v>0.78325168486064622</v>
      </c>
      <c r="CL33" s="9">
        <f t="shared" ca="1" si="195"/>
        <v>0.78909723104042129</v>
      </c>
      <c r="CM33" s="9">
        <f t="shared" ca="1" si="195"/>
        <v>0.79477653042466578</v>
      </c>
      <c r="CN33" s="9">
        <f t="shared" ca="1" si="195"/>
        <v>0.80029877819296269</v>
      </c>
      <c r="CO33" s="9">
        <f t="shared" ca="1" si="195"/>
        <v>0.8056724271262371</v>
      </c>
      <c r="CP33" s="9">
        <f t="shared" ca="1" si="195"/>
        <v>0.81090526543625596</v>
      </c>
      <c r="CQ33" s="9">
        <f t="shared" ca="1" si="195"/>
        <v>0.81600448465597752</v>
      </c>
      <c r="CR33" s="14">
        <f t="shared" ca="1" si="195"/>
        <v>0.82097673907602231</v>
      </c>
      <c r="CS33" s="9">
        <f t="shared" ca="1" si="195"/>
        <v>0.82582819795986762</v>
      </c>
      <c r="CT33" s="14">
        <f t="shared" ca="1" si="195"/>
        <v>0.83056459156566087</v>
      </c>
      <c r="CU33" s="9">
        <f t="shared" ca="1" si="195"/>
        <v>0.83519125183580289</v>
      </c>
      <c r="CV33" s="9">
        <f t="shared" ca="1" si="195"/>
        <v>0.8397131484789051</v>
      </c>
      <c r="CW33" s="9">
        <f t="shared" ca="1" si="195"/>
        <v>0.84413492105640109</v>
      </c>
      <c r="CX33" s="9">
        <f t="shared" ca="1" si="195"/>
        <v>0.84846090759320647</v>
      </c>
      <c r="CY33" s="9">
        <f t="shared" ca="1" si="195"/>
        <v>0.85269517015472729</v>
      </c>
      <c r="CZ33" s="9">
        <f t="shared" ca="1" si="195"/>
        <v>0.85684151776821316</v>
      </c>
      <c r="DA33" s="9">
        <f t="shared" ca="1" si="195"/>
        <v>0.86090352701261175</v>
      </c>
      <c r="DB33" s="14">
        <f t="shared" ca="1" si="195"/>
        <v>0.8648845605558545</v>
      </c>
      <c r="DC33" s="9">
        <f t="shared" ca="1" si="195"/>
        <v>0.8687877838803123</v>
      </c>
      <c r="DD33" s="14">
        <f t="shared" ca="1" si="195"/>
        <v>0.87261618040486533</v>
      </c>
      <c r="DE33" s="9">
        <f t="shared" ca="1" si="195"/>
        <v>0.8763725651845693</v>
      </c>
      <c r="DF33" s="9">
        <f t="shared" ca="1" si="195"/>
        <v>0.88005959734551131</v>
      </c>
      <c r="DG33" s="9">
        <f t="shared" ca="1" si="195"/>
        <v>0.88367979139244468</v>
      </c>
      <c r="DH33" s="9">
        <f t="shared" ca="1" si="195"/>
        <v>0.8872355275096433</v>
      </c>
      <c r="DI33" s="9">
        <f t="shared" ca="1" si="195"/>
        <v>0.89072906096066151</v>
      </c>
      <c r="DJ33" s="9">
        <f t="shared" ca="1" si="195"/>
        <v>0.8941625306799672</v>
      </c>
      <c r="DK33" s="9">
        <f t="shared" ca="1" si="195"/>
        <v>0.8975379671384125</v>
      </c>
      <c r="DL33" s="14">
        <f t="shared" ca="1" si="195"/>
        <v>0.90085729955497118</v>
      </c>
      <c r="DM33" s="9">
        <f t="shared" ca="1" si="195"/>
        <v>0.9041223625188769</v>
      </c>
      <c r="DN33" s="14">
        <f t="shared" ca="1" si="195"/>
        <v>0.90733490207907852</v>
      </c>
      <c r="DO33" s="9">
        <f t="shared" ca="1" si="195"/>
        <v>0.91049658135161926</v>
      </c>
      <c r="DP33" s="9">
        <f t="shared" ref="DP33:GA33" ca="1" si="196">DP31/$BB$33</f>
        <v>0.91360898569001869</v>
      </c>
      <c r="DQ33" s="9">
        <f t="shared" ca="1" si="196"/>
        <v>0.91667362745890446</v>
      </c>
      <c r="DR33" s="9">
        <f t="shared" ca="1" si="196"/>
        <v>0.91969195044687213</v>
      </c>
      <c r="DS33" s="9">
        <f t="shared" ca="1" si="196"/>
        <v>0.92266533395080585</v>
      </c>
      <c r="DT33" s="9">
        <f t="shared" ca="1" si="196"/>
        <v>0.92559509656058436</v>
      </c>
      <c r="DU33" s="9">
        <f t="shared" ca="1" si="196"/>
        <v>0.92848249967016072</v>
      </c>
      <c r="DV33" s="14">
        <f t="shared" ca="1" si="196"/>
        <v>0.93132875073842314</v>
      </c>
      <c r="DW33" s="9">
        <f t="shared" ca="1" si="196"/>
        <v>0.93413500632093049</v>
      </c>
      <c r="DX33" s="14">
        <f t="shared" ca="1" si="196"/>
        <v>0.93690237489157602</v>
      </c>
      <c r="DY33" s="9">
        <f t="shared" ca="1" si="196"/>
        <v>0.93963191947140812</v>
      </c>
      <c r="DZ33" s="9">
        <f t="shared" ca="1" si="196"/>
        <v>0.94232466008021076</v>
      </c>
      <c r="EA33" s="9">
        <f t="shared" ca="1" si="196"/>
        <v>0.94498157602499322</v>
      </c>
      <c r="EB33" s="9">
        <f t="shared" ca="1" si="196"/>
        <v>0.94760360803823496</v>
      </c>
      <c r="EC33" s="9">
        <f t="shared" ca="1" si="196"/>
        <v>0.95019166027757518</v>
      </c>
      <c r="ED33" s="9">
        <f t="shared" ca="1" si="196"/>
        <v>0.95274660219757557</v>
      </c>
      <c r="EE33" s="9">
        <f t="shared" ca="1" si="196"/>
        <v>0.95526927030325948</v>
      </c>
      <c r="EF33" s="14">
        <f t="shared" ca="1" si="196"/>
        <v>0.95776046979427332</v>
      </c>
      <c r="EG33" s="9">
        <f t="shared" ca="1" si="196"/>
        <v>0.96022097610775647</v>
      </c>
      <c r="EH33" s="14">
        <f t="shared" ca="1" si="196"/>
        <v>0.96265153636731704</v>
      </c>
      <c r="EI33" s="9">
        <f t="shared" ca="1" si="196"/>
        <v>0.96505287074488988</v>
      </c>
      <c r="EJ33" s="9">
        <f t="shared" ca="1" si="196"/>
        <v>0.96742567374168553</v>
      </c>
      <c r="EK33" s="9">
        <f t="shared" ca="1" si="196"/>
        <v>0.96977061539393028</v>
      </c>
      <c r="EL33" s="9">
        <f t="shared" ca="1" si="196"/>
        <v>0.97208834240863695</v>
      </c>
      <c r="EM33" s="9">
        <f t="shared" ca="1" si="196"/>
        <v>0.97437947923422263</v>
      </c>
      <c r="EN33" s="9">
        <f t="shared" ca="1" si="196"/>
        <v>0.97664462907040461</v>
      </c>
      <c r="EO33" s="9">
        <f t="shared" ca="1" si="196"/>
        <v>0.97888437482146429</v>
      </c>
      <c r="EP33" s="14">
        <f t="shared" ca="1" si="196"/>
        <v>0.98109927999664781</v>
      </c>
      <c r="EQ33" s="9">
        <f t="shared" ca="1" si="196"/>
        <v>0.98328988956117847</v>
      </c>
      <c r="ER33" s="14">
        <f t="shared" ca="1" si="196"/>
        <v>0.98545673074110141</v>
      </c>
      <c r="ES33" s="9">
        <f t="shared" ca="1" si="196"/>
        <v>0.98760031378493252</v>
      </c>
      <c r="ET33" s="9">
        <f t="shared" ca="1" si="196"/>
        <v>0.98972113268486117</v>
      </c>
      <c r="EU33" s="9">
        <f t="shared" ca="1" si="196"/>
        <v>0.99181966586006132</v>
      </c>
      <c r="EV33" s="9">
        <f t="shared" ca="1" si="196"/>
        <v>0.99389637680447152</v>
      </c>
      <c r="EW33" s="9">
        <f t="shared" ca="1" si="196"/>
        <v>0.99595171470124244</v>
      </c>
      <c r="EX33" s="9">
        <f t="shared" ca="1" si="196"/>
        <v>0.9979861150058813</v>
      </c>
      <c r="EY33" s="9">
        <f t="shared" ca="1" si="196"/>
        <v>1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 ca="1">IF(DIAG!H241,$GL$55,-1)</f>
        <v>1.8042195912175808E-2</v>
      </c>
      <c r="AQ35" s="61">
        <f ca="1">AP35+(AY35-AP35)/9</f>
        <v>1.8710425390404545E-2</v>
      </c>
      <c r="AR35" s="61">
        <f ca="1">AQ35+(AY35-AQ35)/8</f>
        <v>1.9378654868633282E-2</v>
      </c>
      <c r="AS35" s="61">
        <f ca="1">AR35+(AY35-AR35)/7</f>
        <v>2.0046884346862019E-2</v>
      </c>
      <c r="AT35" s="61">
        <f ca="1">AS35+(AY35-AS35)/6</f>
        <v>2.0715113825090756E-2</v>
      </c>
      <c r="AU35" s="61">
        <f ca="1">AT35+(AY35-AT35)/5</f>
        <v>2.1383343303319494E-2</v>
      </c>
      <c r="AV35" s="61">
        <f ca="1">AU35+(AY35-AU35)/4</f>
        <v>2.2051572781548234E-2</v>
      </c>
      <c r="AW35" s="61">
        <f ca="1">AV35+(AY35-AV35)/3</f>
        <v>2.2719802259776972E-2</v>
      </c>
      <c r="AX35" s="61">
        <f ca="1">AW35+(AY35-AW35)/2</f>
        <v>2.3388031738005709E-2</v>
      </c>
      <c r="AY35" s="62">
        <f>IF(DIAG!H241,$D$26,-1)</f>
        <v>2.4056261216234449E-2</v>
      </c>
      <c r="BA35" s="9" t="s">
        <v>11</v>
      </c>
      <c r="BD35" s="9">
        <f ca="1">ROUND(10*BD33,0)</f>
        <v>0</v>
      </c>
      <c r="BE35" s="9">
        <f t="shared" ref="BE35:DP35" ca="1" si="201">ROUND(10*BE33,0)</f>
        <v>2</v>
      </c>
      <c r="BF35" s="9">
        <f ca="1">ROUND(10*BF33,0)</f>
        <v>3</v>
      </c>
      <c r="BG35" s="9">
        <f t="shared" ref="BG35" ca="1" si="202">ROUND(10*BG33,0)</f>
        <v>3</v>
      </c>
      <c r="BH35" s="9">
        <f t="shared" ca="1" si="201"/>
        <v>4</v>
      </c>
      <c r="BI35" s="9">
        <f t="shared" ca="1" si="201"/>
        <v>4</v>
      </c>
      <c r="BJ35" s="9">
        <f t="shared" ca="1" si="201"/>
        <v>5</v>
      </c>
      <c r="BK35" s="9">
        <f t="shared" ca="1" si="201"/>
        <v>5</v>
      </c>
      <c r="BL35" s="9">
        <f t="shared" ca="1" si="201"/>
        <v>5</v>
      </c>
      <c r="BM35" s="9">
        <f t="shared" ca="1" si="201"/>
        <v>5</v>
      </c>
      <c r="BN35" s="9">
        <f t="shared" ca="1" si="201"/>
        <v>6</v>
      </c>
      <c r="BO35" s="9">
        <f t="shared" ca="1" si="201"/>
        <v>6</v>
      </c>
      <c r="BP35" s="9">
        <f t="shared" ca="1" si="201"/>
        <v>6</v>
      </c>
      <c r="BQ35" s="9">
        <f t="shared" ca="1" si="201"/>
        <v>6</v>
      </c>
      <c r="BR35" s="9">
        <f t="shared" ca="1" si="201"/>
        <v>6</v>
      </c>
      <c r="BS35" s="9">
        <f t="shared" ca="1" si="201"/>
        <v>6</v>
      </c>
      <c r="BT35" s="9">
        <f t="shared" ca="1" si="201"/>
        <v>6</v>
      </c>
      <c r="BU35" s="9">
        <f t="shared" ca="1" si="201"/>
        <v>7</v>
      </c>
      <c r="BV35" s="9">
        <f t="shared" ca="1" si="201"/>
        <v>7</v>
      </c>
      <c r="BW35" s="9">
        <f t="shared" ca="1" si="201"/>
        <v>7</v>
      </c>
      <c r="BX35" s="9">
        <f t="shared" ca="1" si="201"/>
        <v>7</v>
      </c>
      <c r="BY35" s="9">
        <f t="shared" ca="1" si="201"/>
        <v>7</v>
      </c>
      <c r="BZ35" s="9">
        <f t="shared" ca="1" si="201"/>
        <v>7</v>
      </c>
      <c r="CA35" s="9">
        <f t="shared" ca="1" si="201"/>
        <v>7</v>
      </c>
      <c r="CB35" s="9">
        <f t="shared" ca="1" si="201"/>
        <v>7</v>
      </c>
      <c r="CC35" s="9">
        <f t="shared" ca="1" si="201"/>
        <v>7</v>
      </c>
      <c r="CD35" s="9">
        <f t="shared" ca="1" si="201"/>
        <v>7</v>
      </c>
      <c r="CE35" s="9">
        <f t="shared" ca="1" si="201"/>
        <v>7</v>
      </c>
      <c r="CF35" s="9">
        <f t="shared" ca="1" si="201"/>
        <v>8</v>
      </c>
      <c r="CG35" s="9">
        <f t="shared" ca="1" si="201"/>
        <v>8</v>
      </c>
      <c r="CH35" s="9">
        <f t="shared" ca="1" si="201"/>
        <v>8</v>
      </c>
      <c r="CI35" s="9">
        <f t="shared" ca="1" si="201"/>
        <v>8</v>
      </c>
      <c r="CJ35" s="9">
        <f t="shared" ca="1" si="201"/>
        <v>8</v>
      </c>
      <c r="CK35" s="9">
        <f t="shared" ca="1" si="201"/>
        <v>8</v>
      </c>
      <c r="CL35" s="9">
        <f t="shared" ca="1" si="201"/>
        <v>8</v>
      </c>
      <c r="CM35" s="9">
        <f t="shared" ca="1" si="201"/>
        <v>8</v>
      </c>
      <c r="CN35" s="9">
        <f t="shared" ca="1" si="201"/>
        <v>8</v>
      </c>
      <c r="CO35" s="9">
        <f t="shared" ca="1" si="201"/>
        <v>8</v>
      </c>
      <c r="CP35" s="9">
        <f t="shared" ca="1" si="201"/>
        <v>8</v>
      </c>
      <c r="CQ35" s="9">
        <f t="shared" ca="1" si="201"/>
        <v>8</v>
      </c>
      <c r="CR35" s="9">
        <f t="shared" ca="1" si="201"/>
        <v>8</v>
      </c>
      <c r="CS35" s="9">
        <f t="shared" ca="1" si="201"/>
        <v>8</v>
      </c>
      <c r="CT35" s="9">
        <f t="shared" ca="1" si="201"/>
        <v>8</v>
      </c>
      <c r="CU35" s="9">
        <f t="shared" ca="1" si="201"/>
        <v>8</v>
      </c>
      <c r="CV35" s="9">
        <f t="shared" ca="1" si="201"/>
        <v>8</v>
      </c>
      <c r="CW35" s="9">
        <f t="shared" ca="1" si="201"/>
        <v>8</v>
      </c>
      <c r="CX35" s="9">
        <f t="shared" ca="1" si="201"/>
        <v>8</v>
      </c>
      <c r="CY35" s="9">
        <f t="shared" ca="1" si="201"/>
        <v>9</v>
      </c>
      <c r="CZ35" s="9">
        <f t="shared" ca="1" si="201"/>
        <v>9</v>
      </c>
      <c r="DA35" s="9">
        <f t="shared" ca="1" si="201"/>
        <v>9</v>
      </c>
      <c r="DB35" s="9">
        <f t="shared" ca="1" si="201"/>
        <v>9</v>
      </c>
      <c r="DC35" s="9">
        <f t="shared" ca="1" si="201"/>
        <v>9</v>
      </c>
      <c r="DD35" s="9">
        <f t="shared" ca="1" si="201"/>
        <v>9</v>
      </c>
      <c r="DE35" s="9">
        <f t="shared" ca="1" si="201"/>
        <v>9</v>
      </c>
      <c r="DF35" s="9">
        <f t="shared" ca="1" si="201"/>
        <v>9</v>
      </c>
      <c r="DG35" s="9">
        <f t="shared" ca="1" si="201"/>
        <v>9</v>
      </c>
      <c r="DH35" s="9">
        <f t="shared" ca="1" si="201"/>
        <v>9</v>
      </c>
      <c r="DI35" s="9">
        <f t="shared" ca="1" si="201"/>
        <v>9</v>
      </c>
      <c r="DJ35" s="9">
        <f t="shared" ca="1" si="201"/>
        <v>9</v>
      </c>
      <c r="DK35" s="9">
        <f t="shared" ca="1" si="201"/>
        <v>9</v>
      </c>
      <c r="DL35" s="9">
        <f t="shared" ca="1" si="201"/>
        <v>9</v>
      </c>
      <c r="DM35" s="9">
        <f t="shared" ca="1" si="201"/>
        <v>9</v>
      </c>
      <c r="DN35" s="9">
        <f t="shared" ca="1" si="201"/>
        <v>9</v>
      </c>
      <c r="DO35" s="9">
        <f t="shared" ca="1" si="201"/>
        <v>9</v>
      </c>
      <c r="DP35" s="9">
        <f t="shared" ca="1" si="201"/>
        <v>9</v>
      </c>
      <c r="DQ35" s="9">
        <f t="shared" ref="DQ35:GB35" ca="1" si="203">ROUND(10*DQ33,0)</f>
        <v>9</v>
      </c>
      <c r="DR35" s="9">
        <f t="shared" ca="1" si="203"/>
        <v>9</v>
      </c>
      <c r="DS35" s="9">
        <f t="shared" ca="1" si="203"/>
        <v>9</v>
      </c>
      <c r="DT35" s="9">
        <f t="shared" ca="1" si="203"/>
        <v>9</v>
      </c>
      <c r="DU35" s="9">
        <f t="shared" ca="1" si="203"/>
        <v>9</v>
      </c>
      <c r="DV35" s="9">
        <f t="shared" ca="1" si="203"/>
        <v>9</v>
      </c>
      <c r="DW35" s="9">
        <f t="shared" ca="1" si="203"/>
        <v>9</v>
      </c>
      <c r="DX35" s="9">
        <f t="shared" ca="1" si="203"/>
        <v>9</v>
      </c>
      <c r="DY35" s="9">
        <f t="shared" ca="1" si="203"/>
        <v>9</v>
      </c>
      <c r="DZ35" s="9">
        <f t="shared" ca="1" si="203"/>
        <v>9</v>
      </c>
      <c r="EA35" s="9">
        <f t="shared" ca="1" si="203"/>
        <v>9</v>
      </c>
      <c r="EB35" s="9">
        <f t="shared" ca="1" si="203"/>
        <v>9</v>
      </c>
      <c r="EC35" s="9">
        <f t="shared" ca="1" si="203"/>
        <v>10</v>
      </c>
      <c r="ED35" s="9">
        <f t="shared" ca="1" si="203"/>
        <v>10</v>
      </c>
      <c r="EE35" s="9">
        <f t="shared" ca="1" si="203"/>
        <v>10</v>
      </c>
      <c r="EF35" s="9">
        <f t="shared" ca="1" si="203"/>
        <v>10</v>
      </c>
      <c r="EG35" s="9">
        <f t="shared" ca="1" si="203"/>
        <v>10</v>
      </c>
      <c r="EH35" s="9">
        <f t="shared" ca="1" si="203"/>
        <v>10</v>
      </c>
      <c r="EI35" s="9">
        <f t="shared" ca="1" si="203"/>
        <v>10</v>
      </c>
      <c r="EJ35" s="9">
        <f t="shared" ca="1" si="203"/>
        <v>10</v>
      </c>
      <c r="EK35" s="9">
        <f t="shared" ca="1" si="203"/>
        <v>10</v>
      </c>
      <c r="EL35" s="9">
        <f t="shared" ca="1" si="203"/>
        <v>10</v>
      </c>
      <c r="EM35" s="9">
        <f t="shared" ca="1" si="203"/>
        <v>10</v>
      </c>
      <c r="EN35" s="9">
        <f t="shared" ca="1" si="203"/>
        <v>10</v>
      </c>
      <c r="EO35" s="9">
        <f t="shared" ca="1" si="203"/>
        <v>10</v>
      </c>
      <c r="EP35" s="9">
        <f t="shared" ca="1" si="203"/>
        <v>10</v>
      </c>
      <c r="EQ35" s="9">
        <f t="shared" ca="1" si="203"/>
        <v>10</v>
      </c>
      <c r="ER35" s="9">
        <f t="shared" ca="1" si="203"/>
        <v>10</v>
      </c>
      <c r="ES35" s="9">
        <f t="shared" ca="1" si="203"/>
        <v>10</v>
      </c>
      <c r="ET35" s="9">
        <f t="shared" ca="1" si="203"/>
        <v>10</v>
      </c>
      <c r="EU35" s="9">
        <f t="shared" ca="1" si="203"/>
        <v>10</v>
      </c>
      <c r="EV35" s="9">
        <f t="shared" ca="1" si="203"/>
        <v>10</v>
      </c>
      <c r="EW35" s="9">
        <f t="shared" ca="1" si="203"/>
        <v>10</v>
      </c>
      <c r="EX35" s="9">
        <f t="shared" ca="1" si="203"/>
        <v>10</v>
      </c>
      <c r="EY35" s="9">
        <f t="shared" ca="1" si="203"/>
        <v>10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 ca="1">IF(DIAG!H241,$GL$56,-1)</f>
        <v>0</v>
      </c>
      <c r="AQ36" s="67">
        <f ca="1">AP36+(AY36-AP36)/9</f>
        <v>3.2407407407407413E-2</v>
      </c>
      <c r="AR36" s="67">
        <f ca="1">AQ36+(AY36-AQ36)/8</f>
        <v>6.4814814814814825E-2</v>
      </c>
      <c r="AS36" s="67">
        <f ca="1">AR36+(AY36-AR36)/7</f>
        <v>9.7222222222222238E-2</v>
      </c>
      <c r="AT36" s="67">
        <f ca="1">AS36+(AY36-AS36)/6</f>
        <v>0.12962962962962965</v>
      </c>
      <c r="AU36" s="67">
        <f ca="1">AT36+(AY36-AT36)/5</f>
        <v>0.16203703703703706</v>
      </c>
      <c r="AV36" s="67">
        <f ca="1">AU36+(AY36-AU36)/4</f>
        <v>0.19444444444444448</v>
      </c>
      <c r="AW36" s="67">
        <f ca="1">AV36+(AY36-AV36)/3</f>
        <v>0.22685185185185189</v>
      </c>
      <c r="AX36" s="67">
        <f ca="1">AW36+(AY36-AW36)/2</f>
        <v>0.2592592592592593</v>
      </c>
      <c r="AY36" s="68">
        <f>IF(DIAG!H241,$D$27,-1)</f>
        <v>0.29166666666666669</v>
      </c>
      <c r="CW36" s="16"/>
      <c r="GK36" s="15" t="s">
        <v>6</v>
      </c>
      <c r="GL36" s="16">
        <f>SUMPRODUCT(B7:GS7,DIAG!$B$440:$GS$440,DIAG!$B$442:$GS$442)</f>
        <v>155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165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 ca="1">IF(DIAG!H242,$GL$55,-1)</f>
        <v>1.8042195912175808E-2</v>
      </c>
      <c r="AQ38" s="61">
        <f ca="1">AP38+(AY38-AP38)/9</f>
        <v>1.7981447777791374E-2</v>
      </c>
      <c r="AR38" s="61">
        <f ca="1">AQ38+(AY38-AQ38)/8</f>
        <v>1.7920699643406941E-2</v>
      </c>
      <c r="AS38" s="61">
        <f ca="1">AR38+(AY38-AR38)/7</f>
        <v>1.7859951509022507E-2</v>
      </c>
      <c r="AT38" s="61">
        <f ca="1">AS38+(AY38-AS38)/6</f>
        <v>1.7799203374638077E-2</v>
      </c>
      <c r="AU38" s="61">
        <f ca="1">AT38+(AY38-AT38)/5</f>
        <v>1.7738455240253644E-2</v>
      </c>
      <c r="AV38" s="61">
        <f ca="1">AU38+(AY38-AU38)/4</f>
        <v>1.767770710586921E-2</v>
      </c>
      <c r="AW38" s="61">
        <f ca="1">AV38+(AY38-AV38)/3</f>
        <v>1.761695897148478E-2</v>
      </c>
      <c r="AX38" s="61">
        <f ca="1">AW38+(AY38-AW38)/2</f>
        <v>1.755621083710035E-2</v>
      </c>
      <c r="AY38" s="62">
        <f>IF(DIAG!H242,$E$26,-1)</f>
        <v>1.7495462702715917E-2</v>
      </c>
      <c r="CW38" s="16"/>
      <c r="GK38" s="18" t="s">
        <v>16</v>
      </c>
      <c r="GL38" s="22">
        <f ca="1">SUM(GL35:GL37)</f>
        <v>320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 ca="1">IF(DIAG!H242,$GL$56,-1)</f>
        <v>0</v>
      </c>
      <c r="AQ39" s="67">
        <f ca="1">AP39+(AY39-AP39)/9</f>
        <v>3.3670033670033669E-2</v>
      </c>
      <c r="AR39" s="67">
        <f ca="1">AQ39+(AY39-AQ39)/8</f>
        <v>6.7340067340067339E-2</v>
      </c>
      <c r="AS39" s="67">
        <f ca="1">AR39+(AY39-AR39)/7</f>
        <v>0.10101010101010101</v>
      </c>
      <c r="AT39" s="67">
        <f ca="1">AS39+(AY39-AS39)/6</f>
        <v>0.13468013468013468</v>
      </c>
      <c r="AU39" s="67">
        <f ca="1">AT39+(AY39-AT39)/5</f>
        <v>0.16835016835016836</v>
      </c>
      <c r="AV39" s="67">
        <f ca="1">AU39+(AY39-AU39)/4</f>
        <v>0.20202020202020204</v>
      </c>
      <c r="AW39" s="67">
        <f ca="1">AV39+(AY39-AV39)/3</f>
        <v>0.2356902356902357</v>
      </c>
      <c r="AX39" s="67">
        <f ca="1">AW39+(AY39-AW39)/2</f>
        <v>0.26936026936026936</v>
      </c>
      <c r="AY39" s="68">
        <f>IF(DIAG!H242,$E$27,-1)</f>
        <v>0.30303030303030304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>
        <f ca="1">GL35/GL$38</f>
        <v>0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 ca="1">IF(DIAG!H243,$GL$55,-1)</f>
        <v>1.8042195912175808E-2</v>
      </c>
      <c r="AQ41" s="61">
        <f ca="1">AP41+(AY41-AP41)/9</f>
        <v>1.7564889142012419E-2</v>
      </c>
      <c r="AR41" s="61">
        <f ca="1">AQ41+(AY41-AQ41)/8</f>
        <v>1.7087582371849035E-2</v>
      </c>
      <c r="AS41" s="61">
        <f ca="1">AR41+(AY41-AR41)/7</f>
        <v>1.6610275601685646E-2</v>
      </c>
      <c r="AT41" s="61">
        <f ca="1">AS41+(AY41-AS41)/6</f>
        <v>1.6132968831522258E-2</v>
      </c>
      <c r="AU41" s="61">
        <f ca="1">AT41+(AY41-AT41)/5</f>
        <v>1.5655662061358874E-2</v>
      </c>
      <c r="AV41" s="61">
        <f ca="1">AU41+(AY41-AU41)/4</f>
        <v>1.5178355291195487E-2</v>
      </c>
      <c r="AW41" s="61">
        <f ca="1">AV41+(AY41-AV41)/3</f>
        <v>1.4701048521032101E-2</v>
      </c>
      <c r="AX41" s="61">
        <f ca="1">AW41+(AY41-AW41)/2</f>
        <v>1.4223741750868714E-2</v>
      </c>
      <c r="AY41" s="62">
        <f>IF(DIAG!H243,$F$26,-1)</f>
        <v>1.3746434980705328E-2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>
        <f ca="1">GL36/GL$38</f>
        <v>0.484375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 ca="1">IF(DIAG!H243,$GL$56,-1)</f>
        <v>0</v>
      </c>
      <c r="AQ42" s="67">
        <f ca="1">AP42+(AY42-AP42)/9</f>
        <v>3.439153439153439E-2</v>
      </c>
      <c r="AR42" s="67">
        <f ca="1">AQ42+(AY42-AQ42)/8</f>
        <v>6.8783068783068779E-2</v>
      </c>
      <c r="AS42" s="67">
        <f ca="1">AR42+(AY42-AR42)/7</f>
        <v>0.10317460317460317</v>
      </c>
      <c r="AT42" s="67">
        <f ca="1">AS42+(AY42-AS42)/6</f>
        <v>0.13756613756613756</v>
      </c>
      <c r="AU42" s="67">
        <f ca="1">AT42+(AY42-AT42)/5</f>
        <v>0.17195767195767195</v>
      </c>
      <c r="AV42" s="67">
        <f ca="1">AU42+(AY42-AU42)/4</f>
        <v>0.20634920634920634</v>
      </c>
      <c r="AW42" s="67">
        <f ca="1">AV42+(AY42-AV42)/3</f>
        <v>0.24074074074074073</v>
      </c>
      <c r="AX42" s="67">
        <f ca="1">AW42+(AY42-AW42)/2</f>
        <v>0.27513227513227512</v>
      </c>
      <c r="AY42" s="68">
        <f>IF(DIAG!H243,$F$27,-1)</f>
        <v>0.30952380952380953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>
        <f ca="1">GL37/GL$38</f>
        <v>0.515625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0" t="s">
        <v>21</v>
      </c>
      <c r="GL43" s="209"/>
    </row>
    <row r="44" spans="1:25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 ca="1">IF(DIAG!H244,$GL$55,-1)</f>
        <v>1.8042195912175808E-2</v>
      </c>
      <c r="AQ44" s="61">
        <f ca="1">AP44+(AY44-AP44)/9</f>
        <v>1.7295351201214278E-2</v>
      </c>
      <c r="AR44" s="61">
        <f ca="1">AQ44+(AY44-AQ44)/8</f>
        <v>1.6548506490252749E-2</v>
      </c>
      <c r="AS44" s="61">
        <f ca="1">AR44+(AY44-AR44)/7</f>
        <v>1.580166177929122E-2</v>
      </c>
      <c r="AT44" s="61">
        <f ca="1">AS44+(AY44-AS44)/6</f>
        <v>1.5054817068329689E-2</v>
      </c>
      <c r="AU44" s="61">
        <f ca="1">AT44+(AY44-AT44)/5</f>
        <v>1.4307972357368158E-2</v>
      </c>
      <c r="AV44" s="61">
        <f ca="1">AU44+(AY44-AU44)/4</f>
        <v>1.3561127646406627E-2</v>
      </c>
      <c r="AW44" s="61">
        <f ca="1">AV44+(AY44-AV44)/3</f>
        <v>1.2814282935445096E-2</v>
      </c>
      <c r="AX44" s="61">
        <f ca="1">AW44+(AY44-AW44)/2</f>
        <v>1.2067438224483565E-2</v>
      </c>
      <c r="AY44" s="62">
        <f>IF(DIAG!H244,$G$26,-1)</f>
        <v>1.1320593513522034E-2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>
        <f t="shared" ref="GL44" ca="1" si="210">GL35/GL38</f>
        <v>0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 ca="1">IF(DIAG!H244,$GL$56,-1)</f>
        <v>0</v>
      </c>
      <c r="AQ45" s="67">
        <f ca="1">AP45+(AY45-AP45)/9</f>
        <v>3.4858387799564267E-2</v>
      </c>
      <c r="AR45" s="67">
        <f ca="1">AQ45+(AY45-AQ45)/8</f>
        <v>6.9716775599128533E-2</v>
      </c>
      <c r="AS45" s="67">
        <f ca="1">AR45+(AY45-AR45)/7</f>
        <v>0.1045751633986928</v>
      </c>
      <c r="AT45" s="67">
        <f ca="1">AS45+(AY45-AS45)/6</f>
        <v>0.13943355119825707</v>
      </c>
      <c r="AU45" s="67">
        <f ca="1">AT45+(AY45-AT45)/5</f>
        <v>0.17429193899782133</v>
      </c>
      <c r="AV45" s="67">
        <f ca="1">AU45+(AY45-AU45)/4</f>
        <v>0.2091503267973856</v>
      </c>
      <c r="AW45" s="67">
        <f ca="1">AV45+(AY45-AV45)/3</f>
        <v>0.24400871459694987</v>
      </c>
      <c r="AX45" s="67">
        <f ca="1">AW45+(AY45-AW45)/2</f>
        <v>0.27886710239651413</v>
      </c>
      <c r="AY45" s="68">
        <f>IF(DIAG!H244,$G$27,-1)</f>
        <v>0.31372549019607843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>
        <f t="shared" ref="GL45" ca="1" si="211">GL36/GL38</f>
        <v>0.484375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>
        <f t="shared" ref="GL46" ca="1" si="212">GL37/GL38</f>
        <v>0.515625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 ca="1">IF(DIAG!H245,$GL$55,-1)</f>
        <v>1.8042195912175808E-2</v>
      </c>
      <c r="AQ47" s="61">
        <f ca="1">AP47+(AY47-AP47)/9</f>
        <v>1.7106674642655577E-2</v>
      </c>
      <c r="AR47" s="61">
        <f ca="1">AQ47+(AY47-AQ47)/8</f>
        <v>1.6171153373135346E-2</v>
      </c>
      <c r="AS47" s="61">
        <f ca="1">AR47+(AY47-AR47)/7</f>
        <v>1.5235632103615115E-2</v>
      </c>
      <c r="AT47" s="61">
        <f ca="1">AS47+(AY47-AS47)/6</f>
        <v>1.4300110834094885E-2</v>
      </c>
      <c r="AU47" s="61">
        <f ca="1">AT47+(AY47-AT47)/5</f>
        <v>1.3364589564574654E-2</v>
      </c>
      <c r="AV47" s="61">
        <f ca="1">AU47+(AY47-AU47)/4</f>
        <v>1.2429068295054423E-2</v>
      </c>
      <c r="AW47" s="61">
        <f ca="1">AV47+(AY47-AV47)/3</f>
        <v>1.1493547025534193E-2</v>
      </c>
      <c r="AX47" s="61">
        <f ca="1">AW47+(AY47-AW47)/2</f>
        <v>1.0558025756013962E-2</v>
      </c>
      <c r="AY47" s="62">
        <f>IF(DIAG!H245,$H$26,-1)</f>
        <v>9.6225044864937295E-3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>
        <f t="shared" ref="GL47" ca="1" si="213">GL44+GL45</f>
        <v>0.484375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 ca="1">IF(DIAG!H245,$GL$56,-1)</f>
        <v>0</v>
      </c>
      <c r="AQ48" s="67">
        <f ca="1">AP48+(AY48-AP48)/9</f>
        <v>3.518518518518518E-2</v>
      </c>
      <c r="AR48" s="67">
        <f ca="1">AQ48+(AY48-AQ48)/8</f>
        <v>7.0370370370370361E-2</v>
      </c>
      <c r="AS48" s="67">
        <f ca="1">AR48+(AY48-AR48)/7</f>
        <v>0.10555555555555554</v>
      </c>
      <c r="AT48" s="67">
        <f ca="1">AS48+(AY48-AS48)/6</f>
        <v>0.14074074074074072</v>
      </c>
      <c r="AU48" s="67">
        <f ca="1">AT48+(AY48-AT48)/5</f>
        <v>0.1759259259259259</v>
      </c>
      <c r="AV48" s="67">
        <f ca="1">AU48+(AY48-AU48)/4</f>
        <v>0.21111111111111108</v>
      </c>
      <c r="AW48" s="67">
        <f ca="1">AV48+(AY48-AV48)/3</f>
        <v>0.24629629629629626</v>
      </c>
      <c r="AX48" s="67">
        <f ca="1">AW48+(AY48-AW48)/2</f>
        <v>0.28148148148148144</v>
      </c>
      <c r="AY48" s="68">
        <f>IF(DIAG!H245,$H$27,-1)</f>
        <v>0.31666666666666665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>
        <f t="shared" ref="GL48" ca="1" si="214">GL44+GL45+GL46</f>
        <v>1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>
        <f t="shared" ref="GL49" ca="1" si="215">1/GL46</f>
        <v>1.9393939393939394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9.6225044864937673E-2</v>
      </c>
      <c r="Q50" s="124">
        <f t="shared" si="216"/>
        <v>3.8490017945975043E-2</v>
      </c>
      <c r="R50" s="124">
        <f t="shared" si="216"/>
        <v>2.4056261216234449E-2</v>
      </c>
      <c r="S50" s="124">
        <f t="shared" si="216"/>
        <v>1.7495462702715917E-2</v>
      </c>
      <c r="T50" s="124">
        <f t="shared" ref="T50" si="217">F26</f>
        <v>1.3746434980705328E-2</v>
      </c>
      <c r="U50" s="124">
        <f t="shared" ref="U50" si="218">G26</f>
        <v>1.1320593513522034E-2</v>
      </c>
      <c r="V50" s="124">
        <f t="shared" ref="V50" si="219">H26</f>
        <v>9.6225044864937295E-3</v>
      </c>
      <c r="W50" s="124">
        <f t="shared" ref="W50:Y50" si="220">I26</f>
        <v>8.3673952056467875E-3</v>
      </c>
      <c r="X50" s="124">
        <f t="shared" si="220"/>
        <v>7.4019265280720996E-3</v>
      </c>
      <c r="Y50" s="125">
        <f t="shared" si="220"/>
        <v>6.6362099906854101E-3</v>
      </c>
      <c r="Z50" s="34"/>
      <c r="AA50" s="34"/>
      <c r="AB50" s="34"/>
      <c r="AN50" s="9" t="s">
        <v>76</v>
      </c>
      <c r="AP50" s="60">
        <f ca="1">IF(DIAG!H246,$GL$55,-1)</f>
        <v>1.8042195912175808E-2</v>
      </c>
      <c r="AQ50" s="61">
        <f ca="1">AP50+(AY50-AP50)/9</f>
        <v>1.6967218055894805E-2</v>
      </c>
      <c r="AR50" s="61">
        <f ca="1">AQ50+(AY50-AQ50)/8</f>
        <v>1.5892240199613803E-2</v>
      </c>
      <c r="AS50" s="61">
        <f ca="1">AR50+(AY50-AR50)/7</f>
        <v>1.4817262343332801E-2</v>
      </c>
      <c r="AT50" s="61">
        <f ca="1">AS50+(AY50-AS50)/6</f>
        <v>1.3742284487051799E-2</v>
      </c>
      <c r="AU50" s="61">
        <f ca="1">AT50+(AY50-AT50)/5</f>
        <v>1.2667306630770796E-2</v>
      </c>
      <c r="AV50" s="61">
        <f ca="1">AU50+(AY50-AU50)/4</f>
        <v>1.1592328774489794E-2</v>
      </c>
      <c r="AW50" s="61">
        <f ca="1">AV50+(AY50-AV50)/3</f>
        <v>1.0517350918208792E-2</v>
      </c>
      <c r="AX50" s="61">
        <f ca="1">AW50+(AY50-AW50)/2</f>
        <v>9.4423730619277897E-3</v>
      </c>
      <c r="AY50" s="62">
        <f>IF(DIAG!H246,$I$26,-1)</f>
        <v>8.3673952056467875E-3</v>
      </c>
      <c r="GK50" s="46" t="s">
        <v>31</v>
      </c>
      <c r="GL50" s="48">
        <f t="shared" ref="GL50" ca="1" si="221">GL46/(1-GL46)</f>
        <v>1.064516129032258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 ca="1">IF(DIAG!H246,$GL$56,-1)</f>
        <v>0</v>
      </c>
      <c r="AQ51" s="67">
        <f ca="1">AP51+(AY51-AP51)/9</f>
        <v>3.542673107890499E-2</v>
      </c>
      <c r="AR51" s="67">
        <f ca="1">AQ51+(AY51-AQ51)/8</f>
        <v>7.0853462157809979E-2</v>
      </c>
      <c r="AS51" s="67">
        <f ca="1">AR51+(AY51-AR51)/7</f>
        <v>0.10628019323671498</v>
      </c>
      <c r="AT51" s="67">
        <f ca="1">AS51+(AY51-AS51)/6</f>
        <v>0.14170692431561996</v>
      </c>
      <c r="AU51" s="67">
        <f ca="1">AT51+(AY51-AT51)/5</f>
        <v>0.17713365539452494</v>
      </c>
      <c r="AV51" s="67">
        <f ca="1">AU51+(AY51-AU51)/4</f>
        <v>0.21256038647342992</v>
      </c>
      <c r="AW51" s="67">
        <f ca="1">AV51+(AY51-AV51)/3</f>
        <v>0.24798711755233491</v>
      </c>
      <c r="AX51" s="67">
        <f ca="1">AW51+(AY51-AW51)/2</f>
        <v>0.28341384863123992</v>
      </c>
      <c r="AY51" s="68">
        <f>IF(DIAG!H246,$I$27,-1)</f>
        <v>0.3188405797101449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 ca="1">IF(DIAG!H247,$GL$55,-1)</f>
        <v>1.8042195912175808E-2</v>
      </c>
      <c r="AQ53" s="61">
        <f ca="1">AP53+(AY53-AP53)/9</f>
        <v>1.6859943758386505E-2</v>
      </c>
      <c r="AR53" s="61">
        <f ca="1">AQ53+(AY53-AQ53)/8</f>
        <v>1.5677691604597206E-2</v>
      </c>
      <c r="AS53" s="61">
        <f ca="1">AR53+(AY53-AR53)/7</f>
        <v>1.4495439450807905E-2</v>
      </c>
      <c r="AT53" s="61">
        <f ca="1">AS53+(AY53-AS53)/6</f>
        <v>1.3313187297018605E-2</v>
      </c>
      <c r="AU53" s="61">
        <f ca="1">AT53+(AY53-AT53)/5</f>
        <v>1.2130935143229304E-2</v>
      </c>
      <c r="AV53" s="61">
        <f ca="1">AU53+(AY53-AU53)/4</f>
        <v>1.0948682989440003E-2</v>
      </c>
      <c r="AW53" s="61">
        <f ca="1">AV53+(AY53-AV53)/3</f>
        <v>9.7664308356507027E-3</v>
      </c>
      <c r="AX53" s="61">
        <f ca="1">AW53+(AY53-AW53)/2</f>
        <v>8.584178681861402E-3</v>
      </c>
      <c r="AY53" s="62">
        <f>IF(DIAG!H247,$J$26,-1)</f>
        <v>7.4019265280720996E-3</v>
      </c>
      <c r="GK53" s="210" t="s">
        <v>33</v>
      </c>
      <c r="GL53" s="209"/>
      <c r="GM53" s="211"/>
      <c r="GN53" s="211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 ca="1">IF(DIAG!H247,$GL$56,-1)</f>
        <v>0</v>
      </c>
      <c r="AQ54" s="67">
        <f ca="1">AP54+(AY54-AP54)/9</f>
        <v>3.5612535612535613E-2</v>
      </c>
      <c r="AR54" s="67">
        <f ca="1">AQ54+(AY54-AQ54)/8</f>
        <v>7.1225071225071226E-2</v>
      </c>
      <c r="AS54" s="67">
        <f ca="1">AR54+(AY54-AR54)/7</f>
        <v>0.10683760683760685</v>
      </c>
      <c r="AT54" s="67">
        <f ca="1">AS54+(AY54-AS54)/6</f>
        <v>0.14245014245014245</v>
      </c>
      <c r="AU54" s="67">
        <f ca="1">AT54+(AY54-AT54)/5</f>
        <v>0.17806267806267806</v>
      </c>
      <c r="AV54" s="67">
        <f ca="1">AU54+(AY54-AU54)/4</f>
        <v>0.21367521367521369</v>
      </c>
      <c r="AW54" s="67">
        <f ca="1">AV54+(AY54-AV54)/3</f>
        <v>0.2492877492877493</v>
      </c>
      <c r="AX54" s="67">
        <f ca="1">AW54+(AY54-AW54)/2</f>
        <v>0.28490028490028491</v>
      </c>
      <c r="AY54" s="68">
        <f>IF(DIAG!H247,$J$27,-1)</f>
        <v>0.32051282051282054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>
        <f t="shared" ref="GL55" ca="1" si="225">(2*GL46+GL44-1)/SQRT(3)</f>
        <v>1.8042195912175808E-2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 ca="1">IF(DIAG!H248,$GL$55,-1)</f>
        <v>1.8042195912175808E-2</v>
      </c>
      <c r="AQ56" s="61">
        <f ca="1">AP56+(AY56-AP56)/9</f>
        <v>1.6774864143121317E-2</v>
      </c>
      <c r="AR56" s="61">
        <f ca="1">AQ56+(AY56-AQ56)/8</f>
        <v>1.5507532374066829E-2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3.3181049953427051E-3</v>
      </c>
      <c r="AY56" s="62">
        <f>IF(DIAG!H248,$K$26,-1)</f>
        <v>6.6362099906854101E-3</v>
      </c>
      <c r="GK56" s="63" t="s">
        <v>110</v>
      </c>
      <c r="GL56" s="37">
        <f ca="1"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0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 ca="1">IF(DIAG!H248,$GL$56,-1)</f>
        <v>0</v>
      </c>
      <c r="AQ57" s="67">
        <f ca="1">AP57+(AY57-AP57)/9</f>
        <v>3.5759897828863345E-2</v>
      </c>
      <c r="AR57" s="67">
        <f ca="1">AQ57+(AY57-AQ57)/8</f>
        <v>7.151979565772669E-2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0.16091954022988506</v>
      </c>
      <c r="AY57" s="68">
        <f>IF(DIAG!H248,$K$27,-1)</f>
        <v>0.32183908045977011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9.6225044864937673E-2</v>
      </c>
      <c r="B79" s="140">
        <f>VLOOKUP(B78,A27:GS27,DIAG!$T$58+1,0)</f>
        <v>0.16666666666666666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6.6362099906854101E-3</v>
      </c>
      <c r="H79" s="140">
        <f>VLOOKUP(H78,A27:GS27,DIAG!$W$58+1,0)</f>
        <v>0.32183908045977011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-0.56392351874335533</v>
      </c>
      <c r="D81" s="29">
        <f>(B81*(A81-$G$79)-A81*(B81-$H$79))/(A81-$G$79)</f>
        <v>0.32558139534883723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21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21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215" x14ac:dyDescent="0.2">
      <c r="A99" s="109"/>
      <c r="G99" s="9"/>
      <c r="H99" s="9"/>
      <c r="I99" s="9"/>
      <c r="J99" s="9"/>
      <c r="K99" s="9"/>
      <c r="AI99" s="141"/>
    </row>
    <row r="100" spans="1:21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21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21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21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215" x14ac:dyDescent="0.2">
      <c r="A104" s="109"/>
      <c r="AI104" s="141"/>
    </row>
    <row r="105" spans="1:21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215" x14ac:dyDescent="0.2">
      <c r="A106" s="109"/>
      <c r="AI106" s="141"/>
    </row>
    <row r="107" spans="1:215" x14ac:dyDescent="0.2">
      <c r="A107" s="109"/>
      <c r="AI107" s="141"/>
    </row>
    <row r="108" spans="1:21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21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21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215" x14ac:dyDescent="0.2">
      <c r="A111" s="103" t="s">
        <v>137</v>
      </c>
      <c r="B111" s="104"/>
      <c r="C111" s="104"/>
      <c r="D111" s="104"/>
      <c r="E111" s="105"/>
      <c r="F111" s="105"/>
      <c r="G111" s="106"/>
      <c r="H111" s="106"/>
      <c r="I111" s="106"/>
      <c r="J111" s="106"/>
      <c r="K111" s="106"/>
      <c r="L111" s="90"/>
      <c r="M111" s="90"/>
      <c r="N111" s="93"/>
      <c r="O111" s="93"/>
      <c r="P111" s="93">
        <v>9.6225044864937673E-2</v>
      </c>
      <c r="Q111" s="93">
        <v>3.8490017945975043E-2</v>
      </c>
      <c r="R111" s="93">
        <v>2.4056261216234449E-2</v>
      </c>
      <c r="S111" s="93">
        <v>1.7495462702715917E-2</v>
      </c>
      <c r="T111" s="93">
        <v>1.3746434980705328E-2</v>
      </c>
      <c r="U111" s="93">
        <v>1.1320593513522034E-2</v>
      </c>
      <c r="V111" s="93">
        <v>9.6225044864937295E-3</v>
      </c>
      <c r="W111" s="93">
        <v>8.3673952056467875E-3</v>
      </c>
      <c r="X111" s="93">
        <v>7.4019265280720996E-3</v>
      </c>
      <c r="Y111" s="93">
        <v>6.6362099906854101E-3</v>
      </c>
      <c r="Z111" s="93">
        <v>6.0140653040586444E-3</v>
      </c>
      <c r="AA111" s="93">
        <v>5.4985739922821311E-3</v>
      </c>
      <c r="AB111" s="93">
        <v>5.0644760455230489E-3</v>
      </c>
      <c r="AC111" s="93">
        <v>4.6939046275580225E-3</v>
      </c>
      <c r="AD111" s="93">
        <v>4.3738656756789791E-3</v>
      </c>
      <c r="AE111" s="93">
        <v>4.0946827602100534E-3</v>
      </c>
      <c r="AF111" s="93">
        <v>3.8490017945975942E-3</v>
      </c>
      <c r="AG111" s="93">
        <v>3.6311337684882118E-3</v>
      </c>
      <c r="AH111" s="93">
        <v>3.4366087451763319E-3</v>
      </c>
      <c r="AI111" s="93">
        <v>3.4366087451763319E-3</v>
      </c>
      <c r="AJ111" s="93">
        <v>3.1040337053205662E-3</v>
      </c>
      <c r="AK111" s="93">
        <v>2.9607706112288398E-3</v>
      </c>
      <c r="AL111" s="93">
        <v>2.8301483783805086E-3</v>
      </c>
      <c r="AM111" s="93">
        <v>2.7105646440827892E-3</v>
      </c>
      <c r="AN111" s="93">
        <v>2.6006768882415312E-3</v>
      </c>
      <c r="AO111" s="93">
        <v>2.4993518146736843E-3</v>
      </c>
      <c r="AP111" s="93">
        <v>2.4056261216234324E-3</v>
      </c>
      <c r="AQ111" s="93">
        <v>2.3186757798780442E-3</v>
      </c>
      <c r="AR111" s="93">
        <v>2.2377917410450654E-3</v>
      </c>
      <c r="AS111" s="93">
        <v>2.1623605587626489E-3</v>
      </c>
      <c r="AT111" s="93">
        <v>2.0918488014116969E-3</v>
      </c>
      <c r="AU111" s="93">
        <v>2.0257904182092198E-3</v>
      </c>
      <c r="AV111" s="93">
        <v>1.9637764258149918E-3</v>
      </c>
      <c r="AW111" s="93">
        <v>1.9054464329691491E-3</v>
      </c>
      <c r="AX111" s="93">
        <v>1.8504816320180249E-3</v>
      </c>
      <c r="AY111" s="93">
        <v>1.7985989694380227E-3</v>
      </c>
      <c r="AZ111" s="93">
        <v>1.7495462702715404E-3</v>
      </c>
      <c r="BA111" s="93">
        <v>1.7030981392023958E-3</v>
      </c>
      <c r="BB111" s="93">
        <v>1.6590524976712883E-3</v>
      </c>
      <c r="BC111" s="93">
        <v>1.617227644788862E-3</v>
      </c>
      <c r="BD111" s="93">
        <v>1.5774597518841611E-3</v>
      </c>
      <c r="BE111" s="93">
        <v>1.5396007178390889E-3</v>
      </c>
      <c r="BF111" s="93">
        <v>1.5035163260146932E-3</v>
      </c>
      <c r="BG111" s="93">
        <v>1.4690846544265098E-3</v>
      </c>
      <c r="BH111" s="93">
        <v>1.4361946994767066E-3</v>
      </c>
      <c r="BI111" s="93">
        <v>1.4047451805099726E-3</v>
      </c>
      <c r="BJ111" s="93">
        <v>1.3746434980705328E-3</v>
      </c>
      <c r="BK111" s="93">
        <v>1.3458048232858595E-3</v>
      </c>
      <c r="BL111" s="93">
        <v>1.3181512995197415E-3</v>
      </c>
      <c r="BM111" s="93">
        <v>1.2916113404689809E-3</v>
      </c>
      <c r="BN111" s="93">
        <v>1.2661190113807943E-3</v>
      </c>
      <c r="BO111" s="93">
        <v>1.241613482128252E-3</v>
      </c>
      <c r="BP111" s="93">
        <v>1.2180385425941964E-3</v>
      </c>
      <c r="BQ111" s="93">
        <v>1.1953421722352736E-3</v>
      </c>
      <c r="BR111" s="93">
        <v>1.1734761568894417E-3</v>
      </c>
      <c r="BS111" s="93">
        <v>1.1523957468853828E-3</v>
      </c>
      <c r="BT111" s="93">
        <v>1.1320593513522033E-3</v>
      </c>
      <c r="BU111" s="93">
        <v>1.1124282643345492E-3</v>
      </c>
      <c r="BV111" s="93">
        <v>1.0934664189197769E-3</v>
      </c>
      <c r="BW111" s="93">
        <v>1.0751401660886555E-3</v>
      </c>
      <c r="BX111" s="93">
        <v>1.0574180754388714E-3</v>
      </c>
      <c r="BY111" s="93">
        <v>1.0402707552966124E-3</v>
      </c>
      <c r="BZ111" s="93">
        <v>1.0236706900525134E-3</v>
      </c>
      <c r="CA111" s="93">
        <v>1.0075920928265625E-3</v>
      </c>
      <c r="CB111" s="93">
        <v>9.9201077180347723E-4</v>
      </c>
      <c r="CC111" s="93">
        <v>9.7690400878107419E-4</v>
      </c>
      <c r="CD111" s="93">
        <v>9.6225044864939855E-4</v>
      </c>
      <c r="CE111" s="93">
        <v>9.4802999866927106E-4</v>
      </c>
      <c r="CF111" s="93">
        <v>9.3422373655274943E-4</v>
      </c>
      <c r="CG111" s="93">
        <v>9.2081382645875954E-4</v>
      </c>
      <c r="CH111" s="93">
        <v>9.0778344212202086E-4</v>
      </c>
      <c r="CI111" s="93">
        <v>8.9511669641800047E-4</v>
      </c>
      <c r="CJ111" s="93">
        <v>8.8279857674252045E-4</v>
      </c>
      <c r="CK111" s="93">
        <v>8.7081488565554112E-4</v>
      </c>
      <c r="CL111" s="93">
        <v>8.5915218629401891E-4</v>
      </c>
      <c r="CM111" s="93">
        <v>8.4779775211399453E-4</v>
      </c>
      <c r="CN111" s="93">
        <v>8.3673952056462751E-4</v>
      </c>
      <c r="CO111" s="93">
        <v>8.2596605034278628E-4</v>
      </c>
      <c r="CP111" s="93">
        <v>8.1546648190629172E-4</v>
      </c>
      <c r="CQ111" s="93">
        <v>8.0523050096172717E-4</v>
      </c>
      <c r="CR111" s="93">
        <v>7.9524830466888206E-4</v>
      </c>
      <c r="CS111" s="93">
        <v>7.8551057032607359E-4</v>
      </c>
      <c r="CT111" s="93">
        <v>7.7600842633007738E-4</v>
      </c>
      <c r="CU111" s="93">
        <v>7.6673342521862585E-4</v>
      </c>
      <c r="CV111" s="93">
        <v>7.5767751862164032E-4</v>
      </c>
      <c r="CW111" s="93">
        <v>7.4883303396838363E-4</v>
      </c>
      <c r="CX111" s="93">
        <v>7.4019265280720996E-4</v>
      </c>
      <c r="CY111" s="93">
        <v>7.3174939060791837E-4</v>
      </c>
      <c r="CZ111" s="93">
        <v>7.2349657793184584E-4</v>
      </c>
      <c r="DA111" s="93">
        <v>7.1542784286201351E-4</v>
      </c>
      <c r="DB111" s="93">
        <v>7.0753709459512714E-4</v>
      </c>
      <c r="DC111" s="93">
        <v>6.998185081086418E-4</v>
      </c>
      <c r="DD111" s="93">
        <v>6.9226650981969089E-4</v>
      </c>
      <c r="DE111" s="93">
        <v>6.8487576416319089E-4</v>
      </c>
      <c r="DF111" s="93">
        <v>6.7764116102066532E-4</v>
      </c>
      <c r="DG111" s="93">
        <v>6.7055780393684213E-4</v>
      </c>
      <c r="DH111" s="93">
        <v>6.6362099906851538E-4</v>
      </c>
      <c r="DI111" s="93">
        <v>6.5682624481182804E-4</v>
      </c>
      <c r="DJ111" s="93">
        <v>6.5016922206041479E-4</v>
      </c>
      <c r="DK111" s="93">
        <v>6.4364578504979241E-4</v>
      </c>
      <c r="DL111" s="93">
        <v>6.3725195274787053E-4</v>
      </c>
      <c r="DM111" s="93">
        <v>6.3098390075376704E-4</v>
      </c>
      <c r="DN111" s="93">
        <v>6.2483795366838899E-4</v>
      </c>
      <c r="DO111" s="93">
        <v>6.1881057790960333E-4</v>
      </c>
      <c r="DP111" s="93">
        <v>6.1289837493584427E-4</v>
      </c>
      <c r="DQ111" s="93">
        <v>6.0709807485764692E-4</v>
      </c>
      <c r="DR111" s="93">
        <v>6.01406530405826E-4</v>
      </c>
      <c r="DS111" s="93">
        <v>5.958207112379681E-4</v>
      </c>
      <c r="DT111" s="93">
        <v>5.903376985578534E-4</v>
      </c>
      <c r="DU111" s="93">
        <v>5.849546800299894E-4</v>
      </c>
      <c r="DV111" s="93">
        <v>5.7966894496951104E-4</v>
      </c>
      <c r="DW111" s="93">
        <v>5.7447787979065699E-4</v>
      </c>
      <c r="DX111" s="93">
        <v>5.6937896369779457E-4</v>
      </c>
      <c r="DY111" s="93">
        <v>5.6436976460373927E-4</v>
      </c>
      <c r="DZ111" s="93">
        <v>5.5944793526126635E-4</v>
      </c>
      <c r="EA111" s="93">
        <v>5.5461120959614935E-4</v>
      </c>
      <c r="EB111" s="93">
        <v>5.4985739922826433E-4</v>
      </c>
      <c r="EC111" s="93">
        <v>5.4518439016960657E-4</v>
      </c>
      <c r="ED111" s="93">
        <v>5.4059013969063013E-4</v>
      </c>
      <c r="EE111" s="93">
        <v>5.3607267334234831E-4</v>
      </c>
      <c r="EF111" s="93">
        <v>5.3163008212675793E-4</v>
      </c>
      <c r="EG111" s="93">
        <v>5.2726051980789669E-4</v>
      </c>
      <c r="EH111" s="93">
        <v>5.2296220035289223E-4</v>
      </c>
      <c r="EI111" s="93">
        <v>5.1873339549826105E-4</v>
      </c>
      <c r="EJ111" s="93">
        <v>5.1457243243286635E-4</v>
      </c>
      <c r="EK111" s="93">
        <v>5.1047769159112623E-4</v>
      </c>
      <c r="EL111" s="93">
        <v>5.0644760455224077E-4</v>
      </c>
      <c r="EM111" s="93">
        <v>5.0248065203620902E-4</v>
      </c>
      <c r="EN111" s="93">
        <v>4.9857536199458276E-4</v>
      </c>
      <c r="EO111" s="93">
        <v>4.947303077889087E-4</v>
      </c>
      <c r="EP111" s="93">
        <v>4.9094410645378003E-4</v>
      </c>
      <c r="EQ111" s="93">
        <v>4.8721541703770422E-4</v>
      </c>
      <c r="ER111" s="93">
        <v>4.8354293901986398E-4</v>
      </c>
      <c r="ES111" s="93">
        <v>4.7992541079777088E-4</v>
      </c>
      <c r="ET111" s="93">
        <v>4.763616082422232E-4</v>
      </c>
      <c r="EU111" s="93">
        <v>4.7285034331661871E-4</v>
      </c>
      <c r="EV111" s="93">
        <v>4.6939046275587922E-4</v>
      </c>
      <c r="EW111" s="93">
        <v>4.6598084680357692E-4</v>
      </c>
      <c r="EX111" s="93">
        <v>4.6262040800444209E-4</v>
      </c>
      <c r="EY111" s="93">
        <v>4.5930809004750864E-4</v>
      </c>
      <c r="EZ111" s="93">
        <v>4.5604286665848758E-4</v>
      </c>
      <c r="FA111" s="93">
        <v>4.5282374054085573E-4</v>
      </c>
      <c r="FB111" s="93">
        <v>4.4964974235950567E-4</v>
      </c>
      <c r="FC111" s="93">
        <v>4.4651992976772672E-4</v>
      </c>
      <c r="FD111" s="93">
        <v>4.4343338647443982E-4</v>
      </c>
      <c r="FE111" s="93">
        <v>4.4038922134976346E-4</v>
      </c>
      <c r="FF111" s="93">
        <v>4.3738656756788511E-4</v>
      </c>
      <c r="FG111" s="93">
        <v>4.3442458178300766E-4</v>
      </c>
      <c r="FH111" s="93">
        <v>4.3150244334055009E-4</v>
      </c>
      <c r="FI111" s="93">
        <v>4.2861935351873098E-4</v>
      </c>
      <c r="FJ111" s="93">
        <v>4.2577453480066308E-4</v>
      </c>
      <c r="FK111" s="93">
        <v>4.2296723017554855E-4</v>
      </c>
      <c r="FL111" s="93">
        <v>4.2019670246705231E-4</v>
      </c>
      <c r="FM111" s="93">
        <v>4.1746223368744305E-4</v>
      </c>
      <c r="FN111" s="93">
        <v>4.1476312441788622E-4</v>
      </c>
      <c r="FO111" s="93">
        <v>4.1209869321181294E-4</v>
      </c>
      <c r="FP111" s="93">
        <v>4.0946827602097974E-4</v>
      </c>
      <c r="FQ111" s="93">
        <v>4.0687122564460391E-4</v>
      </c>
      <c r="FR111" s="93">
        <v>4.043069111972155E-4</v>
      </c>
      <c r="FS111" s="93">
        <v>4.0177471759894406E-4</v>
      </c>
      <c r="FT111" s="93">
        <v>3.9927404508272735E-4</v>
      </c>
      <c r="FU111" s="93">
        <v>3.968043087213909E-4</v>
      </c>
      <c r="FV111" s="93">
        <v>3.9436493797100823E-4</v>
      </c>
      <c r="FW111" s="93">
        <v>3.919553762318246E-4</v>
      </c>
      <c r="FX111" s="93">
        <v>3.8957508042482036E-4</v>
      </c>
      <c r="FY111" s="93">
        <v>3.8722352058327393E-4</v>
      </c>
      <c r="FZ111" s="93">
        <v>3.8490017945970814E-4</v>
      </c>
      <c r="GA111" s="93">
        <v>3.8260455214681008E-4</v>
      </c>
      <c r="GB111" s="93">
        <v>3.8033614571117099E-4</v>
      </c>
      <c r="GC111" s="93">
        <v>3.7809447884061477E-4</v>
      </c>
      <c r="GD111" s="93">
        <v>3.7587908150370534E-4</v>
      </c>
      <c r="GE111" s="93">
        <v>3.7368949462104846E-4</v>
      </c>
      <c r="GF111" s="93">
        <v>3.7152526974877187E-4</v>
      </c>
      <c r="GG111" s="93">
        <v>3.6938596877136393E-4</v>
      </c>
      <c r="GH111" s="93">
        <v>3.6727116360656337E-4</v>
      </c>
      <c r="GI111" s="93">
        <v>3.6518043592011939E-4</v>
      </c>
      <c r="GJ111" s="93">
        <v>3.6311337684875709E-4</v>
      </c>
      <c r="GK111" s="93">
        <v>3.6106958673519309E-4</v>
      </c>
      <c r="GL111" s="93">
        <v>3.5904867486917665E-4</v>
      </c>
      <c r="GM111" s="93">
        <v>3.5705025923904281E-4</v>
      </c>
      <c r="GN111" s="93">
        <v>3.5507396629121389E-4</v>
      </c>
      <c r="GO111" s="93">
        <v>3.5311943069700816E-4</v>
      </c>
      <c r="GP111" s="93">
        <v>3.511862951275252E-4</v>
      </c>
      <c r="GQ111" s="93">
        <v>3.4927421003609448E-4</v>
      </c>
      <c r="GR111" s="93">
        <v>3.4738283344751866E-4</v>
      </c>
      <c r="GS111" s="93">
        <v>3.4551183075385531E-4</v>
      </c>
      <c r="GT111" s="93">
        <v>3.4366087451763319E-4</v>
      </c>
      <c r="GU111" s="93">
        <v>3.4182964428032558E-4</v>
      </c>
      <c r="GV111" s="93">
        <v>3.4001782637787392E-4</v>
      </c>
      <c r="GW111" s="93">
        <v>3.3822511376069845E-4</v>
      </c>
      <c r="GX111" s="93">
        <v>3.3645120582140081E-4</v>
      </c>
      <c r="GY111" s="93">
        <v>3.346958082259279E-4</v>
      </c>
      <c r="GZ111" s="93">
        <v>3.3295863275063298E-4</v>
      </c>
      <c r="HA111" s="93">
        <v>3.3123939712536161E-4</v>
      </c>
      <c r="HB111" s="93">
        <v>3.2953782487999951E-4</v>
      </c>
      <c r="HC111" s="93">
        <v>3.2785364519563506E-4</v>
      </c>
      <c r="HD111" s="93">
        <v>3.2618659276251665E-4</v>
      </c>
      <c r="HE111" s="93">
        <v>3.2453640763890706E-4</v>
      </c>
      <c r="HF111" s="93">
        <v>3.2290283511724523E-4</v>
      </c>
      <c r="HG111" s="93">
        <v>3.2128562559248763E-4</v>
      </c>
    </row>
    <row r="112" spans="1:215" x14ac:dyDescent="0.2">
      <c r="A112" s="109"/>
      <c r="N112" s="93" t="s">
        <v>229</v>
      </c>
      <c r="O112" s="93"/>
      <c r="P112" s="93">
        <v>0.16666666666666666</v>
      </c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93"/>
      <c r="CT112" s="93"/>
      <c r="CU112" s="93"/>
      <c r="CV112" s="93"/>
      <c r="CW112" s="93"/>
      <c r="CX112" s="93"/>
      <c r="CY112" s="93"/>
      <c r="CZ112" s="93"/>
      <c r="DA112" s="93"/>
      <c r="DB112" s="93"/>
      <c r="DC112" s="93"/>
      <c r="DD112" s="93"/>
      <c r="DE112" s="93"/>
      <c r="DF112" s="93"/>
      <c r="DG112" s="93"/>
      <c r="DH112" s="93"/>
      <c r="DI112" s="93"/>
      <c r="DJ112" s="93"/>
      <c r="DK112" s="93"/>
      <c r="DL112" s="93"/>
      <c r="DM112" s="93"/>
      <c r="DN112" s="93"/>
      <c r="DO112" s="93"/>
      <c r="DP112" s="93"/>
      <c r="DQ112" s="93"/>
      <c r="DR112" s="93"/>
      <c r="DS112" s="93"/>
      <c r="DT112" s="93"/>
      <c r="DU112" s="93"/>
      <c r="DV112" s="93"/>
      <c r="DW112" s="93"/>
      <c r="DX112" s="93"/>
      <c r="DY112" s="93"/>
      <c r="DZ112" s="93"/>
      <c r="EA112" s="93"/>
      <c r="EB112" s="93"/>
      <c r="EC112" s="93"/>
      <c r="ED112" s="93"/>
      <c r="EE112" s="93"/>
      <c r="EF112" s="93"/>
      <c r="EG112" s="93"/>
      <c r="EH112" s="93"/>
      <c r="EI112" s="93"/>
      <c r="EJ112" s="93"/>
      <c r="EK112" s="93"/>
      <c r="EL112" s="93"/>
      <c r="EM112" s="93"/>
      <c r="EN112" s="93"/>
      <c r="EO112" s="93"/>
      <c r="EP112" s="93"/>
      <c r="EQ112" s="93"/>
      <c r="ER112" s="93"/>
      <c r="ES112" s="93"/>
      <c r="ET112" s="93"/>
      <c r="EU112" s="93"/>
      <c r="EV112" s="93"/>
      <c r="EW112" s="93"/>
      <c r="EX112" s="93"/>
      <c r="EY112" s="93"/>
      <c r="EZ112" s="93"/>
      <c r="FA112" s="93"/>
      <c r="FB112" s="93"/>
      <c r="FC112" s="93"/>
      <c r="FD112" s="93"/>
      <c r="FE112" s="93"/>
      <c r="FF112" s="93"/>
      <c r="FG112" s="93"/>
      <c r="FH112" s="93"/>
      <c r="FI112" s="93"/>
      <c r="FJ112" s="93"/>
      <c r="FK112" s="93"/>
      <c r="FL112" s="93"/>
      <c r="FM112" s="93"/>
      <c r="FN112" s="93"/>
      <c r="FO112" s="93"/>
      <c r="FP112" s="93"/>
      <c r="FQ112" s="93"/>
      <c r="FR112" s="93"/>
      <c r="FS112" s="93"/>
      <c r="FT112" s="93"/>
      <c r="FU112" s="93"/>
      <c r="FV112" s="93"/>
      <c r="FW112" s="93"/>
      <c r="FX112" s="93"/>
      <c r="FY112" s="93"/>
      <c r="FZ112" s="93"/>
      <c r="GA112" s="93"/>
      <c r="GB112" s="93"/>
      <c r="GC112" s="93"/>
      <c r="GD112" s="93"/>
      <c r="GE112" s="93"/>
      <c r="GF112" s="93"/>
      <c r="GG112" s="93"/>
      <c r="GH112" s="93"/>
      <c r="GI112" s="93"/>
      <c r="GJ112" s="93"/>
      <c r="GK112" s="93"/>
      <c r="GL112" s="93"/>
      <c r="GM112" s="93"/>
      <c r="GN112" s="93"/>
      <c r="GO112" s="93"/>
      <c r="GP112" s="93"/>
      <c r="GQ112" s="93"/>
      <c r="GR112" s="93"/>
      <c r="GS112" s="93"/>
      <c r="GT112" s="93"/>
      <c r="GU112" s="93"/>
      <c r="GV112" s="93"/>
      <c r="GW112" s="93"/>
      <c r="GX112" s="93"/>
      <c r="GY112" s="93"/>
      <c r="GZ112" s="93"/>
      <c r="HA112" s="93"/>
      <c r="HB112" s="93"/>
      <c r="HC112" s="93"/>
      <c r="HD112" s="93"/>
      <c r="HE112" s="93"/>
      <c r="HF112" s="93"/>
      <c r="HG112" s="93"/>
    </row>
    <row r="113" spans="1:215" x14ac:dyDescent="0.2">
      <c r="A113" s="109"/>
      <c r="N113" s="93" t="s">
        <v>230</v>
      </c>
      <c r="O113" s="93"/>
      <c r="P113" s="93"/>
      <c r="Q113" s="93">
        <v>0.26666666666666666</v>
      </c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93"/>
      <c r="CT113" s="93"/>
      <c r="CU113" s="93"/>
      <c r="CV113" s="93"/>
      <c r="CW113" s="93"/>
      <c r="CX113" s="93"/>
      <c r="CY113" s="93"/>
      <c r="CZ113" s="93"/>
      <c r="DA113" s="93"/>
      <c r="DB113" s="93"/>
      <c r="DC113" s="93"/>
      <c r="DD113" s="93"/>
      <c r="DE113" s="93"/>
      <c r="DF113" s="93"/>
      <c r="DG113" s="93"/>
      <c r="DH113" s="93"/>
      <c r="DI113" s="93"/>
      <c r="DJ113" s="93"/>
      <c r="DK113" s="93"/>
      <c r="DL113" s="93"/>
      <c r="DM113" s="93"/>
      <c r="DN113" s="93"/>
      <c r="DO113" s="93"/>
      <c r="DP113" s="93"/>
      <c r="DQ113" s="93"/>
      <c r="DR113" s="93"/>
      <c r="DS113" s="93"/>
      <c r="DT113" s="93"/>
      <c r="DU113" s="93"/>
      <c r="DV113" s="93"/>
      <c r="DW113" s="93"/>
      <c r="DX113" s="93"/>
      <c r="DY113" s="93"/>
      <c r="DZ113" s="93"/>
      <c r="EA113" s="93"/>
      <c r="EB113" s="93"/>
      <c r="EC113" s="93"/>
      <c r="ED113" s="93"/>
      <c r="EE113" s="93"/>
      <c r="EF113" s="93"/>
      <c r="EG113" s="93"/>
      <c r="EH113" s="93"/>
      <c r="EI113" s="93"/>
      <c r="EJ113" s="93"/>
      <c r="EK113" s="93"/>
      <c r="EL113" s="93"/>
      <c r="EM113" s="93"/>
      <c r="EN113" s="93"/>
      <c r="EO113" s="93"/>
      <c r="EP113" s="93"/>
      <c r="EQ113" s="93"/>
      <c r="ER113" s="93"/>
      <c r="ES113" s="93"/>
      <c r="ET113" s="93"/>
      <c r="EU113" s="93"/>
      <c r="EV113" s="93"/>
      <c r="EW113" s="93"/>
      <c r="EX113" s="93"/>
      <c r="EY113" s="93"/>
      <c r="EZ113" s="93"/>
      <c r="FA113" s="93"/>
      <c r="FB113" s="93"/>
      <c r="FC113" s="93"/>
      <c r="FD113" s="93"/>
      <c r="FE113" s="93"/>
      <c r="FF113" s="93"/>
      <c r="FG113" s="93"/>
      <c r="FH113" s="93"/>
      <c r="FI113" s="93"/>
      <c r="FJ113" s="93"/>
      <c r="FK113" s="93"/>
      <c r="FL113" s="93"/>
      <c r="FM113" s="93"/>
      <c r="FN113" s="93"/>
      <c r="FO113" s="93"/>
      <c r="FP113" s="93"/>
      <c r="FQ113" s="93"/>
      <c r="FR113" s="93"/>
      <c r="FS113" s="93"/>
      <c r="FT113" s="93"/>
      <c r="FU113" s="93"/>
      <c r="FV113" s="93"/>
      <c r="FW113" s="93"/>
      <c r="FX113" s="93"/>
      <c r="FY113" s="93"/>
      <c r="FZ113" s="93"/>
      <c r="GA113" s="93"/>
      <c r="GB113" s="93"/>
      <c r="GC113" s="93"/>
      <c r="GD113" s="93"/>
      <c r="GE113" s="93"/>
      <c r="GF113" s="93"/>
      <c r="GG113" s="93"/>
      <c r="GH113" s="93"/>
      <c r="GI113" s="93"/>
      <c r="GJ113" s="93"/>
      <c r="GK113" s="93"/>
      <c r="GL113" s="93"/>
      <c r="GM113" s="93"/>
      <c r="GN113" s="93"/>
      <c r="GO113" s="93"/>
      <c r="GP113" s="93"/>
      <c r="GQ113" s="93"/>
      <c r="GR113" s="93"/>
      <c r="GS113" s="93"/>
      <c r="GT113" s="93"/>
      <c r="GU113" s="93"/>
      <c r="GV113" s="93"/>
      <c r="GW113" s="93"/>
      <c r="GX113" s="93"/>
      <c r="GY113" s="93"/>
      <c r="GZ113" s="93"/>
      <c r="HA113" s="93"/>
      <c r="HB113" s="93"/>
      <c r="HC113" s="93"/>
      <c r="HD113" s="93"/>
      <c r="HE113" s="93"/>
      <c r="HF113" s="93"/>
      <c r="HG113" s="93"/>
    </row>
    <row r="114" spans="1:215" x14ac:dyDescent="0.2">
      <c r="A114" s="109"/>
      <c r="N114" s="93" t="s">
        <v>231</v>
      </c>
      <c r="O114" s="93"/>
      <c r="P114" s="93"/>
      <c r="Q114" s="93"/>
      <c r="R114" s="93">
        <v>0.29166666666666669</v>
      </c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</row>
    <row r="115" spans="1:215" x14ac:dyDescent="0.2">
      <c r="A115" s="109"/>
      <c r="N115" s="93" t="s">
        <v>232</v>
      </c>
      <c r="O115" s="93"/>
      <c r="P115" s="93"/>
      <c r="Q115" s="93"/>
      <c r="R115" s="93"/>
      <c r="S115" s="93">
        <v>0.30303030303030304</v>
      </c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S115" s="93"/>
      <c r="CT115" s="93"/>
      <c r="CU115" s="93"/>
      <c r="CV115" s="93"/>
      <c r="CW115" s="93"/>
      <c r="CX115" s="93"/>
      <c r="CY115" s="93"/>
      <c r="CZ115" s="93"/>
      <c r="DA115" s="93"/>
      <c r="DB115" s="93"/>
      <c r="DC115" s="93"/>
      <c r="DD115" s="93"/>
      <c r="DE115" s="93"/>
      <c r="DF115" s="93"/>
      <c r="DG115" s="93"/>
      <c r="DH115" s="93"/>
      <c r="DI115" s="93"/>
      <c r="DJ115" s="93"/>
      <c r="DK115" s="93"/>
      <c r="DL115" s="93"/>
      <c r="DM115" s="93"/>
      <c r="DN115" s="93"/>
      <c r="DO115" s="93"/>
      <c r="DP115" s="93"/>
      <c r="DQ115" s="93"/>
      <c r="DR115" s="93"/>
      <c r="DS115" s="93"/>
      <c r="DT115" s="93"/>
      <c r="DU115" s="93"/>
      <c r="DV115" s="93"/>
      <c r="DW115" s="93"/>
      <c r="DX115" s="93"/>
      <c r="DY115" s="93"/>
      <c r="DZ115" s="93"/>
      <c r="EA115" s="93"/>
      <c r="EB115" s="93"/>
      <c r="EC115" s="93"/>
      <c r="ED115" s="93"/>
      <c r="EE115" s="93"/>
      <c r="EF115" s="93"/>
      <c r="EG115" s="93"/>
      <c r="EH115" s="93"/>
      <c r="EI115" s="93"/>
      <c r="EJ115" s="93"/>
      <c r="EK115" s="93"/>
      <c r="EL115" s="93"/>
      <c r="EM115" s="93"/>
      <c r="EN115" s="93"/>
      <c r="EO115" s="93"/>
      <c r="EP115" s="93"/>
      <c r="EQ115" s="93"/>
      <c r="ER115" s="93"/>
      <c r="ES115" s="93"/>
      <c r="ET115" s="93"/>
      <c r="EU115" s="93"/>
      <c r="EV115" s="93"/>
      <c r="EW115" s="93"/>
      <c r="EX115" s="93"/>
      <c r="EY115" s="93"/>
      <c r="EZ115" s="93"/>
      <c r="FA115" s="93"/>
      <c r="FB115" s="93"/>
      <c r="FC115" s="93"/>
      <c r="FD115" s="93"/>
      <c r="FE115" s="93"/>
      <c r="FF115" s="93"/>
      <c r="FG115" s="93"/>
      <c r="FH115" s="93"/>
      <c r="FI115" s="93"/>
      <c r="FJ115" s="93"/>
      <c r="FK115" s="93"/>
      <c r="FL115" s="93"/>
      <c r="FM115" s="93"/>
      <c r="FN115" s="93"/>
      <c r="FO115" s="93"/>
      <c r="FP115" s="93"/>
      <c r="FQ115" s="93"/>
      <c r="FR115" s="93"/>
      <c r="FS115" s="93"/>
      <c r="FT115" s="93"/>
      <c r="FU115" s="93"/>
      <c r="FV115" s="93"/>
      <c r="FW115" s="93"/>
      <c r="FX115" s="93"/>
      <c r="FY115" s="93"/>
      <c r="FZ115" s="93"/>
      <c r="GA115" s="93"/>
      <c r="GB115" s="93"/>
      <c r="GC115" s="93"/>
      <c r="GD115" s="93"/>
      <c r="GE115" s="93"/>
      <c r="GF115" s="93"/>
      <c r="GG115" s="93"/>
      <c r="GH115" s="93"/>
      <c r="GI115" s="93"/>
      <c r="GJ115" s="93"/>
      <c r="GK115" s="93"/>
      <c r="GL115" s="93"/>
      <c r="GM115" s="93"/>
      <c r="GN115" s="93"/>
      <c r="GO115" s="93"/>
      <c r="GP115" s="93"/>
      <c r="GQ115" s="93"/>
      <c r="GR115" s="93"/>
      <c r="GS115" s="93"/>
      <c r="GT115" s="93"/>
      <c r="GU115" s="93"/>
      <c r="GV115" s="93"/>
      <c r="GW115" s="93"/>
      <c r="GX115" s="93"/>
      <c r="GY115" s="93"/>
      <c r="GZ115" s="93"/>
      <c r="HA115" s="93"/>
      <c r="HB115" s="93"/>
      <c r="HC115" s="93"/>
      <c r="HD115" s="93"/>
      <c r="HE115" s="93"/>
      <c r="HF115" s="93"/>
      <c r="HG115" s="93"/>
    </row>
    <row r="116" spans="1:215" x14ac:dyDescent="0.2">
      <c r="A116" s="109"/>
      <c r="N116" s="93" t="s">
        <v>233</v>
      </c>
      <c r="O116" s="93"/>
      <c r="P116" s="93"/>
      <c r="Q116" s="93"/>
      <c r="R116" s="93"/>
      <c r="S116" s="93"/>
      <c r="T116" s="93">
        <v>0.30952380952380953</v>
      </c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93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S116" s="93"/>
      <c r="CT116" s="93"/>
      <c r="CU116" s="93"/>
      <c r="CV116" s="93"/>
      <c r="CW116" s="93"/>
      <c r="CX116" s="93"/>
      <c r="CY116" s="93"/>
      <c r="CZ116" s="93"/>
      <c r="DA116" s="93"/>
      <c r="DB116" s="93"/>
      <c r="DC116" s="93"/>
      <c r="DD116" s="93"/>
      <c r="DE116" s="93"/>
      <c r="DF116" s="93"/>
      <c r="DG116" s="93"/>
      <c r="DH116" s="93"/>
      <c r="DI116" s="93"/>
      <c r="DJ116" s="93"/>
      <c r="DK116" s="93"/>
      <c r="DL116" s="93"/>
      <c r="DM116" s="93"/>
      <c r="DN116" s="93"/>
      <c r="DO116" s="93"/>
      <c r="DP116" s="93"/>
      <c r="DQ116" s="93"/>
      <c r="DR116" s="93"/>
      <c r="DS116" s="93"/>
      <c r="DT116" s="93"/>
      <c r="DU116" s="93"/>
      <c r="DV116" s="93"/>
      <c r="DW116" s="93"/>
      <c r="DX116" s="93"/>
      <c r="DY116" s="93"/>
      <c r="DZ116" s="93"/>
      <c r="EA116" s="93"/>
      <c r="EB116" s="93"/>
      <c r="EC116" s="93"/>
      <c r="ED116" s="93"/>
      <c r="EE116" s="93"/>
      <c r="EF116" s="93"/>
      <c r="EG116" s="93"/>
      <c r="EH116" s="93"/>
      <c r="EI116" s="93"/>
      <c r="EJ116" s="93"/>
      <c r="EK116" s="93"/>
      <c r="EL116" s="93"/>
      <c r="EM116" s="93"/>
      <c r="EN116" s="93"/>
      <c r="EO116" s="93"/>
      <c r="EP116" s="93"/>
      <c r="EQ116" s="93"/>
      <c r="ER116" s="93"/>
      <c r="ES116" s="93"/>
      <c r="ET116" s="93"/>
      <c r="EU116" s="93"/>
      <c r="EV116" s="93"/>
      <c r="EW116" s="93"/>
      <c r="EX116" s="93"/>
      <c r="EY116" s="93"/>
      <c r="EZ116" s="93"/>
      <c r="FA116" s="93"/>
      <c r="FB116" s="93"/>
      <c r="FC116" s="93"/>
      <c r="FD116" s="93"/>
      <c r="FE116" s="93"/>
      <c r="FF116" s="93"/>
      <c r="FG116" s="93"/>
      <c r="FH116" s="93"/>
      <c r="FI116" s="93"/>
      <c r="FJ116" s="93"/>
      <c r="FK116" s="93"/>
      <c r="FL116" s="93"/>
      <c r="FM116" s="93"/>
      <c r="FN116" s="93"/>
      <c r="FO116" s="93"/>
      <c r="FP116" s="93"/>
      <c r="FQ116" s="93"/>
      <c r="FR116" s="93"/>
      <c r="FS116" s="93"/>
      <c r="FT116" s="93"/>
      <c r="FU116" s="93"/>
      <c r="FV116" s="93"/>
      <c r="FW116" s="93"/>
      <c r="FX116" s="93"/>
      <c r="FY116" s="93"/>
      <c r="FZ116" s="93"/>
      <c r="GA116" s="93"/>
      <c r="GB116" s="93"/>
      <c r="GC116" s="93"/>
      <c r="GD116" s="93"/>
      <c r="GE116" s="93"/>
      <c r="GF116" s="93"/>
      <c r="GG116" s="93"/>
      <c r="GH116" s="93"/>
      <c r="GI116" s="93"/>
      <c r="GJ116" s="93"/>
      <c r="GK116" s="93"/>
      <c r="GL116" s="93"/>
      <c r="GM116" s="93"/>
      <c r="GN116" s="93"/>
      <c r="GO116" s="93"/>
      <c r="GP116" s="93"/>
      <c r="GQ116" s="93"/>
      <c r="GR116" s="93"/>
      <c r="GS116" s="93"/>
      <c r="GT116" s="93"/>
      <c r="GU116" s="93"/>
      <c r="GV116" s="93"/>
      <c r="GW116" s="93"/>
      <c r="GX116" s="93"/>
      <c r="GY116" s="93"/>
      <c r="GZ116" s="93"/>
      <c r="HA116" s="93"/>
      <c r="HB116" s="93"/>
      <c r="HC116" s="93"/>
      <c r="HD116" s="93"/>
      <c r="HE116" s="93"/>
      <c r="HF116" s="93"/>
      <c r="HG116" s="93"/>
    </row>
    <row r="117" spans="1:215" x14ac:dyDescent="0.2">
      <c r="A117" s="109"/>
      <c r="B117" s="10">
        <v>1</v>
      </c>
      <c r="C117" s="10">
        <v>2</v>
      </c>
      <c r="D117" s="10">
        <v>3</v>
      </c>
      <c r="E117" s="10">
        <v>4</v>
      </c>
      <c r="F117" s="10">
        <v>5</v>
      </c>
      <c r="N117" s="93" t="s">
        <v>234</v>
      </c>
      <c r="O117" s="93"/>
      <c r="P117" s="93"/>
      <c r="Q117" s="93"/>
      <c r="R117" s="93"/>
      <c r="S117" s="93"/>
      <c r="T117" s="93"/>
      <c r="U117" s="93">
        <v>0.31372549019607843</v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93"/>
      <c r="BN117" s="93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S117" s="93"/>
      <c r="CT117" s="93"/>
      <c r="CU117" s="93"/>
      <c r="CV117" s="93"/>
      <c r="CW117" s="93"/>
      <c r="CX117" s="93"/>
      <c r="CY117" s="93"/>
      <c r="CZ117" s="93"/>
      <c r="DA117" s="93"/>
      <c r="DB117" s="93"/>
      <c r="DC117" s="93"/>
      <c r="DD117" s="93"/>
      <c r="DE117" s="93"/>
      <c r="DF117" s="93"/>
      <c r="DG117" s="93"/>
      <c r="DH117" s="93"/>
      <c r="DI117" s="93"/>
      <c r="DJ117" s="93"/>
      <c r="DK117" s="93"/>
      <c r="DL117" s="93"/>
      <c r="DM117" s="93"/>
      <c r="DN117" s="93"/>
      <c r="DO117" s="93"/>
      <c r="DP117" s="93"/>
      <c r="DQ117" s="93"/>
      <c r="DR117" s="93"/>
      <c r="DS117" s="93"/>
      <c r="DT117" s="93"/>
      <c r="DU117" s="93"/>
      <c r="DV117" s="93"/>
      <c r="DW117" s="93"/>
      <c r="DX117" s="93"/>
      <c r="DY117" s="93"/>
      <c r="DZ117" s="93"/>
      <c r="EA117" s="93"/>
      <c r="EB117" s="93"/>
      <c r="EC117" s="93"/>
      <c r="ED117" s="93"/>
      <c r="EE117" s="93"/>
      <c r="EF117" s="93"/>
      <c r="EG117" s="93"/>
      <c r="EH117" s="93"/>
      <c r="EI117" s="93"/>
      <c r="EJ117" s="93"/>
      <c r="EK117" s="93"/>
      <c r="EL117" s="93"/>
      <c r="EM117" s="93"/>
      <c r="EN117" s="93"/>
      <c r="EO117" s="93"/>
      <c r="EP117" s="93"/>
      <c r="EQ117" s="93"/>
      <c r="ER117" s="93"/>
      <c r="ES117" s="93"/>
      <c r="ET117" s="93"/>
      <c r="EU117" s="93"/>
      <c r="EV117" s="93"/>
      <c r="EW117" s="93"/>
      <c r="EX117" s="93"/>
      <c r="EY117" s="93"/>
      <c r="EZ117" s="93"/>
      <c r="FA117" s="93"/>
      <c r="FB117" s="93"/>
      <c r="FC117" s="93"/>
      <c r="FD117" s="93"/>
      <c r="FE117" s="93"/>
      <c r="FF117" s="93"/>
      <c r="FG117" s="93"/>
      <c r="FH117" s="93"/>
      <c r="FI117" s="93"/>
      <c r="FJ117" s="93"/>
      <c r="FK117" s="93"/>
      <c r="FL117" s="93"/>
      <c r="FM117" s="93"/>
      <c r="FN117" s="93"/>
      <c r="FO117" s="93"/>
      <c r="FP117" s="93"/>
      <c r="FQ117" s="93"/>
      <c r="FR117" s="93"/>
      <c r="FS117" s="93"/>
      <c r="FT117" s="93"/>
      <c r="FU117" s="93"/>
      <c r="FV117" s="93"/>
      <c r="FW117" s="93"/>
      <c r="FX117" s="93"/>
      <c r="FY117" s="93"/>
      <c r="FZ117" s="93"/>
      <c r="GA117" s="93"/>
      <c r="GB117" s="93"/>
      <c r="GC117" s="93"/>
      <c r="GD117" s="93"/>
      <c r="GE117" s="93"/>
      <c r="GF117" s="93"/>
      <c r="GG117" s="93"/>
      <c r="GH117" s="93"/>
      <c r="GI117" s="93"/>
      <c r="GJ117" s="93"/>
      <c r="GK117" s="93"/>
      <c r="GL117" s="93"/>
      <c r="GM117" s="93"/>
      <c r="GN117" s="93"/>
      <c r="GO117" s="93"/>
      <c r="GP117" s="93"/>
      <c r="GQ117" s="93"/>
      <c r="GR117" s="93"/>
      <c r="GS117" s="93"/>
      <c r="GT117" s="93"/>
      <c r="GU117" s="93"/>
      <c r="GV117" s="93"/>
      <c r="GW117" s="93"/>
      <c r="GX117" s="93"/>
      <c r="GY117" s="93"/>
      <c r="GZ117" s="93"/>
      <c r="HA117" s="93"/>
      <c r="HB117" s="93"/>
      <c r="HC117" s="93"/>
      <c r="HD117" s="93"/>
      <c r="HE117" s="93"/>
      <c r="HF117" s="93"/>
      <c r="HG117" s="93"/>
    </row>
    <row r="118" spans="1:215" x14ac:dyDescent="0.2">
      <c r="A118" s="109"/>
      <c r="B118" s="10"/>
      <c r="C118" s="10"/>
      <c r="D118" s="10"/>
      <c r="E118" s="10"/>
      <c r="F118" s="10"/>
      <c r="N118" s="93" t="s">
        <v>235</v>
      </c>
      <c r="O118" s="93"/>
      <c r="P118" s="93"/>
      <c r="Q118" s="93"/>
      <c r="R118" s="93"/>
      <c r="S118" s="93"/>
      <c r="T118" s="93"/>
      <c r="U118" s="93"/>
      <c r="V118" s="93">
        <v>0.31666666666666665</v>
      </c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93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3"/>
      <c r="CU118" s="93"/>
      <c r="CV118" s="93"/>
      <c r="CW118" s="93"/>
      <c r="CX118" s="93"/>
      <c r="CY118" s="93"/>
      <c r="CZ118" s="93"/>
      <c r="DA118" s="93"/>
      <c r="DB118" s="93"/>
      <c r="DC118" s="93"/>
      <c r="DD118" s="93"/>
      <c r="DE118" s="93"/>
      <c r="DF118" s="93"/>
      <c r="DG118" s="93"/>
      <c r="DH118" s="93"/>
      <c r="DI118" s="93"/>
      <c r="DJ118" s="93"/>
      <c r="DK118" s="93"/>
      <c r="DL118" s="93"/>
      <c r="DM118" s="93"/>
      <c r="DN118" s="93"/>
      <c r="DO118" s="93"/>
      <c r="DP118" s="93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  <c r="EL118" s="93"/>
      <c r="EM118" s="93"/>
      <c r="EN118" s="93"/>
      <c r="EO118" s="93"/>
      <c r="EP118" s="93"/>
      <c r="EQ118" s="93"/>
      <c r="ER118" s="93"/>
      <c r="ES118" s="93"/>
      <c r="ET118" s="93"/>
      <c r="EU118" s="93"/>
      <c r="EV118" s="93"/>
      <c r="EW118" s="93"/>
      <c r="EX118" s="93"/>
      <c r="EY118" s="93"/>
      <c r="EZ118" s="93"/>
      <c r="FA118" s="93"/>
      <c r="FB118" s="93"/>
      <c r="FC118" s="93"/>
      <c r="FD118" s="93"/>
      <c r="FE118" s="93"/>
      <c r="FF118" s="93"/>
      <c r="FG118" s="93"/>
      <c r="FH118" s="93"/>
      <c r="FI118" s="93"/>
      <c r="FJ118" s="93"/>
      <c r="FK118" s="93"/>
      <c r="FL118" s="93"/>
      <c r="FM118" s="93"/>
      <c r="FN118" s="93"/>
      <c r="FO118" s="93"/>
      <c r="FP118" s="93"/>
      <c r="FQ118" s="93"/>
      <c r="FR118" s="93"/>
      <c r="FS118" s="93"/>
      <c r="FT118" s="93"/>
      <c r="FU118" s="93"/>
      <c r="FV118" s="93"/>
      <c r="FW118" s="93"/>
      <c r="FX118" s="93"/>
      <c r="FY118" s="93"/>
      <c r="FZ118" s="93"/>
      <c r="GA118" s="93"/>
      <c r="GB118" s="93"/>
      <c r="GC118" s="93"/>
      <c r="GD118" s="93"/>
      <c r="GE118" s="93"/>
      <c r="GF118" s="93"/>
      <c r="GG118" s="93"/>
      <c r="GH118" s="93"/>
      <c r="GI118" s="93"/>
      <c r="GJ118" s="93"/>
      <c r="GK118" s="93"/>
      <c r="GL118" s="93"/>
      <c r="GM118" s="93"/>
      <c r="GN118" s="93"/>
      <c r="GO118" s="93"/>
      <c r="GP118" s="93"/>
      <c r="GQ118" s="93"/>
      <c r="GR118" s="93"/>
      <c r="GS118" s="93"/>
      <c r="GT118" s="93"/>
      <c r="GU118" s="93"/>
      <c r="GV118" s="93"/>
      <c r="GW118" s="93"/>
      <c r="GX118" s="93"/>
      <c r="GY118" s="93"/>
      <c r="GZ118" s="93"/>
      <c r="HA118" s="93"/>
      <c r="HB118" s="93"/>
      <c r="HC118" s="93"/>
      <c r="HD118" s="93"/>
      <c r="HE118" s="93"/>
      <c r="HF118" s="93"/>
      <c r="HG118" s="93"/>
    </row>
    <row r="119" spans="1:215" x14ac:dyDescent="0.2">
      <c r="A119" s="109"/>
      <c r="B119" s="10"/>
      <c r="C119" s="10"/>
      <c r="D119" s="10"/>
      <c r="E119" s="10"/>
      <c r="F119" s="10"/>
      <c r="N119" s="93" t="s">
        <v>236</v>
      </c>
      <c r="O119" s="93"/>
      <c r="P119" s="93"/>
      <c r="Q119" s="93"/>
      <c r="R119" s="93"/>
      <c r="S119" s="93"/>
      <c r="T119" s="93"/>
      <c r="U119" s="93"/>
      <c r="V119" s="93"/>
      <c r="W119" s="93">
        <v>0.3188405797101449</v>
      </c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93"/>
      <c r="CT119" s="93"/>
      <c r="CU119" s="93"/>
      <c r="CV119" s="93"/>
      <c r="CW119" s="93"/>
      <c r="CX119" s="93"/>
      <c r="CY119" s="93"/>
      <c r="CZ119" s="93"/>
      <c r="DA119" s="93"/>
      <c r="DB119" s="93"/>
      <c r="DC119" s="93"/>
      <c r="DD119" s="93"/>
      <c r="DE119" s="93"/>
      <c r="DF119" s="93"/>
      <c r="DG119" s="93"/>
      <c r="DH119" s="93"/>
      <c r="DI119" s="93"/>
      <c r="DJ119" s="93"/>
      <c r="DK119" s="93"/>
      <c r="DL119" s="93"/>
      <c r="DM119" s="93"/>
      <c r="DN119" s="93"/>
      <c r="DO119" s="93"/>
      <c r="DP119" s="93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  <c r="EL119" s="93"/>
      <c r="EM119" s="93"/>
      <c r="EN119" s="93"/>
      <c r="EO119" s="93"/>
      <c r="EP119" s="93"/>
      <c r="EQ119" s="93"/>
      <c r="ER119" s="93"/>
      <c r="ES119" s="93"/>
      <c r="ET119" s="93"/>
      <c r="EU119" s="93"/>
      <c r="EV119" s="93"/>
      <c r="EW119" s="93"/>
      <c r="EX119" s="93"/>
      <c r="EY119" s="93"/>
      <c r="EZ119" s="93"/>
      <c r="FA119" s="93"/>
      <c r="FB119" s="93"/>
      <c r="FC119" s="93"/>
      <c r="FD119" s="93"/>
      <c r="FE119" s="93"/>
      <c r="FF119" s="93"/>
      <c r="FG119" s="93"/>
      <c r="FH119" s="93"/>
      <c r="FI119" s="93"/>
      <c r="FJ119" s="93"/>
      <c r="FK119" s="93"/>
      <c r="FL119" s="93"/>
      <c r="FM119" s="93"/>
      <c r="FN119" s="93"/>
      <c r="FO119" s="93"/>
      <c r="FP119" s="93"/>
      <c r="FQ119" s="93"/>
      <c r="FR119" s="93"/>
      <c r="FS119" s="93"/>
      <c r="FT119" s="93"/>
      <c r="FU119" s="93"/>
      <c r="FV119" s="93"/>
      <c r="FW119" s="93"/>
      <c r="FX119" s="93"/>
      <c r="FY119" s="93"/>
      <c r="FZ119" s="93"/>
      <c r="GA119" s="93"/>
      <c r="GB119" s="93"/>
      <c r="GC119" s="93"/>
      <c r="GD119" s="93"/>
      <c r="GE119" s="93"/>
      <c r="GF119" s="93"/>
      <c r="GG119" s="93"/>
      <c r="GH119" s="93"/>
      <c r="GI119" s="93"/>
      <c r="GJ119" s="93"/>
      <c r="GK119" s="93"/>
      <c r="GL119" s="93"/>
      <c r="GM119" s="93"/>
      <c r="GN119" s="93"/>
      <c r="GO119" s="93"/>
      <c r="GP119" s="93"/>
      <c r="GQ119" s="93"/>
      <c r="GR119" s="93"/>
      <c r="GS119" s="93"/>
      <c r="GT119" s="93"/>
      <c r="GU119" s="93"/>
      <c r="GV119" s="93"/>
      <c r="GW119" s="93"/>
      <c r="GX119" s="93"/>
      <c r="GY119" s="93"/>
      <c r="GZ119" s="93"/>
      <c r="HA119" s="93"/>
      <c r="HB119" s="93"/>
      <c r="HC119" s="93"/>
      <c r="HD119" s="93"/>
      <c r="HE119" s="93"/>
      <c r="HF119" s="93"/>
      <c r="HG119" s="93"/>
    </row>
    <row r="120" spans="1:215" x14ac:dyDescent="0.2">
      <c r="A120" s="109"/>
      <c r="B120" s="10"/>
      <c r="C120" s="10"/>
      <c r="D120" s="10"/>
      <c r="E120" s="10"/>
      <c r="F120" s="10"/>
      <c r="N120" s="93" t="s">
        <v>237</v>
      </c>
      <c r="O120" s="93"/>
      <c r="P120" s="93"/>
      <c r="Q120" s="93"/>
      <c r="R120" s="93"/>
      <c r="S120" s="93"/>
      <c r="T120" s="93"/>
      <c r="U120" s="93"/>
      <c r="V120" s="93"/>
      <c r="W120" s="93"/>
      <c r="X120" s="93">
        <v>0.32051282051282054</v>
      </c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</row>
    <row r="121" spans="1:215" x14ac:dyDescent="0.2">
      <c r="A121" s="112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33"/>
      <c r="M121" s="33"/>
      <c r="N121" s="93" t="s">
        <v>238</v>
      </c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>
        <v>0.32183908045977011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  <c r="BI121" s="93"/>
      <c r="BJ121" s="93"/>
      <c r="BK121" s="93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  <c r="BX121" s="93"/>
      <c r="BY121" s="93"/>
      <c r="BZ121" s="93"/>
      <c r="CA121" s="93"/>
      <c r="CB121" s="93"/>
      <c r="CC121" s="93"/>
      <c r="CD121" s="93"/>
      <c r="CE121" s="93"/>
      <c r="CF121" s="93"/>
      <c r="CG121" s="93"/>
      <c r="CH121" s="93"/>
      <c r="CI121" s="93"/>
      <c r="CJ121" s="93"/>
      <c r="CK121" s="93"/>
      <c r="CL121" s="93"/>
      <c r="CM121" s="93"/>
      <c r="CN121" s="93"/>
      <c r="CO121" s="93"/>
      <c r="CP121" s="93"/>
      <c r="CQ121" s="93"/>
      <c r="CR121" s="93"/>
      <c r="CS121" s="93"/>
      <c r="CT121" s="93"/>
      <c r="CU121" s="93"/>
      <c r="CV121" s="93"/>
      <c r="CW121" s="93"/>
      <c r="CX121" s="93"/>
      <c r="CY121" s="93"/>
      <c r="CZ121" s="93"/>
      <c r="DA121" s="93"/>
      <c r="DB121" s="93"/>
      <c r="DC121" s="93"/>
      <c r="DD121" s="93"/>
      <c r="DE121" s="93"/>
      <c r="DF121" s="93"/>
      <c r="DG121" s="93"/>
      <c r="DH121" s="93"/>
      <c r="DI121" s="93"/>
      <c r="DJ121" s="93"/>
      <c r="DK121" s="93"/>
      <c r="DL121" s="93"/>
      <c r="DM121" s="93"/>
      <c r="DN121" s="93"/>
      <c r="DO121" s="93"/>
      <c r="DP121" s="93"/>
      <c r="DQ121" s="93"/>
      <c r="DR121" s="93"/>
      <c r="DS121" s="93"/>
      <c r="DT121" s="93"/>
      <c r="DU121" s="93"/>
      <c r="DV121" s="93"/>
      <c r="DW121" s="93"/>
      <c r="DX121" s="93"/>
      <c r="DY121" s="93"/>
      <c r="DZ121" s="93"/>
      <c r="EA121" s="93"/>
      <c r="EB121" s="93"/>
      <c r="EC121" s="93"/>
      <c r="ED121" s="93"/>
      <c r="EE121" s="93"/>
      <c r="EF121" s="93"/>
      <c r="EG121" s="93"/>
      <c r="EH121" s="93"/>
      <c r="EI121" s="93"/>
      <c r="EJ121" s="93"/>
      <c r="EK121" s="93"/>
      <c r="EL121" s="93"/>
      <c r="EM121" s="93"/>
      <c r="EN121" s="93"/>
      <c r="EO121" s="93"/>
      <c r="EP121" s="93"/>
      <c r="EQ121" s="93"/>
      <c r="ER121" s="93"/>
      <c r="ES121" s="93"/>
      <c r="ET121" s="93"/>
      <c r="EU121" s="93"/>
      <c r="EV121" s="93"/>
      <c r="EW121" s="93"/>
      <c r="EX121" s="93"/>
      <c r="EY121" s="93"/>
      <c r="EZ121" s="93"/>
      <c r="FA121" s="93"/>
      <c r="FB121" s="93"/>
      <c r="FC121" s="93"/>
      <c r="FD121" s="93"/>
      <c r="FE121" s="93"/>
      <c r="FF121" s="93"/>
      <c r="FG121" s="93"/>
      <c r="FH121" s="93"/>
      <c r="FI121" s="93"/>
      <c r="FJ121" s="93"/>
      <c r="FK121" s="93"/>
      <c r="FL121" s="93"/>
      <c r="FM121" s="93"/>
      <c r="FN121" s="93"/>
      <c r="FO121" s="93"/>
      <c r="FP121" s="93"/>
      <c r="FQ121" s="93"/>
      <c r="FR121" s="93"/>
      <c r="FS121" s="93"/>
      <c r="FT121" s="93"/>
      <c r="FU121" s="93"/>
      <c r="FV121" s="93"/>
      <c r="FW121" s="93"/>
      <c r="FX121" s="93"/>
      <c r="FY121" s="93"/>
      <c r="FZ121" s="93"/>
      <c r="GA121" s="93"/>
      <c r="GB121" s="93"/>
      <c r="GC121" s="93"/>
      <c r="GD121" s="93"/>
      <c r="GE121" s="93"/>
      <c r="GF121" s="93"/>
      <c r="GG121" s="93"/>
      <c r="GH121" s="93"/>
      <c r="GI121" s="93"/>
      <c r="GJ121" s="93"/>
      <c r="GK121" s="93"/>
      <c r="GL121" s="93"/>
      <c r="GM121" s="93"/>
      <c r="GN121" s="93"/>
      <c r="GO121" s="93"/>
      <c r="GP121" s="93"/>
      <c r="GQ121" s="93"/>
      <c r="GR121" s="93"/>
      <c r="GS121" s="93"/>
      <c r="GT121" s="93"/>
      <c r="GU121" s="93"/>
      <c r="GV121" s="93"/>
      <c r="GW121" s="93"/>
      <c r="GX121" s="93"/>
      <c r="GY121" s="93"/>
      <c r="GZ121" s="93"/>
      <c r="HA121" s="93"/>
      <c r="HB121" s="93"/>
      <c r="HC121" s="93"/>
      <c r="HD121" s="93"/>
      <c r="HE121" s="93"/>
      <c r="HF121" s="93"/>
      <c r="HG121" s="93"/>
    </row>
    <row r="122" spans="1:215" x14ac:dyDescent="0.2">
      <c r="N122" s="93" t="s">
        <v>239</v>
      </c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>
        <v>0.32291666666666669</v>
      </c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3"/>
      <c r="AW122" s="93"/>
      <c r="AX122" s="93"/>
      <c r="AY122" s="93"/>
      <c r="AZ122" s="93"/>
      <c r="BA122" s="93"/>
      <c r="BB122" s="93"/>
      <c r="BC122" s="93"/>
      <c r="BD122" s="93"/>
      <c r="BE122" s="93"/>
      <c r="BF122" s="93"/>
      <c r="BG122" s="93"/>
      <c r="BH122" s="93"/>
      <c r="BI122" s="93"/>
      <c r="BJ122" s="93"/>
      <c r="BK122" s="93"/>
      <c r="BL122" s="93"/>
      <c r="BM122" s="93"/>
      <c r="BN122" s="93"/>
      <c r="BO122" s="93"/>
      <c r="BP122" s="93"/>
      <c r="BQ122" s="93"/>
      <c r="BR122" s="93"/>
      <c r="BS122" s="93"/>
      <c r="BT122" s="93"/>
      <c r="BU122" s="93"/>
      <c r="BV122" s="93"/>
      <c r="BW122" s="93"/>
      <c r="BX122" s="93"/>
      <c r="BY122" s="93"/>
      <c r="BZ122" s="93"/>
      <c r="CA122" s="93"/>
      <c r="CB122" s="93"/>
      <c r="CC122" s="93"/>
      <c r="CD122" s="93"/>
      <c r="CE122" s="93"/>
      <c r="CF122" s="93"/>
      <c r="CG122" s="93"/>
      <c r="CH122" s="93"/>
      <c r="CI122" s="93"/>
      <c r="CJ122" s="93"/>
      <c r="CK122" s="93"/>
      <c r="CL122" s="93"/>
      <c r="CM122" s="93"/>
      <c r="CN122" s="93"/>
      <c r="CO122" s="93"/>
      <c r="CP122" s="93"/>
      <c r="CQ122" s="93"/>
      <c r="CR122" s="93"/>
      <c r="CS122" s="93"/>
      <c r="CT122" s="93"/>
      <c r="CU122" s="93"/>
      <c r="CV122" s="93"/>
      <c r="CW122" s="93"/>
      <c r="CX122" s="93"/>
      <c r="CY122" s="93"/>
      <c r="CZ122" s="93"/>
      <c r="DA122" s="93"/>
      <c r="DB122" s="93"/>
      <c r="DC122" s="93"/>
      <c r="DD122" s="93"/>
      <c r="DE122" s="93"/>
      <c r="DF122" s="93"/>
      <c r="DG122" s="93"/>
      <c r="DH122" s="93"/>
      <c r="DI122" s="93"/>
      <c r="DJ122" s="93"/>
      <c r="DK122" s="93"/>
      <c r="DL122" s="93"/>
      <c r="DM122" s="93"/>
      <c r="DN122" s="93"/>
      <c r="DO122" s="93"/>
      <c r="DP122" s="93"/>
      <c r="DQ122" s="93"/>
      <c r="DR122" s="93"/>
      <c r="DS122" s="93"/>
      <c r="DT122" s="93"/>
      <c r="DU122" s="93"/>
      <c r="DV122" s="93"/>
      <c r="DW122" s="93"/>
      <c r="DX122" s="93"/>
      <c r="DY122" s="93"/>
      <c r="DZ122" s="93"/>
      <c r="EA122" s="93"/>
      <c r="EB122" s="93"/>
      <c r="EC122" s="93"/>
      <c r="ED122" s="93"/>
      <c r="EE122" s="93"/>
      <c r="EF122" s="93"/>
      <c r="EG122" s="93"/>
      <c r="EH122" s="93"/>
      <c r="EI122" s="93"/>
      <c r="EJ122" s="93"/>
      <c r="EK122" s="93"/>
      <c r="EL122" s="93"/>
      <c r="EM122" s="93"/>
      <c r="EN122" s="93"/>
      <c r="EO122" s="93"/>
      <c r="EP122" s="93"/>
      <c r="EQ122" s="93"/>
      <c r="ER122" s="93"/>
      <c r="ES122" s="93"/>
      <c r="ET122" s="93"/>
      <c r="EU122" s="93"/>
      <c r="EV122" s="93"/>
      <c r="EW122" s="93"/>
      <c r="EX122" s="93"/>
      <c r="EY122" s="93"/>
      <c r="EZ122" s="93"/>
      <c r="FA122" s="93"/>
      <c r="FB122" s="93"/>
      <c r="FC122" s="93"/>
      <c r="FD122" s="93"/>
      <c r="FE122" s="93"/>
      <c r="FF122" s="93"/>
      <c r="FG122" s="93"/>
      <c r="FH122" s="93"/>
      <c r="FI122" s="93"/>
      <c r="FJ122" s="93"/>
      <c r="FK122" s="93"/>
      <c r="FL122" s="93"/>
      <c r="FM122" s="93"/>
      <c r="FN122" s="93"/>
      <c r="FO122" s="93"/>
      <c r="FP122" s="93"/>
      <c r="FQ122" s="93"/>
      <c r="FR122" s="93"/>
      <c r="FS122" s="93"/>
      <c r="FT122" s="93"/>
      <c r="FU122" s="93"/>
      <c r="FV122" s="93"/>
      <c r="FW122" s="93"/>
      <c r="FX122" s="93"/>
      <c r="FY122" s="93"/>
      <c r="FZ122" s="93"/>
      <c r="GA122" s="93"/>
      <c r="GB122" s="93"/>
      <c r="GC122" s="93"/>
      <c r="GD122" s="93"/>
      <c r="GE122" s="93"/>
      <c r="GF122" s="93"/>
      <c r="GG122" s="93"/>
      <c r="GH122" s="93"/>
      <c r="GI122" s="93"/>
      <c r="GJ122" s="93"/>
      <c r="GK122" s="93"/>
      <c r="GL122" s="93"/>
      <c r="GM122" s="93"/>
      <c r="GN122" s="93"/>
      <c r="GO122" s="93"/>
      <c r="GP122" s="93"/>
      <c r="GQ122" s="93"/>
      <c r="GR122" s="93"/>
      <c r="GS122" s="93"/>
      <c r="GT122" s="93"/>
      <c r="GU122" s="93"/>
      <c r="GV122" s="93"/>
      <c r="GW122" s="93"/>
      <c r="GX122" s="93"/>
      <c r="GY122" s="93"/>
      <c r="GZ122" s="93"/>
      <c r="HA122" s="93"/>
      <c r="HB122" s="93"/>
      <c r="HC122" s="93"/>
      <c r="HD122" s="93"/>
      <c r="HE122" s="93"/>
      <c r="HF122" s="93"/>
      <c r="HG122" s="93"/>
    </row>
    <row r="123" spans="1:215" x14ac:dyDescent="0.2">
      <c r="N123" s="93" t="s">
        <v>240</v>
      </c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>
        <v>0.32380952380952382</v>
      </c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  <c r="HF123" s="93"/>
      <c r="HG123" s="93"/>
    </row>
    <row r="124" spans="1:215" x14ac:dyDescent="0.2">
      <c r="N124" s="93" t="s">
        <v>241</v>
      </c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>
        <v>0.32456140350877194</v>
      </c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3"/>
      <c r="AW124" s="93"/>
      <c r="AX124" s="93"/>
      <c r="AY124" s="93"/>
      <c r="AZ124" s="93"/>
      <c r="BA124" s="93"/>
      <c r="BB124" s="93"/>
      <c r="BC124" s="93"/>
      <c r="BD124" s="93"/>
      <c r="BE124" s="93"/>
      <c r="BF124" s="93"/>
      <c r="BG124" s="93"/>
      <c r="BH124" s="93"/>
      <c r="BI124" s="93"/>
      <c r="BJ124" s="93"/>
      <c r="BK124" s="93"/>
      <c r="BL124" s="93"/>
      <c r="BM124" s="93"/>
      <c r="BN124" s="93"/>
      <c r="BO124" s="93"/>
      <c r="BP124" s="93"/>
      <c r="BQ124" s="93"/>
      <c r="BR124" s="93"/>
      <c r="BS124" s="93"/>
      <c r="BT124" s="93"/>
      <c r="BU124" s="93"/>
      <c r="BV124" s="93"/>
      <c r="BW124" s="93"/>
      <c r="BX124" s="93"/>
      <c r="BY124" s="93"/>
      <c r="BZ124" s="93"/>
      <c r="CA124" s="93"/>
      <c r="CB124" s="93"/>
      <c r="CC124" s="93"/>
      <c r="CD124" s="93"/>
      <c r="CE124" s="93"/>
      <c r="CF124" s="93"/>
      <c r="CG124" s="93"/>
      <c r="CH124" s="93"/>
      <c r="CI124" s="93"/>
      <c r="CJ124" s="93"/>
      <c r="CK124" s="93"/>
      <c r="CL124" s="93"/>
      <c r="CM124" s="93"/>
      <c r="CN124" s="93"/>
      <c r="CO124" s="93"/>
      <c r="CP124" s="93"/>
      <c r="CQ124" s="93"/>
      <c r="CR124" s="93"/>
      <c r="CS124" s="93"/>
      <c r="CT124" s="93"/>
      <c r="CU124" s="93"/>
      <c r="CV124" s="93"/>
      <c r="CW124" s="93"/>
      <c r="CX124" s="93"/>
      <c r="CY124" s="93"/>
      <c r="CZ124" s="93"/>
      <c r="DA124" s="93"/>
      <c r="DB124" s="93"/>
      <c r="DC124" s="93"/>
      <c r="DD124" s="93"/>
      <c r="DE124" s="93"/>
      <c r="DF124" s="93"/>
      <c r="DG124" s="93"/>
      <c r="DH124" s="93"/>
      <c r="DI124" s="93"/>
      <c r="DJ124" s="93"/>
      <c r="DK124" s="93"/>
      <c r="DL124" s="93"/>
      <c r="DM124" s="93"/>
      <c r="DN124" s="93"/>
      <c r="DO124" s="93"/>
      <c r="DP124" s="93"/>
      <c r="DQ124" s="93"/>
      <c r="DR124" s="93"/>
      <c r="DS124" s="93"/>
      <c r="DT124" s="93"/>
      <c r="DU124" s="93"/>
      <c r="DV124" s="93"/>
      <c r="DW124" s="93"/>
      <c r="DX124" s="93"/>
      <c r="DY124" s="93"/>
      <c r="DZ124" s="93"/>
      <c r="EA124" s="93"/>
      <c r="EB124" s="93"/>
      <c r="EC124" s="93"/>
      <c r="ED124" s="93"/>
      <c r="EE124" s="93"/>
      <c r="EF124" s="93"/>
      <c r="EG124" s="93"/>
      <c r="EH124" s="93"/>
      <c r="EI124" s="93"/>
      <c r="EJ124" s="93"/>
      <c r="EK124" s="93"/>
      <c r="EL124" s="93"/>
      <c r="EM124" s="93"/>
      <c r="EN124" s="93"/>
      <c r="EO124" s="93"/>
      <c r="EP124" s="93"/>
      <c r="EQ124" s="93"/>
      <c r="ER124" s="93"/>
      <c r="ES124" s="93"/>
      <c r="ET124" s="93"/>
      <c r="EU124" s="93"/>
      <c r="EV124" s="93"/>
      <c r="EW124" s="93"/>
      <c r="EX124" s="93"/>
      <c r="EY124" s="93"/>
      <c r="EZ124" s="93"/>
      <c r="FA124" s="93"/>
      <c r="FB124" s="93"/>
      <c r="FC124" s="93"/>
      <c r="FD124" s="93"/>
      <c r="FE124" s="93"/>
      <c r="FF124" s="93"/>
      <c r="FG124" s="93"/>
      <c r="FH124" s="93"/>
      <c r="FI124" s="93"/>
      <c r="FJ124" s="93"/>
      <c r="FK124" s="93"/>
      <c r="FL124" s="93"/>
      <c r="FM124" s="93"/>
      <c r="FN124" s="93"/>
      <c r="FO124" s="93"/>
      <c r="FP124" s="93"/>
      <c r="FQ124" s="93"/>
      <c r="FR124" s="93"/>
      <c r="FS124" s="93"/>
      <c r="FT124" s="93"/>
      <c r="FU124" s="93"/>
      <c r="FV124" s="93"/>
      <c r="FW124" s="93"/>
      <c r="FX124" s="93"/>
      <c r="FY124" s="93"/>
      <c r="FZ124" s="93"/>
      <c r="GA124" s="93"/>
      <c r="GB124" s="93"/>
      <c r="GC124" s="93"/>
      <c r="GD124" s="93"/>
      <c r="GE124" s="93"/>
      <c r="GF124" s="93"/>
      <c r="GG124" s="93"/>
      <c r="GH124" s="93"/>
      <c r="GI124" s="93"/>
      <c r="GJ124" s="93"/>
      <c r="GK124" s="93"/>
      <c r="GL124" s="93"/>
      <c r="GM124" s="93"/>
      <c r="GN124" s="93"/>
      <c r="GO124" s="93"/>
      <c r="GP124" s="93"/>
      <c r="GQ124" s="93"/>
      <c r="GR124" s="93"/>
      <c r="GS124" s="93"/>
      <c r="GT124" s="93"/>
      <c r="GU124" s="93"/>
      <c r="GV124" s="93"/>
      <c r="GW124" s="93"/>
      <c r="GX124" s="93"/>
      <c r="GY124" s="93"/>
      <c r="GZ124" s="93"/>
      <c r="HA124" s="93"/>
      <c r="HB124" s="93"/>
      <c r="HC124" s="93"/>
      <c r="HD124" s="93"/>
      <c r="HE124" s="93"/>
      <c r="HF124" s="93"/>
      <c r="HG124" s="93"/>
    </row>
    <row r="125" spans="1:215" x14ac:dyDescent="0.2">
      <c r="N125" s="93" t="s">
        <v>242</v>
      </c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>
        <v>0.32520325203252032</v>
      </c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  <c r="BI125" s="93"/>
      <c r="BJ125" s="93"/>
      <c r="BK125" s="93"/>
      <c r="BL125" s="93"/>
      <c r="BM125" s="93"/>
      <c r="BN125" s="93"/>
      <c r="BO125" s="93"/>
      <c r="BP125" s="93"/>
      <c r="BQ125" s="93"/>
      <c r="BR125" s="93"/>
      <c r="BS125" s="93"/>
      <c r="BT125" s="93"/>
      <c r="BU125" s="93"/>
      <c r="BV125" s="93"/>
      <c r="BW125" s="93"/>
      <c r="BX125" s="93"/>
      <c r="BY125" s="93"/>
      <c r="BZ125" s="93"/>
      <c r="CA125" s="93"/>
      <c r="CB125" s="93"/>
      <c r="CC125" s="93"/>
      <c r="CD125" s="93"/>
      <c r="CE125" s="93"/>
      <c r="CF125" s="93"/>
      <c r="CG125" s="93"/>
      <c r="CH125" s="93"/>
      <c r="CI125" s="93"/>
      <c r="CJ125" s="93"/>
      <c r="CK125" s="93"/>
      <c r="CL125" s="93"/>
      <c r="CM125" s="93"/>
      <c r="CN125" s="93"/>
      <c r="CO125" s="93"/>
      <c r="CP125" s="93"/>
      <c r="CQ125" s="93"/>
      <c r="CR125" s="93"/>
      <c r="CS125" s="93"/>
      <c r="CT125" s="93"/>
      <c r="CU125" s="93"/>
      <c r="CV125" s="93"/>
      <c r="CW125" s="93"/>
      <c r="CX125" s="93"/>
      <c r="CY125" s="93"/>
      <c r="CZ125" s="93"/>
      <c r="DA125" s="93"/>
      <c r="DB125" s="93"/>
      <c r="DC125" s="93"/>
      <c r="DD125" s="93"/>
      <c r="DE125" s="93"/>
      <c r="DF125" s="93"/>
      <c r="DG125" s="93"/>
      <c r="DH125" s="93"/>
      <c r="DI125" s="93"/>
      <c r="DJ125" s="93"/>
      <c r="DK125" s="93"/>
      <c r="DL125" s="93"/>
      <c r="DM125" s="93"/>
      <c r="DN125" s="93"/>
      <c r="DO125" s="93"/>
      <c r="DP125" s="93"/>
      <c r="DQ125" s="93"/>
      <c r="DR125" s="93"/>
      <c r="DS125" s="93"/>
      <c r="DT125" s="93"/>
      <c r="DU125" s="93"/>
      <c r="DV125" s="93"/>
      <c r="DW125" s="93"/>
      <c r="DX125" s="93"/>
      <c r="DY125" s="93"/>
      <c r="DZ125" s="93"/>
      <c r="EA125" s="93"/>
      <c r="EB125" s="93"/>
      <c r="EC125" s="93"/>
      <c r="ED125" s="93"/>
      <c r="EE125" s="93"/>
      <c r="EF125" s="93"/>
      <c r="EG125" s="93"/>
      <c r="EH125" s="93"/>
      <c r="EI125" s="93"/>
      <c r="EJ125" s="93"/>
      <c r="EK125" s="93"/>
      <c r="EL125" s="93"/>
      <c r="EM125" s="93"/>
      <c r="EN125" s="93"/>
      <c r="EO125" s="93"/>
      <c r="EP125" s="93"/>
      <c r="EQ125" s="93"/>
      <c r="ER125" s="93"/>
      <c r="ES125" s="93"/>
      <c r="ET125" s="93"/>
      <c r="EU125" s="93"/>
      <c r="EV125" s="93"/>
      <c r="EW125" s="93"/>
      <c r="EX125" s="93"/>
      <c r="EY125" s="93"/>
      <c r="EZ125" s="93"/>
      <c r="FA125" s="93"/>
      <c r="FB125" s="93"/>
      <c r="FC125" s="93"/>
      <c r="FD125" s="93"/>
      <c r="FE125" s="93"/>
      <c r="FF125" s="93"/>
      <c r="FG125" s="93"/>
      <c r="FH125" s="93"/>
      <c r="FI125" s="93"/>
      <c r="FJ125" s="93"/>
      <c r="FK125" s="93"/>
      <c r="FL125" s="93"/>
      <c r="FM125" s="93"/>
      <c r="FN125" s="93"/>
      <c r="FO125" s="93"/>
      <c r="FP125" s="93"/>
      <c r="FQ125" s="93"/>
      <c r="FR125" s="93"/>
      <c r="FS125" s="93"/>
      <c r="FT125" s="93"/>
      <c r="FU125" s="93"/>
      <c r="FV125" s="93"/>
      <c r="FW125" s="93"/>
      <c r="FX125" s="93"/>
      <c r="FY125" s="93"/>
      <c r="FZ125" s="93"/>
      <c r="GA125" s="93"/>
      <c r="GB125" s="93"/>
      <c r="GC125" s="93"/>
      <c r="GD125" s="93"/>
      <c r="GE125" s="93"/>
      <c r="GF125" s="93"/>
      <c r="GG125" s="93"/>
      <c r="GH125" s="93"/>
      <c r="GI125" s="93"/>
      <c r="GJ125" s="93"/>
      <c r="GK125" s="93"/>
      <c r="GL125" s="93"/>
      <c r="GM125" s="93"/>
      <c r="GN125" s="93"/>
      <c r="GO125" s="93"/>
      <c r="GP125" s="93"/>
      <c r="GQ125" s="93"/>
      <c r="GR125" s="93"/>
      <c r="GS125" s="93"/>
      <c r="GT125" s="93"/>
      <c r="GU125" s="93"/>
      <c r="GV125" s="93"/>
      <c r="GW125" s="93"/>
      <c r="GX125" s="93"/>
      <c r="GY125" s="93"/>
      <c r="GZ125" s="93"/>
      <c r="HA125" s="93"/>
      <c r="HB125" s="93"/>
      <c r="HC125" s="93"/>
      <c r="HD125" s="93"/>
      <c r="HE125" s="93"/>
      <c r="HF125" s="93"/>
      <c r="HG125" s="93"/>
    </row>
    <row r="126" spans="1:215" x14ac:dyDescent="0.2">
      <c r="N126" s="93" t="s">
        <v>243</v>
      </c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>
        <v>0.32575757575757575</v>
      </c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3"/>
      <c r="BX126" s="93"/>
      <c r="BY126" s="93"/>
      <c r="BZ126" s="93"/>
      <c r="CA126" s="93"/>
      <c r="CB126" s="93"/>
      <c r="CC126" s="93"/>
      <c r="CD126" s="93"/>
      <c r="CE126" s="93"/>
      <c r="CF126" s="93"/>
      <c r="CG126" s="93"/>
      <c r="CH126" s="93"/>
      <c r="CI126" s="93"/>
      <c r="CJ126" s="93"/>
      <c r="CK126" s="93"/>
      <c r="CL126" s="93"/>
      <c r="CM126" s="93"/>
      <c r="CN126" s="93"/>
      <c r="CO126" s="93"/>
      <c r="CP126" s="93"/>
      <c r="CQ126" s="93"/>
      <c r="CR126" s="93"/>
      <c r="CS126" s="93"/>
      <c r="CT126" s="93"/>
      <c r="CU126" s="93"/>
      <c r="CV126" s="93"/>
      <c r="CW126" s="93"/>
      <c r="CX126" s="93"/>
      <c r="CY126" s="93"/>
      <c r="CZ126" s="93"/>
      <c r="DA126" s="93"/>
      <c r="DB126" s="93"/>
      <c r="DC126" s="93"/>
      <c r="DD126" s="93"/>
      <c r="DE126" s="93"/>
      <c r="DF126" s="93"/>
      <c r="DG126" s="93"/>
      <c r="DH126" s="93"/>
      <c r="DI126" s="93"/>
      <c r="DJ126" s="93"/>
      <c r="DK126" s="93"/>
      <c r="DL126" s="93"/>
      <c r="DM126" s="93"/>
      <c r="DN126" s="93"/>
      <c r="DO126" s="93"/>
      <c r="DP126" s="93"/>
      <c r="DQ126" s="93"/>
      <c r="DR126" s="93"/>
      <c r="DS126" s="93"/>
      <c r="DT126" s="93"/>
      <c r="DU126" s="93"/>
      <c r="DV126" s="93"/>
      <c r="DW126" s="93"/>
      <c r="DX126" s="93"/>
      <c r="DY126" s="93"/>
      <c r="DZ126" s="93"/>
      <c r="EA126" s="93"/>
      <c r="EB126" s="93"/>
      <c r="EC126" s="93"/>
      <c r="ED126" s="93"/>
      <c r="EE126" s="93"/>
      <c r="EF126" s="93"/>
      <c r="EG126" s="93"/>
      <c r="EH126" s="93"/>
      <c r="EI126" s="93"/>
      <c r="EJ126" s="93"/>
      <c r="EK126" s="93"/>
      <c r="EL126" s="93"/>
      <c r="EM126" s="93"/>
      <c r="EN126" s="93"/>
      <c r="EO126" s="93"/>
      <c r="EP126" s="93"/>
      <c r="EQ126" s="93"/>
      <c r="ER126" s="93"/>
      <c r="ES126" s="93"/>
      <c r="ET126" s="93"/>
      <c r="EU126" s="93"/>
      <c r="EV126" s="93"/>
      <c r="EW126" s="93"/>
      <c r="EX126" s="93"/>
      <c r="EY126" s="93"/>
      <c r="EZ126" s="93"/>
      <c r="FA126" s="93"/>
      <c r="FB126" s="93"/>
      <c r="FC126" s="93"/>
      <c r="FD126" s="93"/>
      <c r="FE126" s="93"/>
      <c r="FF126" s="93"/>
      <c r="FG126" s="93"/>
      <c r="FH126" s="93"/>
      <c r="FI126" s="93"/>
      <c r="FJ126" s="93"/>
      <c r="FK126" s="93"/>
      <c r="FL126" s="93"/>
      <c r="FM126" s="93"/>
      <c r="FN126" s="93"/>
      <c r="FO126" s="93"/>
      <c r="FP126" s="93"/>
      <c r="FQ126" s="93"/>
      <c r="FR126" s="93"/>
      <c r="FS126" s="93"/>
      <c r="FT126" s="93"/>
      <c r="FU126" s="93"/>
      <c r="FV126" s="93"/>
      <c r="FW126" s="93"/>
      <c r="FX126" s="93"/>
      <c r="FY126" s="93"/>
      <c r="FZ126" s="93"/>
      <c r="GA126" s="93"/>
      <c r="GB126" s="93"/>
      <c r="GC126" s="93"/>
      <c r="GD126" s="93"/>
      <c r="GE126" s="93"/>
      <c r="GF126" s="93"/>
      <c r="GG126" s="93"/>
      <c r="GH126" s="93"/>
      <c r="GI126" s="93"/>
      <c r="GJ126" s="93"/>
      <c r="GK126" s="93"/>
      <c r="GL126" s="93"/>
      <c r="GM126" s="93"/>
      <c r="GN126" s="93"/>
      <c r="GO126" s="93"/>
      <c r="GP126" s="93"/>
      <c r="GQ126" s="93"/>
      <c r="GR126" s="93"/>
      <c r="GS126" s="93"/>
      <c r="GT126" s="93"/>
      <c r="GU126" s="93"/>
      <c r="GV126" s="93"/>
      <c r="GW126" s="93"/>
      <c r="GX126" s="93"/>
      <c r="GY126" s="93"/>
      <c r="GZ126" s="93"/>
      <c r="HA126" s="93"/>
      <c r="HB126" s="93"/>
      <c r="HC126" s="93"/>
      <c r="HD126" s="93"/>
      <c r="HE126" s="93"/>
      <c r="HF126" s="93"/>
      <c r="HG126" s="93"/>
    </row>
    <row r="127" spans="1:215" x14ac:dyDescent="0.2">
      <c r="N127" s="93" t="s">
        <v>244</v>
      </c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>
        <v>0.32624113475177308</v>
      </c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  <c r="BI127" s="93"/>
      <c r="BJ127" s="93"/>
      <c r="BK127" s="93"/>
      <c r="BL127" s="93"/>
      <c r="BM127" s="93"/>
      <c r="BN127" s="93"/>
      <c r="BO127" s="93"/>
      <c r="BP127" s="93"/>
      <c r="BQ127" s="93"/>
      <c r="BR127" s="93"/>
      <c r="BS127" s="93"/>
      <c r="BT127" s="93"/>
      <c r="BU127" s="93"/>
      <c r="BV127" s="93"/>
      <c r="BW127" s="93"/>
      <c r="BX127" s="93"/>
      <c r="BY127" s="93"/>
      <c r="BZ127" s="93"/>
      <c r="CA127" s="93"/>
      <c r="CB127" s="93"/>
      <c r="CC127" s="93"/>
      <c r="CD127" s="93"/>
      <c r="CE127" s="93"/>
      <c r="CF127" s="93"/>
      <c r="CG127" s="93"/>
      <c r="CH127" s="93"/>
      <c r="CI127" s="93"/>
      <c r="CJ127" s="93"/>
      <c r="CK127" s="93"/>
      <c r="CL127" s="93"/>
      <c r="CM127" s="93"/>
      <c r="CN127" s="93"/>
      <c r="CO127" s="93"/>
      <c r="CP127" s="93"/>
      <c r="CQ127" s="93"/>
      <c r="CR127" s="93"/>
      <c r="CS127" s="93"/>
      <c r="CT127" s="93"/>
      <c r="CU127" s="93"/>
      <c r="CV127" s="93"/>
      <c r="CW127" s="93"/>
      <c r="CX127" s="93"/>
      <c r="CY127" s="93"/>
      <c r="CZ127" s="93"/>
      <c r="DA127" s="93"/>
      <c r="DB127" s="93"/>
      <c r="DC127" s="93"/>
      <c r="DD127" s="93"/>
      <c r="DE127" s="93"/>
      <c r="DF127" s="93"/>
      <c r="DG127" s="93"/>
      <c r="DH127" s="93"/>
      <c r="DI127" s="93"/>
      <c r="DJ127" s="93"/>
      <c r="DK127" s="93"/>
      <c r="DL127" s="93"/>
      <c r="DM127" s="93"/>
      <c r="DN127" s="93"/>
      <c r="DO127" s="93"/>
      <c r="DP127" s="93"/>
      <c r="DQ127" s="93"/>
      <c r="DR127" s="93"/>
      <c r="DS127" s="93"/>
      <c r="DT127" s="93"/>
      <c r="DU127" s="93"/>
      <c r="DV127" s="93"/>
      <c r="DW127" s="93"/>
      <c r="DX127" s="93"/>
      <c r="DY127" s="93"/>
      <c r="DZ127" s="93"/>
      <c r="EA127" s="93"/>
      <c r="EB127" s="93"/>
      <c r="EC127" s="93"/>
      <c r="ED127" s="93"/>
      <c r="EE127" s="93"/>
      <c r="EF127" s="93"/>
      <c r="EG127" s="93"/>
      <c r="EH127" s="93"/>
      <c r="EI127" s="93"/>
      <c r="EJ127" s="93"/>
      <c r="EK127" s="93"/>
      <c r="EL127" s="93"/>
      <c r="EM127" s="93"/>
      <c r="EN127" s="93"/>
      <c r="EO127" s="93"/>
      <c r="EP127" s="93"/>
      <c r="EQ127" s="93"/>
      <c r="ER127" s="93"/>
      <c r="ES127" s="93"/>
      <c r="ET127" s="93"/>
      <c r="EU127" s="93"/>
      <c r="EV127" s="93"/>
      <c r="EW127" s="93"/>
      <c r="EX127" s="93"/>
      <c r="EY127" s="93"/>
      <c r="EZ127" s="93"/>
      <c r="FA127" s="93"/>
      <c r="FB127" s="93"/>
      <c r="FC127" s="93"/>
      <c r="FD127" s="93"/>
      <c r="FE127" s="93"/>
      <c r="FF127" s="93"/>
      <c r="FG127" s="93"/>
      <c r="FH127" s="93"/>
      <c r="FI127" s="93"/>
      <c r="FJ127" s="93"/>
      <c r="FK127" s="93"/>
      <c r="FL127" s="93"/>
      <c r="FM127" s="93"/>
      <c r="FN127" s="93"/>
      <c r="FO127" s="93"/>
      <c r="FP127" s="93"/>
      <c r="FQ127" s="93"/>
      <c r="FR127" s="93"/>
      <c r="FS127" s="93"/>
      <c r="FT127" s="93"/>
      <c r="FU127" s="93"/>
      <c r="FV127" s="93"/>
      <c r="FW127" s="93"/>
      <c r="FX127" s="93"/>
      <c r="FY127" s="93"/>
      <c r="FZ127" s="93"/>
      <c r="GA127" s="93"/>
      <c r="GB127" s="93"/>
      <c r="GC127" s="93"/>
      <c r="GD127" s="93"/>
      <c r="GE127" s="93"/>
      <c r="GF127" s="93"/>
      <c r="GG127" s="93"/>
      <c r="GH127" s="93"/>
      <c r="GI127" s="93"/>
      <c r="GJ127" s="93"/>
      <c r="GK127" s="93"/>
      <c r="GL127" s="93"/>
      <c r="GM127" s="93"/>
      <c r="GN127" s="93"/>
      <c r="GO127" s="93"/>
      <c r="GP127" s="93"/>
      <c r="GQ127" s="93"/>
      <c r="GR127" s="93"/>
      <c r="GS127" s="93"/>
      <c r="GT127" s="93"/>
      <c r="GU127" s="93"/>
      <c r="GV127" s="93"/>
      <c r="GW127" s="93"/>
      <c r="GX127" s="93"/>
      <c r="GY127" s="93"/>
      <c r="GZ127" s="93"/>
      <c r="HA127" s="93"/>
      <c r="HB127" s="93"/>
      <c r="HC127" s="93"/>
      <c r="HD127" s="93"/>
      <c r="HE127" s="93"/>
      <c r="HF127" s="93"/>
      <c r="HG127" s="93"/>
    </row>
    <row r="128" spans="1:215" x14ac:dyDescent="0.2">
      <c r="N128" s="93" t="s">
        <v>245</v>
      </c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>
        <v>0.32666666666666666</v>
      </c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3"/>
      <c r="BB128" s="93"/>
      <c r="BC128" s="93"/>
      <c r="BD128" s="93"/>
      <c r="BE128" s="93"/>
      <c r="BF128" s="93"/>
      <c r="BG128" s="93"/>
      <c r="BH128" s="93"/>
      <c r="BI128" s="93"/>
      <c r="BJ128" s="93"/>
      <c r="BK128" s="93"/>
      <c r="BL128" s="93"/>
      <c r="BM128" s="93"/>
      <c r="BN128" s="93"/>
      <c r="BO128" s="93"/>
      <c r="BP128" s="93"/>
      <c r="BQ128" s="93"/>
      <c r="BR128" s="93"/>
      <c r="BS128" s="93"/>
      <c r="BT128" s="93"/>
      <c r="BU128" s="93"/>
      <c r="BV128" s="93"/>
      <c r="BW128" s="93"/>
      <c r="BX128" s="93"/>
      <c r="BY128" s="93"/>
      <c r="BZ128" s="93"/>
      <c r="CA128" s="93"/>
      <c r="CB128" s="93"/>
      <c r="CC128" s="93"/>
      <c r="CD128" s="93"/>
      <c r="CE128" s="93"/>
      <c r="CF128" s="93"/>
      <c r="CG128" s="93"/>
      <c r="CH128" s="93"/>
      <c r="CI128" s="93"/>
      <c r="CJ128" s="93"/>
      <c r="CK128" s="93"/>
      <c r="CL128" s="93"/>
      <c r="CM128" s="93"/>
      <c r="CN128" s="93"/>
      <c r="CO128" s="93"/>
      <c r="CP128" s="93"/>
      <c r="CQ128" s="93"/>
      <c r="CR128" s="93"/>
      <c r="CS128" s="93"/>
      <c r="CT128" s="93"/>
      <c r="CU128" s="93"/>
      <c r="CV128" s="93"/>
      <c r="CW128" s="93"/>
      <c r="CX128" s="93"/>
      <c r="CY128" s="93"/>
      <c r="CZ128" s="93"/>
      <c r="DA128" s="93"/>
      <c r="DB128" s="93"/>
      <c r="DC128" s="93"/>
      <c r="DD128" s="93"/>
      <c r="DE128" s="93"/>
      <c r="DF128" s="93"/>
      <c r="DG128" s="93"/>
      <c r="DH128" s="93"/>
      <c r="DI128" s="93"/>
      <c r="DJ128" s="93"/>
      <c r="DK128" s="93"/>
      <c r="DL128" s="93"/>
      <c r="DM128" s="93"/>
      <c r="DN128" s="93"/>
      <c r="DO128" s="93"/>
      <c r="DP128" s="93"/>
      <c r="DQ128" s="93"/>
      <c r="DR128" s="93"/>
      <c r="DS128" s="93"/>
      <c r="DT128" s="93"/>
      <c r="DU128" s="93"/>
      <c r="DV128" s="93"/>
      <c r="DW128" s="93"/>
      <c r="DX128" s="93"/>
      <c r="DY128" s="93"/>
      <c r="DZ128" s="93"/>
      <c r="EA128" s="93"/>
      <c r="EB128" s="93"/>
      <c r="EC128" s="93"/>
      <c r="ED128" s="93"/>
      <c r="EE128" s="93"/>
      <c r="EF128" s="93"/>
      <c r="EG128" s="93"/>
      <c r="EH128" s="93"/>
      <c r="EI128" s="93"/>
      <c r="EJ128" s="93"/>
      <c r="EK128" s="93"/>
      <c r="EL128" s="93"/>
      <c r="EM128" s="93"/>
      <c r="EN128" s="93"/>
      <c r="EO128" s="93"/>
      <c r="EP128" s="93"/>
      <c r="EQ128" s="93"/>
      <c r="ER128" s="93"/>
      <c r="ES128" s="93"/>
      <c r="ET128" s="93"/>
      <c r="EU128" s="93"/>
      <c r="EV128" s="93"/>
      <c r="EW128" s="93"/>
      <c r="EX128" s="93"/>
      <c r="EY128" s="93"/>
      <c r="EZ128" s="93"/>
      <c r="FA128" s="93"/>
      <c r="FB128" s="93"/>
      <c r="FC128" s="93"/>
      <c r="FD128" s="93"/>
      <c r="FE128" s="93"/>
      <c r="FF128" s="93"/>
      <c r="FG128" s="93"/>
      <c r="FH128" s="93"/>
      <c r="FI128" s="93"/>
      <c r="FJ128" s="93"/>
      <c r="FK128" s="93"/>
      <c r="FL128" s="93"/>
      <c r="FM128" s="93"/>
      <c r="FN128" s="93"/>
      <c r="FO128" s="93"/>
      <c r="FP128" s="93"/>
      <c r="FQ128" s="93"/>
      <c r="FR128" s="93"/>
      <c r="FS128" s="93"/>
      <c r="FT128" s="93"/>
      <c r="FU128" s="93"/>
      <c r="FV128" s="93"/>
      <c r="FW128" s="93"/>
      <c r="FX128" s="93"/>
      <c r="FY128" s="93"/>
      <c r="FZ128" s="93"/>
      <c r="GA128" s="93"/>
      <c r="GB128" s="93"/>
      <c r="GC128" s="93"/>
      <c r="GD128" s="93"/>
      <c r="GE128" s="93"/>
      <c r="GF128" s="93"/>
      <c r="GG128" s="93"/>
      <c r="GH128" s="93"/>
      <c r="GI128" s="93"/>
      <c r="GJ128" s="93"/>
      <c r="GK128" s="93"/>
      <c r="GL128" s="93"/>
      <c r="GM128" s="93"/>
      <c r="GN128" s="93"/>
      <c r="GO128" s="93"/>
      <c r="GP128" s="93"/>
      <c r="GQ128" s="93"/>
      <c r="GR128" s="93"/>
      <c r="GS128" s="93"/>
      <c r="GT128" s="93"/>
      <c r="GU128" s="93"/>
      <c r="GV128" s="93"/>
      <c r="GW128" s="93"/>
      <c r="GX128" s="93"/>
      <c r="GY128" s="93"/>
      <c r="GZ128" s="93"/>
      <c r="HA128" s="93"/>
      <c r="HB128" s="93"/>
      <c r="HC128" s="93"/>
      <c r="HD128" s="93"/>
      <c r="HE128" s="93"/>
      <c r="HF128" s="93"/>
      <c r="HG128" s="93"/>
    </row>
    <row r="129" spans="14:215" x14ac:dyDescent="0.2">
      <c r="N129" s="93" t="s">
        <v>246</v>
      </c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>
        <v>0.32704402515723269</v>
      </c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  <c r="BI129" s="93"/>
      <c r="BJ129" s="93"/>
      <c r="BK129" s="93"/>
      <c r="BL129" s="93"/>
      <c r="BM129" s="93"/>
      <c r="BN129" s="93"/>
      <c r="BO129" s="93"/>
      <c r="BP129" s="93"/>
      <c r="BQ129" s="93"/>
      <c r="BR129" s="93"/>
      <c r="BS129" s="93"/>
      <c r="BT129" s="93"/>
      <c r="BU129" s="93"/>
      <c r="BV129" s="93"/>
      <c r="BW129" s="93"/>
      <c r="BX129" s="93"/>
      <c r="BY129" s="93"/>
      <c r="BZ129" s="93"/>
      <c r="CA129" s="93"/>
      <c r="CB129" s="93"/>
      <c r="CC129" s="93"/>
      <c r="CD129" s="93"/>
      <c r="CE129" s="93"/>
      <c r="CF129" s="93"/>
      <c r="CG129" s="93"/>
      <c r="CH129" s="93"/>
      <c r="CI129" s="93"/>
      <c r="CJ129" s="93"/>
      <c r="CK129" s="93"/>
      <c r="CL129" s="93"/>
      <c r="CM129" s="93"/>
      <c r="CN129" s="93"/>
      <c r="CO129" s="93"/>
      <c r="CP129" s="93"/>
      <c r="CQ129" s="93"/>
      <c r="CR129" s="93"/>
      <c r="CS129" s="93"/>
      <c r="CT129" s="93"/>
      <c r="CU129" s="93"/>
      <c r="CV129" s="93"/>
      <c r="CW129" s="93"/>
      <c r="CX129" s="93"/>
      <c r="CY129" s="93"/>
      <c r="CZ129" s="93"/>
      <c r="DA129" s="93"/>
      <c r="DB129" s="93"/>
      <c r="DC129" s="93"/>
      <c r="DD129" s="93"/>
      <c r="DE129" s="93"/>
      <c r="DF129" s="93"/>
      <c r="DG129" s="93"/>
      <c r="DH129" s="93"/>
      <c r="DI129" s="93"/>
      <c r="DJ129" s="93"/>
      <c r="DK129" s="93"/>
      <c r="DL129" s="93"/>
      <c r="DM129" s="93"/>
      <c r="DN129" s="93"/>
      <c r="DO129" s="93"/>
      <c r="DP129" s="93"/>
      <c r="DQ129" s="93"/>
      <c r="DR129" s="93"/>
      <c r="DS129" s="93"/>
      <c r="DT129" s="93"/>
      <c r="DU129" s="93"/>
      <c r="DV129" s="93"/>
      <c r="DW129" s="93"/>
      <c r="DX129" s="93"/>
      <c r="DY129" s="93"/>
      <c r="DZ129" s="93"/>
      <c r="EA129" s="93"/>
      <c r="EB129" s="93"/>
      <c r="EC129" s="93"/>
      <c r="ED129" s="93"/>
      <c r="EE129" s="93"/>
      <c r="EF129" s="93"/>
      <c r="EG129" s="93"/>
      <c r="EH129" s="93"/>
      <c r="EI129" s="93"/>
      <c r="EJ129" s="93"/>
      <c r="EK129" s="93"/>
      <c r="EL129" s="93"/>
      <c r="EM129" s="93"/>
      <c r="EN129" s="93"/>
      <c r="EO129" s="93"/>
      <c r="EP129" s="93"/>
      <c r="EQ129" s="93"/>
      <c r="ER129" s="93"/>
      <c r="ES129" s="93"/>
      <c r="ET129" s="93"/>
      <c r="EU129" s="93"/>
      <c r="EV129" s="93"/>
      <c r="EW129" s="93"/>
      <c r="EX129" s="93"/>
      <c r="EY129" s="93"/>
      <c r="EZ129" s="93"/>
      <c r="FA129" s="93"/>
      <c r="FB129" s="93"/>
      <c r="FC129" s="93"/>
      <c r="FD129" s="93"/>
      <c r="FE129" s="93"/>
      <c r="FF129" s="93"/>
      <c r="FG129" s="93"/>
      <c r="FH129" s="93"/>
      <c r="FI129" s="93"/>
      <c r="FJ129" s="93"/>
      <c r="FK129" s="93"/>
      <c r="FL129" s="93"/>
      <c r="FM129" s="93"/>
      <c r="FN129" s="93"/>
      <c r="FO129" s="93"/>
      <c r="FP129" s="93"/>
      <c r="FQ129" s="93"/>
      <c r="FR129" s="93"/>
      <c r="FS129" s="93"/>
      <c r="FT129" s="93"/>
      <c r="FU129" s="93"/>
      <c r="FV129" s="93"/>
      <c r="FW129" s="93"/>
      <c r="FX129" s="93"/>
      <c r="FY129" s="93"/>
      <c r="FZ129" s="93"/>
      <c r="GA129" s="93"/>
      <c r="GB129" s="93"/>
      <c r="GC129" s="93"/>
      <c r="GD129" s="93"/>
      <c r="GE129" s="93"/>
      <c r="GF129" s="93"/>
      <c r="GG129" s="93"/>
      <c r="GH129" s="93"/>
      <c r="GI129" s="93"/>
      <c r="GJ129" s="93"/>
      <c r="GK129" s="93"/>
      <c r="GL129" s="93"/>
      <c r="GM129" s="93"/>
      <c r="GN129" s="93"/>
      <c r="GO129" s="93"/>
      <c r="GP129" s="93"/>
      <c r="GQ129" s="93"/>
      <c r="GR129" s="93"/>
      <c r="GS129" s="93"/>
      <c r="GT129" s="93"/>
      <c r="GU129" s="93"/>
      <c r="GV129" s="93"/>
      <c r="GW129" s="93"/>
      <c r="GX129" s="93"/>
      <c r="GY129" s="93"/>
      <c r="GZ129" s="93"/>
      <c r="HA129" s="93"/>
      <c r="HB129" s="93"/>
      <c r="HC129" s="93"/>
      <c r="HD129" s="93"/>
      <c r="HE129" s="93"/>
      <c r="HF129" s="93"/>
      <c r="HG129" s="93"/>
    </row>
    <row r="130" spans="14:215" x14ac:dyDescent="0.2">
      <c r="N130" s="93" t="s">
        <v>247</v>
      </c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>
        <v>0.32738095238095238</v>
      </c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93"/>
      <c r="BG130" s="93"/>
      <c r="BH130" s="93"/>
      <c r="BI130" s="93"/>
      <c r="BJ130" s="93"/>
      <c r="BK130" s="93"/>
      <c r="BL130" s="93"/>
      <c r="BM130" s="93"/>
      <c r="BN130" s="93"/>
      <c r="BO130" s="93"/>
      <c r="BP130" s="93"/>
      <c r="BQ130" s="93"/>
      <c r="BR130" s="93"/>
      <c r="BS130" s="93"/>
      <c r="BT130" s="93"/>
      <c r="BU130" s="93"/>
      <c r="BV130" s="93"/>
      <c r="BW130" s="93"/>
      <c r="BX130" s="93"/>
      <c r="BY130" s="93"/>
      <c r="BZ130" s="93"/>
      <c r="CA130" s="93"/>
      <c r="CB130" s="93"/>
      <c r="CC130" s="93"/>
      <c r="CD130" s="93"/>
      <c r="CE130" s="93"/>
      <c r="CF130" s="93"/>
      <c r="CG130" s="93"/>
      <c r="CH130" s="93"/>
      <c r="CI130" s="93"/>
      <c r="CJ130" s="93"/>
      <c r="CK130" s="93"/>
      <c r="CL130" s="93"/>
      <c r="CM130" s="93"/>
      <c r="CN130" s="93"/>
      <c r="CO130" s="93"/>
      <c r="CP130" s="93"/>
      <c r="CQ130" s="93"/>
      <c r="CR130" s="93"/>
      <c r="CS130" s="93"/>
      <c r="CT130" s="93"/>
      <c r="CU130" s="93"/>
      <c r="CV130" s="93"/>
      <c r="CW130" s="93"/>
      <c r="CX130" s="93"/>
      <c r="CY130" s="93"/>
      <c r="CZ130" s="93"/>
      <c r="DA130" s="93"/>
      <c r="DB130" s="93"/>
      <c r="DC130" s="93"/>
      <c r="DD130" s="93"/>
      <c r="DE130" s="93"/>
      <c r="DF130" s="93"/>
      <c r="DG130" s="93"/>
      <c r="DH130" s="93"/>
      <c r="DI130" s="93"/>
      <c r="DJ130" s="93"/>
      <c r="DK130" s="93"/>
      <c r="DL130" s="93"/>
      <c r="DM130" s="93"/>
      <c r="DN130" s="93"/>
      <c r="DO130" s="93"/>
      <c r="DP130" s="93"/>
      <c r="DQ130" s="93"/>
      <c r="DR130" s="93"/>
      <c r="DS130" s="93"/>
      <c r="DT130" s="93"/>
      <c r="DU130" s="93"/>
      <c r="DV130" s="93"/>
      <c r="DW130" s="93"/>
      <c r="DX130" s="93"/>
      <c r="DY130" s="93"/>
      <c r="DZ130" s="93"/>
      <c r="EA130" s="93"/>
      <c r="EB130" s="93"/>
      <c r="EC130" s="93"/>
      <c r="ED130" s="93"/>
      <c r="EE130" s="93"/>
      <c r="EF130" s="93"/>
      <c r="EG130" s="93"/>
      <c r="EH130" s="93"/>
      <c r="EI130" s="93"/>
      <c r="EJ130" s="93"/>
      <c r="EK130" s="93"/>
      <c r="EL130" s="93"/>
      <c r="EM130" s="93"/>
      <c r="EN130" s="93"/>
      <c r="EO130" s="93"/>
      <c r="EP130" s="93"/>
      <c r="EQ130" s="93"/>
      <c r="ER130" s="93"/>
      <c r="ES130" s="93"/>
      <c r="ET130" s="93"/>
      <c r="EU130" s="93"/>
      <c r="EV130" s="93"/>
      <c r="EW130" s="93"/>
      <c r="EX130" s="93"/>
      <c r="EY130" s="93"/>
      <c r="EZ130" s="93"/>
      <c r="FA130" s="93"/>
      <c r="FB130" s="93"/>
      <c r="FC130" s="93"/>
      <c r="FD130" s="93"/>
      <c r="FE130" s="93"/>
      <c r="FF130" s="93"/>
      <c r="FG130" s="93"/>
      <c r="FH130" s="93"/>
      <c r="FI130" s="93"/>
      <c r="FJ130" s="93"/>
      <c r="FK130" s="93"/>
      <c r="FL130" s="93"/>
      <c r="FM130" s="93"/>
      <c r="FN130" s="93"/>
      <c r="FO130" s="93"/>
      <c r="FP130" s="93"/>
      <c r="FQ130" s="93"/>
      <c r="FR130" s="93"/>
      <c r="FS130" s="93"/>
      <c r="FT130" s="93"/>
      <c r="FU130" s="93"/>
      <c r="FV130" s="93"/>
      <c r="FW130" s="93"/>
      <c r="FX130" s="93"/>
      <c r="FY130" s="93"/>
      <c r="FZ130" s="93"/>
      <c r="GA130" s="93"/>
      <c r="GB130" s="93"/>
      <c r="GC130" s="93"/>
      <c r="GD130" s="93"/>
      <c r="GE130" s="93"/>
      <c r="GF130" s="93"/>
      <c r="GG130" s="93"/>
      <c r="GH130" s="93"/>
      <c r="GI130" s="93"/>
      <c r="GJ130" s="93"/>
      <c r="GK130" s="93"/>
      <c r="GL130" s="93"/>
      <c r="GM130" s="93"/>
      <c r="GN130" s="93"/>
      <c r="GO130" s="93"/>
      <c r="GP130" s="93"/>
      <c r="GQ130" s="93"/>
      <c r="GR130" s="93"/>
      <c r="GS130" s="93"/>
      <c r="GT130" s="93"/>
      <c r="GU130" s="93"/>
      <c r="GV130" s="93"/>
      <c r="GW130" s="93"/>
      <c r="GX130" s="93"/>
      <c r="GY130" s="93"/>
      <c r="GZ130" s="93"/>
      <c r="HA130" s="93"/>
      <c r="HB130" s="93"/>
      <c r="HC130" s="93"/>
      <c r="HD130" s="93"/>
      <c r="HE130" s="93"/>
      <c r="HF130" s="93"/>
      <c r="HG130" s="93"/>
    </row>
    <row r="131" spans="14:215" x14ac:dyDescent="0.2">
      <c r="N131" s="93" t="s">
        <v>248</v>
      </c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>
        <v>0.32768361581920902</v>
      </c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  <c r="BI131" s="93"/>
      <c r="BJ131" s="93"/>
      <c r="BK131" s="93"/>
      <c r="BL131" s="93"/>
      <c r="BM131" s="93"/>
      <c r="BN131" s="93"/>
      <c r="BO131" s="93"/>
      <c r="BP131" s="93"/>
      <c r="BQ131" s="93"/>
      <c r="BR131" s="93"/>
      <c r="BS131" s="93"/>
      <c r="BT131" s="93"/>
      <c r="BU131" s="93"/>
      <c r="BV131" s="93"/>
      <c r="BW131" s="93"/>
      <c r="BX131" s="93"/>
      <c r="BY131" s="93"/>
      <c r="BZ131" s="93"/>
      <c r="CA131" s="93"/>
      <c r="CB131" s="93"/>
      <c r="CC131" s="93"/>
      <c r="CD131" s="93"/>
      <c r="CE131" s="93"/>
      <c r="CF131" s="93"/>
      <c r="CG131" s="93"/>
      <c r="CH131" s="93"/>
      <c r="CI131" s="93"/>
      <c r="CJ131" s="93"/>
      <c r="CK131" s="93"/>
      <c r="CL131" s="93"/>
      <c r="CM131" s="93"/>
      <c r="CN131" s="93"/>
      <c r="CO131" s="93"/>
      <c r="CP131" s="93"/>
      <c r="CQ131" s="93"/>
      <c r="CR131" s="93"/>
      <c r="CS131" s="93"/>
      <c r="CT131" s="93"/>
      <c r="CU131" s="93"/>
      <c r="CV131" s="93"/>
      <c r="CW131" s="93"/>
      <c r="CX131" s="93"/>
      <c r="CY131" s="93"/>
      <c r="CZ131" s="93"/>
      <c r="DA131" s="93"/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  <c r="EL131" s="93"/>
      <c r="EM131" s="93"/>
      <c r="EN131" s="93"/>
      <c r="EO131" s="93"/>
      <c r="EP131" s="93"/>
      <c r="EQ131" s="93"/>
      <c r="ER131" s="93"/>
      <c r="ES131" s="93"/>
      <c r="ET131" s="93"/>
      <c r="EU131" s="93"/>
      <c r="EV131" s="93"/>
      <c r="EW131" s="93"/>
      <c r="EX131" s="93"/>
      <c r="EY131" s="93"/>
      <c r="EZ131" s="93"/>
      <c r="FA131" s="93"/>
      <c r="FB131" s="93"/>
      <c r="FC131" s="93"/>
      <c r="FD131" s="93"/>
      <c r="FE131" s="93"/>
      <c r="FF131" s="93"/>
      <c r="FG131" s="93"/>
      <c r="FH131" s="93"/>
      <c r="FI131" s="93"/>
      <c r="FJ131" s="93"/>
      <c r="FK131" s="93"/>
      <c r="FL131" s="93"/>
      <c r="FM131" s="93"/>
      <c r="FN131" s="93"/>
      <c r="FO131" s="93"/>
      <c r="FP131" s="93"/>
      <c r="FQ131" s="93"/>
      <c r="FR131" s="93"/>
      <c r="FS131" s="93"/>
      <c r="FT131" s="93"/>
      <c r="FU131" s="93"/>
      <c r="FV131" s="93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3"/>
      <c r="GK131" s="93"/>
      <c r="GL131" s="93"/>
      <c r="GM131" s="93"/>
      <c r="GN131" s="93"/>
      <c r="GO131" s="93"/>
      <c r="GP131" s="93"/>
      <c r="GQ131" s="93"/>
      <c r="GR131" s="93"/>
      <c r="GS131" s="93"/>
      <c r="GT131" s="93"/>
      <c r="GU131" s="93"/>
      <c r="GV131" s="93"/>
      <c r="GW131" s="93"/>
      <c r="GX131" s="93"/>
      <c r="GY131" s="93"/>
      <c r="GZ131" s="93"/>
      <c r="HA131" s="93"/>
      <c r="HB131" s="93"/>
      <c r="HC131" s="93"/>
      <c r="HD131" s="93"/>
      <c r="HE131" s="93"/>
      <c r="HF131" s="93"/>
      <c r="HG131" s="93"/>
    </row>
    <row r="132" spans="14:215" x14ac:dyDescent="0.2">
      <c r="N132" s="93" t="s">
        <v>249</v>
      </c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>
        <v>0.32795698924731181</v>
      </c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3"/>
      <c r="AW132" s="93"/>
      <c r="AX132" s="93"/>
      <c r="AY132" s="93"/>
      <c r="AZ132" s="93"/>
      <c r="BA132" s="93"/>
      <c r="BB132" s="93"/>
      <c r="BC132" s="93"/>
      <c r="BD132" s="93"/>
      <c r="BE132" s="93"/>
      <c r="BF132" s="93"/>
      <c r="BG132" s="93"/>
      <c r="BH132" s="93"/>
      <c r="BI132" s="93"/>
      <c r="BJ132" s="93"/>
      <c r="BK132" s="93"/>
      <c r="BL132" s="93"/>
      <c r="BM132" s="93"/>
      <c r="BN132" s="93"/>
      <c r="BO132" s="93"/>
      <c r="BP132" s="93"/>
      <c r="BQ132" s="93"/>
      <c r="BR132" s="93"/>
      <c r="BS132" s="93"/>
      <c r="BT132" s="93"/>
      <c r="BU132" s="93"/>
      <c r="BV132" s="93"/>
      <c r="BW132" s="93"/>
      <c r="BX132" s="93"/>
      <c r="BY132" s="93"/>
      <c r="BZ132" s="93"/>
      <c r="CA132" s="93"/>
      <c r="CB132" s="93"/>
      <c r="CC132" s="93"/>
      <c r="CD132" s="93"/>
      <c r="CE132" s="93"/>
      <c r="CF132" s="93"/>
      <c r="CG132" s="93"/>
      <c r="CH132" s="93"/>
      <c r="CI132" s="93"/>
      <c r="CJ132" s="93"/>
      <c r="CK132" s="93"/>
      <c r="CL132" s="93"/>
      <c r="CM132" s="93"/>
      <c r="CN132" s="93"/>
      <c r="CO132" s="93"/>
      <c r="CP132" s="93"/>
      <c r="CQ132" s="93"/>
      <c r="CR132" s="93"/>
      <c r="CS132" s="93"/>
      <c r="CT132" s="93"/>
      <c r="CU132" s="93"/>
      <c r="CV132" s="93"/>
      <c r="CW132" s="93"/>
      <c r="CX132" s="93"/>
      <c r="CY132" s="93"/>
      <c r="CZ132" s="93"/>
      <c r="DA132" s="93"/>
      <c r="DB132" s="93"/>
      <c r="DC132" s="93"/>
      <c r="DD132" s="93"/>
      <c r="DE132" s="93"/>
      <c r="DF132" s="93"/>
      <c r="DG132" s="93"/>
      <c r="DH132" s="93"/>
      <c r="DI132" s="93"/>
      <c r="DJ132" s="93"/>
      <c r="DK132" s="93"/>
      <c r="DL132" s="93"/>
      <c r="DM132" s="93"/>
      <c r="DN132" s="93"/>
      <c r="DO132" s="93"/>
      <c r="DP132" s="93"/>
      <c r="DQ132" s="93"/>
      <c r="DR132" s="93"/>
      <c r="DS132" s="93"/>
      <c r="DT132" s="93"/>
      <c r="DU132" s="93"/>
      <c r="DV132" s="93"/>
      <c r="DW132" s="93"/>
      <c r="DX132" s="93"/>
      <c r="DY132" s="93"/>
      <c r="DZ132" s="93"/>
      <c r="EA132" s="93"/>
      <c r="EB132" s="93"/>
      <c r="EC132" s="93"/>
      <c r="ED132" s="93"/>
      <c r="EE132" s="93"/>
      <c r="EF132" s="93"/>
      <c r="EG132" s="93"/>
      <c r="EH132" s="93"/>
      <c r="EI132" s="93"/>
      <c r="EJ132" s="93"/>
      <c r="EK132" s="93"/>
      <c r="EL132" s="93"/>
      <c r="EM132" s="93"/>
      <c r="EN132" s="93"/>
      <c r="EO132" s="93"/>
      <c r="EP132" s="93"/>
      <c r="EQ132" s="93"/>
      <c r="ER132" s="93"/>
      <c r="ES132" s="93"/>
      <c r="ET132" s="93"/>
      <c r="EU132" s="93"/>
      <c r="EV132" s="93"/>
      <c r="EW132" s="93"/>
      <c r="EX132" s="93"/>
      <c r="EY132" s="93"/>
      <c r="EZ132" s="93"/>
      <c r="FA132" s="93"/>
      <c r="FB132" s="93"/>
      <c r="FC132" s="93"/>
      <c r="FD132" s="93"/>
      <c r="FE132" s="93"/>
      <c r="FF132" s="93"/>
      <c r="FG132" s="93"/>
      <c r="FH132" s="93"/>
      <c r="FI132" s="93"/>
      <c r="FJ132" s="93"/>
      <c r="FK132" s="93"/>
      <c r="FL132" s="93"/>
      <c r="FM132" s="93"/>
      <c r="FN132" s="93"/>
      <c r="FO132" s="93"/>
      <c r="FP132" s="93"/>
      <c r="FQ132" s="93"/>
      <c r="FR132" s="93"/>
      <c r="FS132" s="93"/>
      <c r="FT132" s="93"/>
      <c r="FU132" s="93"/>
      <c r="FV132" s="93"/>
      <c r="FW132" s="93"/>
      <c r="FX132" s="93"/>
      <c r="FY132" s="93"/>
      <c r="FZ132" s="93"/>
      <c r="GA132" s="93"/>
      <c r="GB132" s="93"/>
      <c r="GC132" s="93"/>
      <c r="GD132" s="93"/>
      <c r="GE132" s="93"/>
      <c r="GF132" s="93"/>
      <c r="GG132" s="93"/>
      <c r="GH132" s="93"/>
      <c r="GI132" s="93"/>
      <c r="GJ132" s="93"/>
      <c r="GK132" s="93"/>
      <c r="GL132" s="93"/>
      <c r="GM132" s="93"/>
      <c r="GN132" s="93"/>
      <c r="GO132" s="93"/>
      <c r="GP132" s="93"/>
      <c r="GQ132" s="93"/>
      <c r="GR132" s="93"/>
      <c r="GS132" s="93"/>
      <c r="GT132" s="93"/>
      <c r="GU132" s="93"/>
      <c r="GV132" s="93"/>
      <c r="GW132" s="93"/>
      <c r="GX132" s="93"/>
      <c r="GY132" s="93"/>
      <c r="GZ132" s="93"/>
      <c r="HA132" s="93"/>
      <c r="HB132" s="93"/>
      <c r="HC132" s="93"/>
      <c r="HD132" s="93"/>
      <c r="HE132" s="93"/>
      <c r="HF132" s="93"/>
      <c r="HG132" s="93"/>
    </row>
    <row r="133" spans="14:215" x14ac:dyDescent="0.2">
      <c r="N133" s="93" t="s">
        <v>250</v>
      </c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>
        <v>0.3282051282051282</v>
      </c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  <c r="BI133" s="93"/>
      <c r="BJ133" s="93"/>
      <c r="BK133" s="93"/>
      <c r="BL133" s="93"/>
      <c r="BM133" s="93"/>
      <c r="BN133" s="93"/>
      <c r="BO133" s="93"/>
      <c r="BP133" s="93"/>
      <c r="BQ133" s="93"/>
      <c r="BR133" s="93"/>
      <c r="BS133" s="93"/>
      <c r="BT133" s="93"/>
      <c r="BU133" s="93"/>
      <c r="BV133" s="93"/>
      <c r="BW133" s="93"/>
      <c r="BX133" s="93"/>
      <c r="BY133" s="93"/>
      <c r="BZ133" s="93"/>
      <c r="CA133" s="93"/>
      <c r="CB133" s="93"/>
      <c r="CC133" s="93"/>
      <c r="CD133" s="93"/>
      <c r="CE133" s="93"/>
      <c r="CF133" s="93"/>
      <c r="CG133" s="93"/>
      <c r="CH133" s="93"/>
      <c r="CI133" s="93"/>
      <c r="CJ133" s="93"/>
      <c r="CK133" s="93"/>
      <c r="CL133" s="93"/>
      <c r="CM133" s="93"/>
      <c r="CN133" s="93"/>
      <c r="CO133" s="93"/>
      <c r="CP133" s="93"/>
      <c r="CQ133" s="93"/>
      <c r="CR133" s="93"/>
      <c r="CS133" s="93"/>
      <c r="CT133" s="93"/>
      <c r="CU133" s="93"/>
      <c r="CV133" s="93"/>
      <c r="CW133" s="93"/>
      <c r="CX133" s="93"/>
      <c r="CY133" s="93"/>
      <c r="CZ133" s="93"/>
      <c r="DA133" s="93"/>
      <c r="DB133" s="93"/>
      <c r="DC133" s="93"/>
      <c r="DD133" s="93"/>
      <c r="DE133" s="93"/>
      <c r="DF133" s="93"/>
      <c r="DG133" s="93"/>
      <c r="DH133" s="93"/>
      <c r="DI133" s="93"/>
      <c r="DJ133" s="93"/>
      <c r="DK133" s="93"/>
      <c r="DL133" s="93"/>
      <c r="DM133" s="93"/>
      <c r="DN133" s="93"/>
      <c r="DO133" s="93"/>
      <c r="DP133" s="93"/>
      <c r="DQ133" s="93"/>
      <c r="DR133" s="93"/>
      <c r="DS133" s="93"/>
      <c r="DT133" s="93"/>
      <c r="DU133" s="93"/>
      <c r="DV133" s="93"/>
      <c r="DW133" s="93"/>
      <c r="DX133" s="93"/>
      <c r="DY133" s="93"/>
      <c r="DZ133" s="93"/>
      <c r="EA133" s="93"/>
      <c r="EB133" s="93"/>
      <c r="EC133" s="93"/>
      <c r="ED133" s="93"/>
      <c r="EE133" s="93"/>
      <c r="EF133" s="93"/>
      <c r="EG133" s="93"/>
      <c r="EH133" s="93"/>
      <c r="EI133" s="93"/>
      <c r="EJ133" s="93"/>
      <c r="EK133" s="93"/>
      <c r="EL133" s="93"/>
      <c r="EM133" s="93"/>
      <c r="EN133" s="93"/>
      <c r="EO133" s="93"/>
      <c r="EP133" s="93"/>
      <c r="EQ133" s="93"/>
      <c r="ER133" s="93"/>
      <c r="ES133" s="93"/>
      <c r="ET133" s="93"/>
      <c r="EU133" s="93"/>
      <c r="EV133" s="93"/>
      <c r="EW133" s="93"/>
      <c r="EX133" s="93"/>
      <c r="EY133" s="93"/>
      <c r="EZ133" s="93"/>
      <c r="FA133" s="93"/>
      <c r="FB133" s="93"/>
      <c r="FC133" s="93"/>
      <c r="FD133" s="93"/>
      <c r="FE133" s="93"/>
      <c r="FF133" s="93"/>
      <c r="FG133" s="93"/>
      <c r="FH133" s="93"/>
      <c r="FI133" s="93"/>
      <c r="FJ133" s="93"/>
      <c r="FK133" s="93"/>
      <c r="FL133" s="93"/>
      <c r="FM133" s="93"/>
      <c r="FN133" s="93"/>
      <c r="FO133" s="93"/>
      <c r="FP133" s="93"/>
      <c r="FQ133" s="93"/>
      <c r="FR133" s="93"/>
      <c r="FS133" s="93"/>
      <c r="FT133" s="93"/>
      <c r="FU133" s="93"/>
      <c r="FV133" s="93"/>
      <c r="FW133" s="93"/>
      <c r="FX133" s="93"/>
      <c r="FY133" s="93"/>
      <c r="FZ133" s="93"/>
      <c r="GA133" s="93"/>
      <c r="GB133" s="93"/>
      <c r="GC133" s="93"/>
      <c r="GD133" s="93"/>
      <c r="GE133" s="93"/>
      <c r="GF133" s="93"/>
      <c r="GG133" s="93"/>
      <c r="GH133" s="93"/>
      <c r="GI133" s="93"/>
      <c r="GJ133" s="93"/>
      <c r="GK133" s="93"/>
      <c r="GL133" s="93"/>
      <c r="GM133" s="93"/>
      <c r="GN133" s="93"/>
      <c r="GO133" s="93"/>
      <c r="GP133" s="93"/>
      <c r="GQ133" s="93"/>
      <c r="GR133" s="93"/>
      <c r="GS133" s="93"/>
      <c r="GT133" s="93"/>
      <c r="GU133" s="93"/>
      <c r="GV133" s="93"/>
      <c r="GW133" s="93"/>
      <c r="GX133" s="93"/>
      <c r="GY133" s="93"/>
      <c r="GZ133" s="93"/>
      <c r="HA133" s="93"/>
      <c r="HB133" s="93"/>
      <c r="HC133" s="93"/>
      <c r="HD133" s="93"/>
      <c r="HE133" s="93"/>
      <c r="HF133" s="93"/>
      <c r="HG133" s="93"/>
    </row>
    <row r="134" spans="14:215" x14ac:dyDescent="0.2">
      <c r="N134" s="93" t="s">
        <v>251</v>
      </c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>
        <v>0.32843137254901961</v>
      </c>
      <c r="AM134" s="93"/>
      <c r="AN134" s="93"/>
      <c r="AO134" s="93"/>
      <c r="AP134" s="93"/>
      <c r="AQ134" s="93"/>
      <c r="AR134" s="93"/>
      <c r="AS134" s="93"/>
      <c r="AT134" s="93"/>
      <c r="AU134" s="93"/>
      <c r="AV134" s="93"/>
      <c r="AW134" s="93"/>
      <c r="AX134" s="93"/>
      <c r="AY134" s="93"/>
      <c r="AZ134" s="93"/>
      <c r="BA134" s="93"/>
      <c r="BB134" s="93"/>
      <c r="BC134" s="93"/>
      <c r="BD134" s="93"/>
      <c r="BE134" s="93"/>
      <c r="BF134" s="93"/>
      <c r="BG134" s="93"/>
      <c r="BH134" s="93"/>
      <c r="BI134" s="93"/>
      <c r="BJ134" s="93"/>
      <c r="BK134" s="93"/>
      <c r="BL134" s="93"/>
      <c r="BM134" s="93"/>
      <c r="BN134" s="93"/>
      <c r="BO134" s="93"/>
      <c r="BP134" s="93"/>
      <c r="BQ134" s="93"/>
      <c r="BR134" s="93"/>
      <c r="BS134" s="93"/>
      <c r="BT134" s="93"/>
      <c r="BU134" s="93"/>
      <c r="BV134" s="93"/>
      <c r="BW134" s="93"/>
      <c r="BX134" s="93"/>
      <c r="BY134" s="93"/>
      <c r="BZ134" s="93"/>
      <c r="CA134" s="93"/>
      <c r="CB134" s="93"/>
      <c r="CC134" s="93"/>
      <c r="CD134" s="93"/>
      <c r="CE134" s="93"/>
      <c r="CF134" s="93"/>
      <c r="CG134" s="93"/>
      <c r="CH134" s="93"/>
      <c r="CI134" s="93"/>
      <c r="CJ134" s="93"/>
      <c r="CK134" s="93"/>
      <c r="CL134" s="93"/>
      <c r="CM134" s="93"/>
      <c r="CN134" s="93"/>
      <c r="CO134" s="93"/>
      <c r="CP134" s="93"/>
      <c r="CQ134" s="93"/>
      <c r="CR134" s="93"/>
      <c r="CS134" s="93"/>
      <c r="CT134" s="93"/>
      <c r="CU134" s="93"/>
      <c r="CV134" s="93"/>
      <c r="CW134" s="93"/>
      <c r="CX134" s="93"/>
      <c r="CY134" s="93"/>
      <c r="CZ134" s="93"/>
      <c r="DA134" s="93"/>
      <c r="DB134" s="93"/>
      <c r="DC134" s="93"/>
      <c r="DD134" s="93"/>
      <c r="DE134" s="93"/>
      <c r="DF134" s="93"/>
      <c r="DG134" s="93"/>
      <c r="DH134" s="93"/>
      <c r="DI134" s="93"/>
      <c r="DJ134" s="93"/>
      <c r="DK134" s="93"/>
      <c r="DL134" s="93"/>
      <c r="DM134" s="93"/>
      <c r="DN134" s="93"/>
      <c r="DO134" s="93"/>
      <c r="DP134" s="93"/>
      <c r="DQ134" s="93"/>
      <c r="DR134" s="93"/>
      <c r="DS134" s="93"/>
      <c r="DT134" s="93"/>
      <c r="DU134" s="93"/>
      <c r="DV134" s="93"/>
      <c r="DW134" s="93"/>
      <c r="DX134" s="93"/>
      <c r="DY134" s="93"/>
      <c r="DZ134" s="93"/>
      <c r="EA134" s="93"/>
      <c r="EB134" s="93"/>
      <c r="EC134" s="93"/>
      <c r="ED134" s="93"/>
      <c r="EE134" s="93"/>
      <c r="EF134" s="93"/>
      <c r="EG134" s="93"/>
      <c r="EH134" s="93"/>
      <c r="EI134" s="93"/>
      <c r="EJ134" s="93"/>
      <c r="EK134" s="93"/>
      <c r="EL134" s="93"/>
      <c r="EM134" s="93"/>
      <c r="EN134" s="93"/>
      <c r="EO134" s="93"/>
      <c r="EP134" s="93"/>
      <c r="EQ134" s="93"/>
      <c r="ER134" s="93"/>
      <c r="ES134" s="93"/>
      <c r="ET134" s="93"/>
      <c r="EU134" s="93"/>
      <c r="EV134" s="93"/>
      <c r="EW134" s="93"/>
      <c r="EX134" s="93"/>
      <c r="EY134" s="93"/>
      <c r="EZ134" s="93"/>
      <c r="FA134" s="93"/>
      <c r="FB134" s="93"/>
      <c r="FC134" s="93"/>
      <c r="FD134" s="93"/>
      <c r="FE134" s="93"/>
      <c r="FF134" s="93"/>
      <c r="FG134" s="93"/>
      <c r="FH134" s="93"/>
      <c r="FI134" s="93"/>
      <c r="FJ134" s="93"/>
      <c r="FK134" s="93"/>
      <c r="FL134" s="93"/>
      <c r="FM134" s="93"/>
      <c r="FN134" s="93"/>
      <c r="FO134" s="93"/>
      <c r="FP134" s="93"/>
      <c r="FQ134" s="93"/>
      <c r="FR134" s="93"/>
      <c r="FS134" s="93"/>
      <c r="FT134" s="93"/>
      <c r="FU134" s="93"/>
      <c r="FV134" s="93"/>
      <c r="FW134" s="93"/>
      <c r="FX134" s="93"/>
      <c r="FY134" s="93"/>
      <c r="FZ134" s="93"/>
      <c r="GA134" s="93"/>
      <c r="GB134" s="93"/>
      <c r="GC134" s="93"/>
      <c r="GD134" s="93"/>
      <c r="GE134" s="93"/>
      <c r="GF134" s="93"/>
      <c r="GG134" s="93"/>
      <c r="GH134" s="93"/>
      <c r="GI134" s="93"/>
      <c r="GJ134" s="93"/>
      <c r="GK134" s="93"/>
      <c r="GL134" s="93"/>
      <c r="GM134" s="93"/>
      <c r="GN134" s="93"/>
      <c r="GO134" s="93"/>
      <c r="GP134" s="93"/>
      <c r="GQ134" s="93"/>
      <c r="GR134" s="93"/>
      <c r="GS134" s="93"/>
      <c r="GT134" s="93"/>
      <c r="GU134" s="93"/>
      <c r="GV134" s="93"/>
      <c r="GW134" s="93"/>
      <c r="GX134" s="93"/>
      <c r="GY134" s="93"/>
      <c r="GZ134" s="93"/>
      <c r="HA134" s="93"/>
      <c r="HB134" s="93"/>
      <c r="HC134" s="93"/>
      <c r="HD134" s="93"/>
      <c r="HE134" s="93"/>
      <c r="HF134" s="93"/>
      <c r="HG134" s="93"/>
    </row>
    <row r="135" spans="14:215" x14ac:dyDescent="0.2">
      <c r="N135" s="93" t="s">
        <v>252</v>
      </c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>
        <v>0.32863849765258218</v>
      </c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  <c r="BI135" s="93"/>
      <c r="BJ135" s="93"/>
      <c r="BK135" s="93"/>
      <c r="BL135" s="93"/>
      <c r="BM135" s="93"/>
      <c r="BN135" s="93"/>
      <c r="BO135" s="93"/>
      <c r="BP135" s="93"/>
      <c r="BQ135" s="93"/>
      <c r="BR135" s="93"/>
      <c r="BS135" s="93"/>
      <c r="BT135" s="93"/>
      <c r="BU135" s="93"/>
      <c r="BV135" s="93"/>
      <c r="BW135" s="93"/>
      <c r="BX135" s="93"/>
      <c r="BY135" s="93"/>
      <c r="BZ135" s="93"/>
      <c r="CA135" s="93"/>
      <c r="CB135" s="93"/>
      <c r="CC135" s="93"/>
      <c r="CD135" s="93"/>
      <c r="CE135" s="93"/>
      <c r="CF135" s="93"/>
      <c r="CG135" s="93"/>
      <c r="CH135" s="93"/>
      <c r="CI135" s="93"/>
      <c r="CJ135" s="93"/>
      <c r="CK135" s="93"/>
      <c r="CL135" s="93"/>
      <c r="CM135" s="93"/>
      <c r="CN135" s="93"/>
      <c r="CO135" s="93"/>
      <c r="CP135" s="93"/>
      <c r="CQ135" s="93"/>
      <c r="CR135" s="93"/>
      <c r="CS135" s="93"/>
      <c r="CT135" s="93"/>
      <c r="CU135" s="93"/>
      <c r="CV135" s="93"/>
      <c r="CW135" s="93"/>
      <c r="CX135" s="93"/>
      <c r="CY135" s="93"/>
      <c r="CZ135" s="93"/>
      <c r="DA135" s="93"/>
      <c r="DB135" s="93"/>
      <c r="DC135" s="93"/>
      <c r="DD135" s="93"/>
      <c r="DE135" s="93"/>
      <c r="DF135" s="93"/>
      <c r="DG135" s="93"/>
      <c r="DH135" s="93"/>
      <c r="DI135" s="93"/>
      <c r="DJ135" s="93"/>
      <c r="DK135" s="93"/>
      <c r="DL135" s="93"/>
      <c r="DM135" s="93"/>
      <c r="DN135" s="93"/>
      <c r="DO135" s="93"/>
      <c r="DP135" s="93"/>
      <c r="DQ135" s="93"/>
      <c r="DR135" s="93"/>
      <c r="DS135" s="93"/>
      <c r="DT135" s="93"/>
      <c r="DU135" s="93"/>
      <c r="DV135" s="93"/>
      <c r="DW135" s="93"/>
      <c r="DX135" s="93"/>
      <c r="DY135" s="93"/>
      <c r="DZ135" s="93"/>
      <c r="EA135" s="93"/>
      <c r="EB135" s="93"/>
      <c r="EC135" s="93"/>
      <c r="ED135" s="93"/>
      <c r="EE135" s="93"/>
      <c r="EF135" s="93"/>
      <c r="EG135" s="93"/>
      <c r="EH135" s="93"/>
      <c r="EI135" s="93"/>
      <c r="EJ135" s="93"/>
      <c r="EK135" s="93"/>
      <c r="EL135" s="93"/>
      <c r="EM135" s="93"/>
      <c r="EN135" s="93"/>
      <c r="EO135" s="93"/>
      <c r="EP135" s="93"/>
      <c r="EQ135" s="93"/>
      <c r="ER135" s="93"/>
      <c r="ES135" s="93"/>
      <c r="ET135" s="93"/>
      <c r="EU135" s="93"/>
      <c r="EV135" s="93"/>
      <c r="EW135" s="93"/>
      <c r="EX135" s="93"/>
      <c r="EY135" s="93"/>
      <c r="EZ135" s="93"/>
      <c r="FA135" s="93"/>
      <c r="FB135" s="93"/>
      <c r="FC135" s="93"/>
      <c r="FD135" s="93"/>
      <c r="FE135" s="93"/>
      <c r="FF135" s="93"/>
      <c r="FG135" s="93"/>
      <c r="FH135" s="93"/>
      <c r="FI135" s="93"/>
      <c r="FJ135" s="93"/>
      <c r="FK135" s="93"/>
      <c r="FL135" s="93"/>
      <c r="FM135" s="93"/>
      <c r="FN135" s="93"/>
      <c r="FO135" s="93"/>
      <c r="FP135" s="93"/>
      <c r="FQ135" s="93"/>
      <c r="FR135" s="93"/>
      <c r="FS135" s="93"/>
      <c r="FT135" s="93"/>
      <c r="FU135" s="93"/>
      <c r="FV135" s="93"/>
      <c r="FW135" s="93"/>
      <c r="FX135" s="93"/>
      <c r="FY135" s="93"/>
      <c r="FZ135" s="93"/>
      <c r="GA135" s="93"/>
      <c r="GB135" s="93"/>
      <c r="GC135" s="93"/>
      <c r="GD135" s="93"/>
      <c r="GE135" s="93"/>
      <c r="GF135" s="93"/>
      <c r="GG135" s="93"/>
      <c r="GH135" s="93"/>
      <c r="GI135" s="93"/>
      <c r="GJ135" s="93"/>
      <c r="GK135" s="93"/>
      <c r="GL135" s="93"/>
      <c r="GM135" s="93"/>
      <c r="GN135" s="93"/>
      <c r="GO135" s="93"/>
      <c r="GP135" s="93"/>
      <c r="GQ135" s="93"/>
      <c r="GR135" s="93"/>
      <c r="GS135" s="93"/>
      <c r="GT135" s="93"/>
      <c r="GU135" s="93"/>
      <c r="GV135" s="93"/>
      <c r="GW135" s="93"/>
      <c r="GX135" s="93"/>
      <c r="GY135" s="93"/>
      <c r="GZ135" s="93"/>
      <c r="HA135" s="93"/>
      <c r="HB135" s="93"/>
      <c r="HC135" s="93"/>
      <c r="HD135" s="93"/>
      <c r="HE135" s="93"/>
      <c r="HF135" s="93"/>
      <c r="HG135" s="93"/>
    </row>
    <row r="136" spans="14:215" x14ac:dyDescent="0.2">
      <c r="N136" s="93" t="s">
        <v>253</v>
      </c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>
        <v>0.32882882882882886</v>
      </c>
      <c r="AO136" s="93"/>
      <c r="AP136" s="93"/>
      <c r="AQ136" s="93"/>
      <c r="AR136" s="93"/>
      <c r="AS136" s="93"/>
      <c r="AT136" s="93"/>
      <c r="AU136" s="93"/>
      <c r="AV136" s="93"/>
      <c r="AW136" s="93"/>
      <c r="AX136" s="93"/>
      <c r="AY136" s="93"/>
      <c r="AZ136" s="93"/>
      <c r="BA136" s="93"/>
      <c r="BB136" s="93"/>
      <c r="BC136" s="93"/>
      <c r="BD136" s="93"/>
      <c r="BE136" s="93"/>
      <c r="BF136" s="93"/>
      <c r="BG136" s="93"/>
      <c r="BH136" s="93"/>
      <c r="BI136" s="93"/>
      <c r="BJ136" s="93"/>
      <c r="BK136" s="93"/>
      <c r="BL136" s="93"/>
      <c r="BM136" s="93"/>
      <c r="BN136" s="93"/>
      <c r="BO136" s="93"/>
      <c r="BP136" s="93"/>
      <c r="BQ136" s="93"/>
      <c r="BR136" s="93"/>
      <c r="BS136" s="93"/>
      <c r="BT136" s="93"/>
      <c r="BU136" s="93"/>
      <c r="BV136" s="93"/>
      <c r="BW136" s="93"/>
      <c r="BX136" s="93"/>
      <c r="BY136" s="93"/>
      <c r="BZ136" s="93"/>
      <c r="CA136" s="93"/>
      <c r="CB136" s="93"/>
      <c r="CC136" s="93"/>
      <c r="CD136" s="93"/>
      <c r="CE136" s="93"/>
      <c r="CF136" s="93"/>
      <c r="CG136" s="93"/>
      <c r="CH136" s="93"/>
      <c r="CI136" s="93"/>
      <c r="CJ136" s="93"/>
      <c r="CK136" s="93"/>
      <c r="CL136" s="93"/>
      <c r="CM136" s="93"/>
      <c r="CN136" s="93"/>
      <c r="CO136" s="93"/>
      <c r="CP136" s="93"/>
      <c r="CQ136" s="93"/>
      <c r="CR136" s="93"/>
      <c r="CS136" s="93"/>
      <c r="CT136" s="93"/>
      <c r="CU136" s="93"/>
      <c r="CV136" s="93"/>
      <c r="CW136" s="93"/>
      <c r="CX136" s="93"/>
      <c r="CY136" s="93"/>
      <c r="CZ136" s="93"/>
      <c r="DA136" s="93"/>
      <c r="DB136" s="93"/>
      <c r="DC136" s="93"/>
      <c r="DD136" s="93"/>
      <c r="DE136" s="93"/>
      <c r="DF136" s="93"/>
      <c r="DG136" s="93"/>
      <c r="DH136" s="93"/>
      <c r="DI136" s="93"/>
      <c r="DJ136" s="93"/>
      <c r="DK136" s="93"/>
      <c r="DL136" s="93"/>
      <c r="DM136" s="93"/>
      <c r="DN136" s="93"/>
      <c r="DO136" s="93"/>
      <c r="DP136" s="93"/>
      <c r="DQ136" s="93"/>
      <c r="DR136" s="93"/>
      <c r="DS136" s="93"/>
      <c r="DT136" s="93"/>
      <c r="DU136" s="93"/>
      <c r="DV136" s="93"/>
      <c r="DW136" s="93"/>
      <c r="DX136" s="93"/>
      <c r="DY136" s="93"/>
      <c r="DZ136" s="93"/>
      <c r="EA136" s="93"/>
      <c r="EB136" s="93"/>
      <c r="EC136" s="93"/>
      <c r="ED136" s="93"/>
      <c r="EE136" s="93"/>
      <c r="EF136" s="93"/>
      <c r="EG136" s="93"/>
      <c r="EH136" s="93"/>
      <c r="EI136" s="93"/>
      <c r="EJ136" s="93"/>
      <c r="EK136" s="93"/>
      <c r="EL136" s="93"/>
      <c r="EM136" s="93"/>
      <c r="EN136" s="93"/>
      <c r="EO136" s="93"/>
      <c r="EP136" s="93"/>
      <c r="EQ136" s="93"/>
      <c r="ER136" s="93"/>
      <c r="ES136" s="93"/>
      <c r="ET136" s="93"/>
      <c r="EU136" s="93"/>
      <c r="EV136" s="93"/>
      <c r="EW136" s="93"/>
      <c r="EX136" s="93"/>
      <c r="EY136" s="93"/>
      <c r="EZ136" s="93"/>
      <c r="FA136" s="93"/>
      <c r="FB136" s="93"/>
      <c r="FC136" s="93"/>
      <c r="FD136" s="93"/>
      <c r="FE136" s="93"/>
      <c r="FF136" s="93"/>
      <c r="FG136" s="93"/>
      <c r="FH136" s="93"/>
      <c r="FI136" s="93"/>
      <c r="FJ136" s="93"/>
      <c r="FK136" s="93"/>
      <c r="FL136" s="93"/>
      <c r="FM136" s="93"/>
      <c r="FN136" s="93"/>
      <c r="FO136" s="93"/>
      <c r="FP136" s="93"/>
      <c r="FQ136" s="93"/>
      <c r="FR136" s="93"/>
      <c r="FS136" s="93"/>
      <c r="FT136" s="93"/>
      <c r="FU136" s="93"/>
      <c r="FV136" s="93"/>
      <c r="FW136" s="93"/>
      <c r="FX136" s="93"/>
      <c r="FY136" s="93"/>
      <c r="FZ136" s="93"/>
      <c r="GA136" s="93"/>
      <c r="GB136" s="93"/>
      <c r="GC136" s="93"/>
      <c r="GD136" s="93"/>
      <c r="GE136" s="93"/>
      <c r="GF136" s="93"/>
      <c r="GG136" s="93"/>
      <c r="GH136" s="93"/>
      <c r="GI136" s="93"/>
      <c r="GJ136" s="93"/>
      <c r="GK136" s="93"/>
      <c r="GL136" s="93"/>
      <c r="GM136" s="93"/>
      <c r="GN136" s="93"/>
      <c r="GO136" s="93"/>
      <c r="GP136" s="93"/>
      <c r="GQ136" s="93"/>
      <c r="GR136" s="93"/>
      <c r="GS136" s="93"/>
      <c r="GT136" s="93"/>
      <c r="GU136" s="93"/>
      <c r="GV136" s="93"/>
      <c r="GW136" s="93"/>
      <c r="GX136" s="93"/>
      <c r="GY136" s="93"/>
      <c r="GZ136" s="93"/>
      <c r="HA136" s="93"/>
      <c r="HB136" s="93"/>
      <c r="HC136" s="93"/>
      <c r="HD136" s="93"/>
      <c r="HE136" s="93"/>
      <c r="HF136" s="93"/>
      <c r="HG136" s="93"/>
    </row>
    <row r="137" spans="14:215" x14ac:dyDescent="0.2">
      <c r="N137" s="93" t="s">
        <v>254</v>
      </c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>
        <v>0.32900432900432902</v>
      </c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  <c r="BI137" s="93"/>
      <c r="BJ137" s="93"/>
      <c r="BK137" s="93"/>
      <c r="BL137" s="93"/>
      <c r="BM137" s="93"/>
      <c r="BN137" s="93"/>
      <c r="BO137" s="93"/>
      <c r="BP137" s="93"/>
      <c r="BQ137" s="93"/>
      <c r="BR137" s="93"/>
      <c r="BS137" s="93"/>
      <c r="BT137" s="93"/>
      <c r="BU137" s="93"/>
      <c r="BV137" s="93"/>
      <c r="BW137" s="93"/>
      <c r="BX137" s="93"/>
      <c r="BY137" s="93"/>
      <c r="BZ137" s="93"/>
      <c r="CA137" s="93"/>
      <c r="CB137" s="93"/>
      <c r="CC137" s="93"/>
      <c r="CD137" s="93"/>
      <c r="CE137" s="93"/>
      <c r="CF137" s="93"/>
      <c r="CG137" s="93"/>
      <c r="CH137" s="93"/>
      <c r="CI137" s="93"/>
      <c r="CJ137" s="93"/>
      <c r="CK137" s="93"/>
      <c r="CL137" s="93"/>
      <c r="CM137" s="93"/>
      <c r="CN137" s="93"/>
      <c r="CO137" s="93"/>
      <c r="CP137" s="93"/>
      <c r="CQ137" s="93"/>
      <c r="CR137" s="93"/>
      <c r="CS137" s="93"/>
      <c r="CT137" s="93"/>
      <c r="CU137" s="93"/>
      <c r="CV137" s="93"/>
      <c r="CW137" s="93"/>
      <c r="CX137" s="93"/>
      <c r="CY137" s="93"/>
      <c r="CZ137" s="93"/>
      <c r="DA137" s="93"/>
      <c r="DB137" s="93"/>
      <c r="DC137" s="93"/>
      <c r="DD137" s="93"/>
      <c r="DE137" s="93"/>
      <c r="DF137" s="93"/>
      <c r="DG137" s="93"/>
      <c r="DH137" s="93"/>
      <c r="DI137" s="93"/>
      <c r="DJ137" s="93"/>
      <c r="DK137" s="93"/>
      <c r="DL137" s="93"/>
      <c r="DM137" s="93"/>
      <c r="DN137" s="93"/>
      <c r="DO137" s="93"/>
      <c r="DP137" s="93"/>
      <c r="DQ137" s="93"/>
      <c r="DR137" s="93"/>
      <c r="DS137" s="93"/>
      <c r="DT137" s="93"/>
      <c r="DU137" s="93"/>
      <c r="DV137" s="93"/>
      <c r="DW137" s="93"/>
      <c r="DX137" s="93"/>
      <c r="DY137" s="93"/>
      <c r="DZ137" s="93"/>
      <c r="EA137" s="93"/>
      <c r="EB137" s="93"/>
      <c r="EC137" s="93"/>
      <c r="ED137" s="93"/>
      <c r="EE137" s="93"/>
      <c r="EF137" s="93"/>
      <c r="EG137" s="93"/>
      <c r="EH137" s="93"/>
      <c r="EI137" s="93"/>
      <c r="EJ137" s="93"/>
      <c r="EK137" s="93"/>
      <c r="EL137" s="93"/>
      <c r="EM137" s="93"/>
      <c r="EN137" s="93"/>
      <c r="EO137" s="93"/>
      <c r="EP137" s="93"/>
      <c r="EQ137" s="93"/>
      <c r="ER137" s="93"/>
      <c r="ES137" s="93"/>
      <c r="ET137" s="93"/>
      <c r="EU137" s="93"/>
      <c r="EV137" s="93"/>
      <c r="EW137" s="93"/>
      <c r="EX137" s="93"/>
      <c r="EY137" s="93"/>
      <c r="EZ137" s="93"/>
      <c r="FA137" s="93"/>
      <c r="FB137" s="93"/>
      <c r="FC137" s="93"/>
      <c r="FD137" s="93"/>
      <c r="FE137" s="93"/>
      <c r="FF137" s="93"/>
      <c r="FG137" s="93"/>
      <c r="FH137" s="93"/>
      <c r="FI137" s="93"/>
      <c r="FJ137" s="93"/>
      <c r="FK137" s="93"/>
      <c r="FL137" s="93"/>
      <c r="FM137" s="93"/>
      <c r="FN137" s="93"/>
      <c r="FO137" s="93"/>
      <c r="FP137" s="93"/>
      <c r="FQ137" s="93"/>
      <c r="FR137" s="93"/>
      <c r="FS137" s="93"/>
      <c r="FT137" s="93"/>
      <c r="FU137" s="93"/>
      <c r="FV137" s="93"/>
      <c r="FW137" s="93"/>
      <c r="FX137" s="93"/>
      <c r="FY137" s="93"/>
      <c r="FZ137" s="93"/>
      <c r="GA137" s="93"/>
      <c r="GB137" s="93"/>
      <c r="GC137" s="93"/>
      <c r="GD137" s="93"/>
      <c r="GE137" s="93"/>
      <c r="GF137" s="93"/>
      <c r="GG137" s="93"/>
      <c r="GH137" s="93"/>
      <c r="GI137" s="93"/>
      <c r="GJ137" s="93"/>
      <c r="GK137" s="93"/>
      <c r="GL137" s="93"/>
      <c r="GM137" s="93"/>
      <c r="GN137" s="93"/>
      <c r="GO137" s="93"/>
      <c r="GP137" s="93"/>
      <c r="GQ137" s="93"/>
      <c r="GR137" s="93"/>
      <c r="GS137" s="93"/>
      <c r="GT137" s="93"/>
      <c r="GU137" s="93"/>
      <c r="GV137" s="93"/>
      <c r="GW137" s="93"/>
      <c r="GX137" s="93"/>
      <c r="GY137" s="93"/>
      <c r="GZ137" s="93"/>
      <c r="HA137" s="93"/>
      <c r="HB137" s="93"/>
      <c r="HC137" s="93"/>
      <c r="HD137" s="93"/>
      <c r="HE137" s="93"/>
      <c r="HF137" s="93"/>
      <c r="HG137" s="93"/>
    </row>
    <row r="138" spans="14:215" x14ac:dyDescent="0.2">
      <c r="N138" s="93" t="s">
        <v>255</v>
      </c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>
        <v>0.32916666666666666</v>
      </c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</row>
    <row r="139" spans="14:215" x14ac:dyDescent="0.2">
      <c r="N139" s="93" t="s">
        <v>256</v>
      </c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>
        <v>0.32931726907630521</v>
      </c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  <c r="BI139" s="93"/>
      <c r="BJ139" s="93"/>
      <c r="BK139" s="93"/>
      <c r="BL139" s="93"/>
      <c r="BM139" s="93"/>
      <c r="BN139" s="93"/>
      <c r="BO139" s="93"/>
      <c r="BP139" s="93"/>
      <c r="BQ139" s="93"/>
      <c r="BR139" s="93"/>
      <c r="BS139" s="93"/>
      <c r="BT139" s="93"/>
      <c r="BU139" s="93"/>
      <c r="BV139" s="93"/>
      <c r="BW139" s="93"/>
      <c r="BX139" s="93"/>
      <c r="BY139" s="93"/>
      <c r="BZ139" s="93"/>
      <c r="CA139" s="93"/>
      <c r="CB139" s="93"/>
      <c r="CC139" s="93"/>
      <c r="CD139" s="93"/>
      <c r="CE139" s="93"/>
      <c r="CF139" s="93"/>
      <c r="CG139" s="93"/>
      <c r="CH139" s="93"/>
      <c r="CI139" s="93"/>
      <c r="CJ139" s="93"/>
      <c r="CK139" s="93"/>
      <c r="CL139" s="93"/>
      <c r="CM139" s="93"/>
      <c r="CN139" s="93"/>
      <c r="CO139" s="93"/>
      <c r="CP139" s="93"/>
      <c r="CQ139" s="93"/>
      <c r="CR139" s="93"/>
      <c r="CS139" s="93"/>
      <c r="CT139" s="93"/>
      <c r="CU139" s="93"/>
      <c r="CV139" s="93"/>
      <c r="CW139" s="93"/>
      <c r="CX139" s="93"/>
      <c r="CY139" s="93"/>
      <c r="CZ139" s="93"/>
      <c r="DA139" s="93"/>
      <c r="DB139" s="93"/>
      <c r="DC139" s="93"/>
      <c r="DD139" s="93"/>
      <c r="DE139" s="93"/>
      <c r="DF139" s="93"/>
      <c r="DG139" s="93"/>
      <c r="DH139" s="93"/>
      <c r="DI139" s="93"/>
      <c r="DJ139" s="93"/>
      <c r="DK139" s="93"/>
      <c r="DL139" s="93"/>
      <c r="DM139" s="93"/>
      <c r="DN139" s="93"/>
      <c r="DO139" s="93"/>
      <c r="DP139" s="93"/>
      <c r="DQ139" s="93"/>
      <c r="DR139" s="93"/>
      <c r="DS139" s="93"/>
      <c r="DT139" s="93"/>
      <c r="DU139" s="93"/>
      <c r="DV139" s="93"/>
      <c r="DW139" s="93"/>
      <c r="DX139" s="93"/>
      <c r="DY139" s="93"/>
      <c r="DZ139" s="93"/>
      <c r="EA139" s="93"/>
      <c r="EB139" s="93"/>
      <c r="EC139" s="93"/>
      <c r="ED139" s="93"/>
      <c r="EE139" s="93"/>
      <c r="EF139" s="93"/>
      <c r="EG139" s="93"/>
      <c r="EH139" s="93"/>
      <c r="EI139" s="93"/>
      <c r="EJ139" s="93"/>
      <c r="EK139" s="93"/>
      <c r="EL139" s="93"/>
      <c r="EM139" s="93"/>
      <c r="EN139" s="93"/>
      <c r="EO139" s="93"/>
      <c r="EP139" s="93"/>
      <c r="EQ139" s="93"/>
      <c r="ER139" s="93"/>
      <c r="ES139" s="93"/>
      <c r="ET139" s="93"/>
      <c r="EU139" s="93"/>
      <c r="EV139" s="93"/>
      <c r="EW139" s="93"/>
      <c r="EX139" s="93"/>
      <c r="EY139" s="93"/>
      <c r="EZ139" s="93"/>
      <c r="FA139" s="93"/>
      <c r="FB139" s="93"/>
      <c r="FC139" s="93"/>
      <c r="FD139" s="93"/>
      <c r="FE139" s="93"/>
      <c r="FF139" s="93"/>
      <c r="FG139" s="93"/>
      <c r="FH139" s="93"/>
      <c r="FI139" s="93"/>
      <c r="FJ139" s="93"/>
      <c r="FK139" s="93"/>
      <c r="FL139" s="93"/>
      <c r="FM139" s="93"/>
      <c r="FN139" s="93"/>
      <c r="FO139" s="93"/>
      <c r="FP139" s="93"/>
      <c r="FQ139" s="93"/>
      <c r="FR139" s="93"/>
      <c r="FS139" s="93"/>
      <c r="FT139" s="93"/>
      <c r="FU139" s="93"/>
      <c r="FV139" s="93"/>
      <c r="FW139" s="93"/>
      <c r="FX139" s="93"/>
      <c r="FY139" s="93"/>
      <c r="FZ139" s="93"/>
      <c r="GA139" s="93"/>
      <c r="GB139" s="93"/>
      <c r="GC139" s="93"/>
      <c r="GD139" s="93"/>
      <c r="GE139" s="93"/>
      <c r="GF139" s="93"/>
      <c r="GG139" s="93"/>
      <c r="GH139" s="93"/>
      <c r="GI139" s="93"/>
      <c r="GJ139" s="93"/>
      <c r="GK139" s="93"/>
      <c r="GL139" s="93"/>
      <c r="GM139" s="93"/>
      <c r="GN139" s="93"/>
      <c r="GO139" s="93"/>
      <c r="GP139" s="93"/>
      <c r="GQ139" s="93"/>
      <c r="GR139" s="93"/>
      <c r="GS139" s="93"/>
      <c r="GT139" s="93"/>
      <c r="GU139" s="93"/>
      <c r="GV139" s="93"/>
      <c r="GW139" s="93"/>
      <c r="GX139" s="93"/>
      <c r="GY139" s="93"/>
      <c r="GZ139" s="93"/>
      <c r="HA139" s="93"/>
      <c r="HB139" s="93"/>
      <c r="HC139" s="93"/>
      <c r="HD139" s="93"/>
      <c r="HE139" s="93"/>
      <c r="HF139" s="93"/>
      <c r="HG139" s="93"/>
    </row>
    <row r="140" spans="14:215" x14ac:dyDescent="0.2">
      <c r="N140" s="93" t="s">
        <v>257</v>
      </c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>
        <v>0.32945736434108525</v>
      </c>
      <c r="AS140" s="93"/>
      <c r="AT140" s="93"/>
      <c r="AU140" s="93"/>
      <c r="AV140" s="93"/>
      <c r="AW140" s="93"/>
      <c r="AX140" s="93"/>
      <c r="AY140" s="93"/>
      <c r="AZ140" s="93"/>
      <c r="BA140" s="93"/>
      <c r="BB140" s="93"/>
      <c r="BC140" s="93"/>
      <c r="BD140" s="93"/>
      <c r="BE140" s="93"/>
      <c r="BF140" s="93"/>
      <c r="BG140" s="93"/>
      <c r="BH140" s="93"/>
      <c r="BI140" s="93"/>
      <c r="BJ140" s="93"/>
      <c r="BK140" s="93"/>
      <c r="BL140" s="93"/>
      <c r="BM140" s="93"/>
      <c r="BN140" s="93"/>
      <c r="BO140" s="93"/>
      <c r="BP140" s="93"/>
      <c r="BQ140" s="93"/>
      <c r="BR140" s="93"/>
      <c r="BS140" s="93"/>
      <c r="BT140" s="93"/>
      <c r="BU140" s="93"/>
      <c r="BV140" s="93"/>
      <c r="BW140" s="93"/>
      <c r="BX140" s="93"/>
      <c r="BY140" s="93"/>
      <c r="BZ140" s="93"/>
      <c r="CA140" s="93"/>
      <c r="CB140" s="93"/>
      <c r="CC140" s="93"/>
      <c r="CD140" s="93"/>
      <c r="CE140" s="93"/>
      <c r="CF140" s="93"/>
      <c r="CG140" s="93"/>
      <c r="CH140" s="93"/>
      <c r="CI140" s="93"/>
      <c r="CJ140" s="93"/>
      <c r="CK140" s="93"/>
      <c r="CL140" s="93"/>
      <c r="CM140" s="93"/>
      <c r="CN140" s="93"/>
      <c r="CO140" s="93"/>
      <c r="CP140" s="93"/>
      <c r="CQ140" s="93"/>
      <c r="CR140" s="93"/>
      <c r="CS140" s="93"/>
      <c r="CT140" s="93"/>
      <c r="CU140" s="93"/>
      <c r="CV140" s="93"/>
      <c r="CW140" s="93"/>
      <c r="CX140" s="93"/>
      <c r="CY140" s="93"/>
      <c r="CZ140" s="93"/>
      <c r="DA140" s="93"/>
      <c r="DB140" s="93"/>
      <c r="DC140" s="93"/>
      <c r="DD140" s="93"/>
      <c r="DE140" s="93"/>
      <c r="DF140" s="93"/>
      <c r="DG140" s="93"/>
      <c r="DH140" s="93"/>
      <c r="DI140" s="93"/>
      <c r="DJ140" s="93"/>
      <c r="DK140" s="93"/>
      <c r="DL140" s="93"/>
      <c r="DM140" s="93"/>
      <c r="DN140" s="93"/>
      <c r="DO140" s="93"/>
      <c r="DP140" s="93"/>
      <c r="DQ140" s="93"/>
      <c r="DR140" s="93"/>
      <c r="DS140" s="93"/>
      <c r="DT140" s="93"/>
      <c r="DU140" s="93"/>
      <c r="DV140" s="93"/>
      <c r="DW140" s="93"/>
      <c r="DX140" s="93"/>
      <c r="DY140" s="93"/>
      <c r="DZ140" s="93"/>
      <c r="EA140" s="93"/>
      <c r="EB140" s="93"/>
      <c r="EC140" s="93"/>
      <c r="ED140" s="93"/>
      <c r="EE140" s="93"/>
      <c r="EF140" s="93"/>
      <c r="EG140" s="93"/>
      <c r="EH140" s="93"/>
      <c r="EI140" s="93"/>
      <c r="EJ140" s="93"/>
      <c r="EK140" s="93"/>
      <c r="EL140" s="93"/>
      <c r="EM140" s="93"/>
      <c r="EN140" s="93"/>
      <c r="EO140" s="93"/>
      <c r="EP140" s="93"/>
      <c r="EQ140" s="93"/>
      <c r="ER140" s="93"/>
      <c r="ES140" s="93"/>
      <c r="ET140" s="93"/>
      <c r="EU140" s="93"/>
      <c r="EV140" s="93"/>
      <c r="EW140" s="93"/>
      <c r="EX140" s="93"/>
      <c r="EY140" s="93"/>
      <c r="EZ140" s="93"/>
      <c r="FA140" s="93"/>
      <c r="FB140" s="93"/>
      <c r="FC140" s="93"/>
      <c r="FD140" s="93"/>
      <c r="FE140" s="93"/>
      <c r="FF140" s="93"/>
      <c r="FG140" s="93"/>
      <c r="FH140" s="93"/>
      <c r="FI140" s="93"/>
      <c r="FJ140" s="93"/>
      <c r="FK140" s="93"/>
      <c r="FL140" s="93"/>
      <c r="FM140" s="93"/>
      <c r="FN140" s="93"/>
      <c r="FO140" s="93"/>
      <c r="FP140" s="93"/>
      <c r="FQ140" s="93"/>
      <c r="FR140" s="93"/>
      <c r="FS140" s="93"/>
      <c r="FT140" s="93"/>
      <c r="FU140" s="93"/>
      <c r="FV140" s="93"/>
      <c r="FW140" s="93"/>
      <c r="FX140" s="93"/>
      <c r="FY140" s="93"/>
      <c r="FZ140" s="93"/>
      <c r="GA140" s="93"/>
      <c r="GB140" s="93"/>
      <c r="GC140" s="93"/>
      <c r="GD140" s="93"/>
      <c r="GE140" s="93"/>
      <c r="GF140" s="93"/>
      <c r="GG140" s="93"/>
      <c r="GH140" s="93"/>
      <c r="GI140" s="93"/>
      <c r="GJ140" s="93"/>
      <c r="GK140" s="93"/>
      <c r="GL140" s="93"/>
      <c r="GM140" s="93"/>
      <c r="GN140" s="93"/>
      <c r="GO140" s="93"/>
      <c r="GP140" s="93"/>
      <c r="GQ140" s="93"/>
      <c r="GR140" s="93"/>
      <c r="GS140" s="93"/>
      <c r="GT140" s="93"/>
      <c r="GU140" s="93"/>
      <c r="GV140" s="93"/>
      <c r="GW140" s="93"/>
      <c r="GX140" s="93"/>
      <c r="GY140" s="93"/>
      <c r="GZ140" s="93"/>
      <c r="HA140" s="93"/>
      <c r="HB140" s="93"/>
      <c r="HC140" s="93"/>
      <c r="HD140" s="93"/>
      <c r="HE140" s="93"/>
      <c r="HF140" s="93"/>
      <c r="HG140" s="93"/>
    </row>
    <row r="141" spans="14:215" x14ac:dyDescent="0.2">
      <c r="N141" s="93" t="s">
        <v>258</v>
      </c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>
        <v>0.32958801498127338</v>
      </c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  <c r="BI141" s="93"/>
      <c r="BJ141" s="93"/>
      <c r="BK141" s="93"/>
      <c r="BL141" s="93"/>
      <c r="BM141" s="93"/>
      <c r="BN141" s="93"/>
      <c r="BO141" s="93"/>
      <c r="BP141" s="93"/>
      <c r="BQ141" s="93"/>
      <c r="BR141" s="93"/>
      <c r="BS141" s="93"/>
      <c r="BT141" s="93"/>
      <c r="BU141" s="93"/>
      <c r="BV141" s="93"/>
      <c r="BW141" s="93"/>
      <c r="BX141" s="93"/>
      <c r="BY141" s="93"/>
      <c r="BZ141" s="93"/>
      <c r="CA141" s="93"/>
      <c r="CB141" s="93"/>
      <c r="CC141" s="93"/>
      <c r="CD141" s="93"/>
      <c r="CE141" s="93"/>
      <c r="CF141" s="93"/>
      <c r="CG141" s="93"/>
      <c r="CH141" s="93"/>
      <c r="CI141" s="93"/>
      <c r="CJ141" s="93"/>
      <c r="CK141" s="93"/>
      <c r="CL141" s="93"/>
      <c r="CM141" s="93"/>
      <c r="CN141" s="93"/>
      <c r="CO141" s="93"/>
      <c r="CP141" s="93"/>
      <c r="CQ141" s="93"/>
      <c r="CR141" s="93"/>
      <c r="CS141" s="93"/>
      <c r="CT141" s="93"/>
      <c r="CU141" s="93"/>
      <c r="CV141" s="93"/>
      <c r="CW141" s="93"/>
      <c r="CX141" s="93"/>
      <c r="CY141" s="93"/>
      <c r="CZ141" s="93"/>
      <c r="DA141" s="93"/>
      <c r="DB141" s="93"/>
      <c r="DC141" s="93"/>
      <c r="DD141" s="93"/>
      <c r="DE141" s="93"/>
      <c r="DF141" s="93"/>
      <c r="DG141" s="93"/>
      <c r="DH141" s="93"/>
      <c r="DI141" s="93"/>
      <c r="DJ141" s="93"/>
      <c r="DK141" s="93"/>
      <c r="DL141" s="93"/>
      <c r="DM141" s="93"/>
      <c r="DN141" s="93"/>
      <c r="DO141" s="93"/>
      <c r="DP141" s="93"/>
      <c r="DQ141" s="93"/>
      <c r="DR141" s="93"/>
      <c r="DS141" s="93"/>
      <c r="DT141" s="93"/>
      <c r="DU141" s="93"/>
      <c r="DV141" s="93"/>
      <c r="DW141" s="93"/>
      <c r="DX141" s="93"/>
      <c r="DY141" s="93"/>
      <c r="DZ141" s="93"/>
      <c r="EA141" s="93"/>
      <c r="EB141" s="93"/>
      <c r="EC141" s="93"/>
      <c r="ED141" s="93"/>
      <c r="EE141" s="93"/>
      <c r="EF141" s="93"/>
      <c r="EG141" s="93"/>
      <c r="EH141" s="93"/>
      <c r="EI141" s="93"/>
      <c r="EJ141" s="93"/>
      <c r="EK141" s="93"/>
      <c r="EL141" s="93"/>
      <c r="EM141" s="93"/>
      <c r="EN141" s="93"/>
      <c r="EO141" s="93"/>
      <c r="EP141" s="93"/>
      <c r="EQ141" s="93"/>
      <c r="ER141" s="93"/>
      <c r="ES141" s="93"/>
      <c r="ET141" s="93"/>
      <c r="EU141" s="93"/>
      <c r="EV141" s="93"/>
      <c r="EW141" s="93"/>
      <c r="EX141" s="93"/>
      <c r="EY141" s="93"/>
      <c r="EZ141" s="93"/>
      <c r="FA141" s="93"/>
      <c r="FB141" s="93"/>
      <c r="FC141" s="93"/>
      <c r="FD141" s="93"/>
      <c r="FE141" s="93"/>
      <c r="FF141" s="93"/>
      <c r="FG141" s="93"/>
      <c r="FH141" s="93"/>
      <c r="FI141" s="93"/>
      <c r="FJ141" s="93"/>
      <c r="FK141" s="93"/>
      <c r="FL141" s="93"/>
      <c r="FM141" s="93"/>
      <c r="FN141" s="93"/>
      <c r="FO141" s="93"/>
      <c r="FP141" s="93"/>
      <c r="FQ141" s="93"/>
      <c r="FR141" s="93"/>
      <c r="FS141" s="93"/>
      <c r="FT141" s="93"/>
      <c r="FU141" s="93"/>
      <c r="FV141" s="93"/>
      <c r="FW141" s="93"/>
      <c r="FX141" s="93"/>
      <c r="FY141" s="93"/>
      <c r="FZ141" s="93"/>
      <c r="GA141" s="93"/>
      <c r="GB141" s="93"/>
      <c r="GC141" s="93"/>
      <c r="GD141" s="93"/>
      <c r="GE141" s="93"/>
      <c r="GF141" s="93"/>
      <c r="GG141" s="93"/>
      <c r="GH141" s="93"/>
      <c r="GI141" s="93"/>
      <c r="GJ141" s="93"/>
      <c r="GK141" s="93"/>
      <c r="GL141" s="93"/>
      <c r="GM141" s="93"/>
      <c r="GN141" s="93"/>
      <c r="GO141" s="93"/>
      <c r="GP141" s="93"/>
      <c r="GQ141" s="93"/>
      <c r="GR141" s="93"/>
      <c r="GS141" s="93"/>
      <c r="GT141" s="93"/>
      <c r="GU141" s="93"/>
      <c r="GV141" s="93"/>
      <c r="GW141" s="93"/>
      <c r="GX141" s="93"/>
      <c r="GY141" s="93"/>
      <c r="GZ141" s="93"/>
      <c r="HA141" s="93"/>
      <c r="HB141" s="93"/>
      <c r="HC141" s="93"/>
      <c r="HD141" s="93"/>
      <c r="HE141" s="93"/>
      <c r="HF141" s="93"/>
      <c r="HG141" s="93"/>
    </row>
    <row r="142" spans="14:215" x14ac:dyDescent="0.2">
      <c r="N142" s="93" t="s">
        <v>259</v>
      </c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>
        <v>0.32971014492753625</v>
      </c>
      <c r="AU142" s="93"/>
      <c r="AV142" s="93"/>
      <c r="AW142" s="93"/>
      <c r="AX142" s="93"/>
      <c r="AY142" s="93"/>
      <c r="AZ142" s="93"/>
      <c r="BA142" s="93"/>
      <c r="BB142" s="93"/>
      <c r="BC142" s="93"/>
      <c r="BD142" s="93"/>
      <c r="BE142" s="93"/>
      <c r="BF142" s="93"/>
      <c r="BG142" s="93"/>
      <c r="BH142" s="93"/>
      <c r="BI142" s="93"/>
      <c r="BJ142" s="93"/>
      <c r="BK142" s="93"/>
      <c r="BL142" s="93"/>
      <c r="BM142" s="93"/>
      <c r="BN142" s="93"/>
      <c r="BO142" s="93"/>
      <c r="BP142" s="93"/>
      <c r="BQ142" s="93"/>
      <c r="BR142" s="93"/>
      <c r="BS142" s="93"/>
      <c r="BT142" s="93"/>
      <c r="BU142" s="93"/>
      <c r="BV142" s="93"/>
      <c r="BW142" s="93"/>
      <c r="BX142" s="93"/>
      <c r="BY142" s="93"/>
      <c r="BZ142" s="93"/>
      <c r="CA142" s="93"/>
      <c r="CB142" s="93"/>
      <c r="CC142" s="93"/>
      <c r="CD142" s="93"/>
      <c r="CE142" s="93"/>
      <c r="CF142" s="93"/>
      <c r="CG142" s="93"/>
      <c r="CH142" s="93"/>
      <c r="CI142" s="93"/>
      <c r="CJ142" s="93"/>
      <c r="CK142" s="93"/>
      <c r="CL142" s="93"/>
      <c r="CM142" s="93"/>
      <c r="CN142" s="93"/>
      <c r="CO142" s="93"/>
      <c r="CP142" s="93"/>
      <c r="CQ142" s="93"/>
      <c r="CR142" s="93"/>
      <c r="CS142" s="93"/>
      <c r="CT142" s="93"/>
      <c r="CU142" s="93"/>
      <c r="CV142" s="93"/>
      <c r="CW142" s="93"/>
      <c r="CX142" s="93"/>
      <c r="CY142" s="93"/>
      <c r="CZ142" s="93"/>
      <c r="DA142" s="93"/>
      <c r="DB142" s="93"/>
      <c r="DC142" s="93"/>
      <c r="DD142" s="93"/>
      <c r="DE142" s="93"/>
      <c r="DF142" s="93"/>
      <c r="DG142" s="93"/>
      <c r="DH142" s="93"/>
      <c r="DI142" s="93"/>
      <c r="DJ142" s="93"/>
      <c r="DK142" s="93"/>
      <c r="DL142" s="93"/>
      <c r="DM142" s="93"/>
      <c r="DN142" s="93"/>
      <c r="DO142" s="93"/>
      <c r="DP142" s="93"/>
      <c r="DQ142" s="93"/>
      <c r="DR142" s="93"/>
      <c r="DS142" s="93"/>
      <c r="DT142" s="93"/>
      <c r="DU142" s="93"/>
      <c r="DV142" s="93"/>
      <c r="DW142" s="93"/>
      <c r="DX142" s="93"/>
      <c r="DY142" s="93"/>
      <c r="DZ142" s="93"/>
      <c r="EA142" s="93"/>
      <c r="EB142" s="93"/>
      <c r="EC142" s="93"/>
      <c r="ED142" s="93"/>
      <c r="EE142" s="93"/>
      <c r="EF142" s="93"/>
      <c r="EG142" s="93"/>
      <c r="EH142" s="93"/>
      <c r="EI142" s="93"/>
      <c r="EJ142" s="93"/>
      <c r="EK142" s="93"/>
      <c r="EL142" s="93"/>
      <c r="EM142" s="93"/>
      <c r="EN142" s="93"/>
      <c r="EO142" s="93"/>
      <c r="EP142" s="93"/>
      <c r="EQ142" s="93"/>
      <c r="ER142" s="93"/>
      <c r="ES142" s="93"/>
      <c r="ET142" s="93"/>
      <c r="EU142" s="93"/>
      <c r="EV142" s="93"/>
      <c r="EW142" s="93"/>
      <c r="EX142" s="93"/>
      <c r="EY142" s="93"/>
      <c r="EZ142" s="93"/>
      <c r="FA142" s="93"/>
      <c r="FB142" s="93"/>
      <c r="FC142" s="93"/>
      <c r="FD142" s="93"/>
      <c r="FE142" s="93"/>
      <c r="FF142" s="93"/>
      <c r="FG142" s="93"/>
      <c r="FH142" s="93"/>
      <c r="FI142" s="93"/>
      <c r="FJ142" s="93"/>
      <c r="FK142" s="93"/>
      <c r="FL142" s="93"/>
      <c r="FM142" s="93"/>
      <c r="FN142" s="93"/>
      <c r="FO142" s="93"/>
      <c r="FP142" s="93"/>
      <c r="FQ142" s="93"/>
      <c r="FR142" s="93"/>
      <c r="FS142" s="93"/>
      <c r="FT142" s="93"/>
      <c r="FU142" s="93"/>
      <c r="FV142" s="93"/>
      <c r="FW142" s="93"/>
      <c r="FX142" s="93"/>
      <c r="FY142" s="93"/>
      <c r="FZ142" s="93"/>
      <c r="GA142" s="93"/>
      <c r="GB142" s="93"/>
      <c r="GC142" s="93"/>
      <c r="GD142" s="93"/>
      <c r="GE142" s="93"/>
      <c r="GF142" s="93"/>
      <c r="GG142" s="93"/>
      <c r="GH142" s="93"/>
      <c r="GI142" s="93"/>
      <c r="GJ142" s="93"/>
      <c r="GK142" s="93"/>
      <c r="GL142" s="93"/>
      <c r="GM142" s="93"/>
      <c r="GN142" s="93"/>
      <c r="GO142" s="93"/>
      <c r="GP142" s="93"/>
      <c r="GQ142" s="93"/>
      <c r="GR142" s="93"/>
      <c r="GS142" s="93"/>
      <c r="GT142" s="93"/>
      <c r="GU142" s="93"/>
      <c r="GV142" s="93"/>
      <c r="GW142" s="93"/>
      <c r="GX142" s="93"/>
      <c r="GY142" s="93"/>
      <c r="GZ142" s="93"/>
      <c r="HA142" s="93"/>
      <c r="HB142" s="93"/>
      <c r="HC142" s="93"/>
      <c r="HD142" s="93"/>
      <c r="HE142" s="93"/>
      <c r="HF142" s="93"/>
      <c r="HG142" s="93"/>
    </row>
    <row r="143" spans="14:215" x14ac:dyDescent="0.2">
      <c r="N143" s="93" t="s">
        <v>260</v>
      </c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>
        <v>0.3298245614035088</v>
      </c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  <c r="BI143" s="93"/>
      <c r="BJ143" s="93"/>
      <c r="BK143" s="93"/>
      <c r="BL143" s="93"/>
      <c r="BM143" s="93"/>
      <c r="BN143" s="93"/>
      <c r="BO143" s="93"/>
      <c r="BP143" s="93"/>
      <c r="BQ143" s="93"/>
      <c r="BR143" s="93"/>
      <c r="BS143" s="93"/>
      <c r="BT143" s="93"/>
      <c r="BU143" s="93"/>
      <c r="BV143" s="93"/>
      <c r="BW143" s="93"/>
      <c r="BX143" s="93"/>
      <c r="BY143" s="93"/>
      <c r="BZ143" s="93"/>
      <c r="CA143" s="93"/>
      <c r="CB143" s="93"/>
      <c r="CC143" s="93"/>
      <c r="CD143" s="93"/>
      <c r="CE143" s="93"/>
      <c r="CF143" s="93"/>
      <c r="CG143" s="93"/>
      <c r="CH143" s="93"/>
      <c r="CI143" s="93"/>
      <c r="CJ143" s="93"/>
      <c r="CK143" s="93"/>
      <c r="CL143" s="93"/>
      <c r="CM143" s="93"/>
      <c r="CN143" s="93"/>
      <c r="CO143" s="93"/>
      <c r="CP143" s="93"/>
      <c r="CQ143" s="93"/>
      <c r="CR143" s="93"/>
      <c r="CS143" s="93"/>
      <c r="CT143" s="93"/>
      <c r="CU143" s="93"/>
      <c r="CV143" s="93"/>
      <c r="CW143" s="93"/>
      <c r="CX143" s="93"/>
      <c r="CY143" s="93"/>
      <c r="CZ143" s="93"/>
      <c r="DA143" s="93"/>
      <c r="DB143" s="93"/>
      <c r="DC143" s="93"/>
      <c r="DD143" s="93"/>
      <c r="DE143" s="93"/>
      <c r="DF143" s="93"/>
      <c r="DG143" s="93"/>
      <c r="DH143" s="93"/>
      <c r="DI143" s="93"/>
      <c r="DJ143" s="93"/>
      <c r="DK143" s="93"/>
      <c r="DL143" s="93"/>
      <c r="DM143" s="93"/>
      <c r="DN143" s="93"/>
      <c r="DO143" s="93"/>
      <c r="DP143" s="93"/>
      <c r="DQ143" s="93"/>
      <c r="DR143" s="93"/>
      <c r="DS143" s="93"/>
      <c r="DT143" s="93"/>
      <c r="DU143" s="93"/>
      <c r="DV143" s="93"/>
      <c r="DW143" s="93"/>
      <c r="DX143" s="93"/>
      <c r="DY143" s="93"/>
      <c r="DZ143" s="93"/>
      <c r="EA143" s="93"/>
      <c r="EB143" s="93"/>
      <c r="EC143" s="93"/>
      <c r="ED143" s="93"/>
      <c r="EE143" s="93"/>
      <c r="EF143" s="93"/>
      <c r="EG143" s="93"/>
      <c r="EH143" s="93"/>
      <c r="EI143" s="93"/>
      <c r="EJ143" s="93"/>
      <c r="EK143" s="93"/>
      <c r="EL143" s="93"/>
      <c r="EM143" s="93"/>
      <c r="EN143" s="93"/>
      <c r="EO143" s="93"/>
      <c r="EP143" s="93"/>
      <c r="EQ143" s="93"/>
      <c r="ER143" s="93"/>
      <c r="ES143" s="93"/>
      <c r="ET143" s="93"/>
      <c r="EU143" s="93"/>
      <c r="EV143" s="93"/>
      <c r="EW143" s="93"/>
      <c r="EX143" s="93"/>
      <c r="EY143" s="93"/>
      <c r="EZ143" s="93"/>
      <c r="FA143" s="93"/>
      <c r="FB143" s="93"/>
      <c r="FC143" s="93"/>
      <c r="FD143" s="93"/>
      <c r="FE143" s="93"/>
      <c r="FF143" s="93"/>
      <c r="FG143" s="93"/>
      <c r="FH143" s="93"/>
      <c r="FI143" s="93"/>
      <c r="FJ143" s="93"/>
      <c r="FK143" s="93"/>
      <c r="FL143" s="93"/>
      <c r="FM143" s="93"/>
      <c r="FN143" s="93"/>
      <c r="FO143" s="93"/>
      <c r="FP143" s="93"/>
      <c r="FQ143" s="93"/>
      <c r="FR143" s="93"/>
      <c r="FS143" s="93"/>
      <c r="FT143" s="93"/>
      <c r="FU143" s="93"/>
      <c r="FV143" s="93"/>
      <c r="FW143" s="93"/>
      <c r="FX143" s="93"/>
      <c r="FY143" s="93"/>
      <c r="FZ143" s="93"/>
      <c r="GA143" s="93"/>
      <c r="GB143" s="93"/>
      <c r="GC143" s="93"/>
      <c r="GD143" s="93"/>
      <c r="GE143" s="93"/>
      <c r="GF143" s="93"/>
      <c r="GG143" s="93"/>
      <c r="GH143" s="93"/>
      <c r="GI143" s="93"/>
      <c r="GJ143" s="93"/>
      <c r="GK143" s="93"/>
      <c r="GL143" s="93"/>
      <c r="GM143" s="93"/>
      <c r="GN143" s="93"/>
      <c r="GO143" s="93"/>
      <c r="GP143" s="93"/>
      <c r="GQ143" s="93"/>
      <c r="GR143" s="93"/>
      <c r="GS143" s="93"/>
      <c r="GT143" s="93"/>
      <c r="GU143" s="93"/>
      <c r="GV143" s="93"/>
      <c r="GW143" s="93"/>
      <c r="GX143" s="93"/>
      <c r="GY143" s="93"/>
      <c r="GZ143" s="93"/>
      <c r="HA143" s="93"/>
      <c r="HB143" s="93"/>
      <c r="HC143" s="93"/>
      <c r="HD143" s="93"/>
      <c r="HE143" s="93"/>
      <c r="HF143" s="93"/>
      <c r="HG143" s="93"/>
    </row>
    <row r="144" spans="14:215" x14ac:dyDescent="0.2">
      <c r="N144" s="93" t="s">
        <v>261</v>
      </c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3">
        <v>0.32993197278911562</v>
      </c>
      <c r="AW144" s="93"/>
      <c r="AX144" s="93"/>
      <c r="AY144" s="93"/>
      <c r="AZ144" s="93"/>
      <c r="BA144" s="93"/>
      <c r="BB144" s="93"/>
      <c r="BC144" s="93"/>
      <c r="BD144" s="93"/>
      <c r="BE144" s="93"/>
      <c r="BF144" s="93"/>
      <c r="BG144" s="93"/>
      <c r="BH144" s="93"/>
      <c r="BI144" s="93"/>
      <c r="BJ144" s="93"/>
      <c r="BK144" s="93"/>
      <c r="BL144" s="93"/>
      <c r="BM144" s="93"/>
      <c r="BN144" s="93"/>
      <c r="BO144" s="93"/>
      <c r="BP144" s="93"/>
      <c r="BQ144" s="93"/>
      <c r="BR144" s="93"/>
      <c r="BS144" s="93"/>
      <c r="BT144" s="93"/>
      <c r="BU144" s="93"/>
      <c r="BV144" s="93"/>
      <c r="BW144" s="93"/>
      <c r="BX144" s="93"/>
      <c r="BY144" s="93"/>
      <c r="BZ144" s="93"/>
      <c r="CA144" s="93"/>
      <c r="CB144" s="93"/>
      <c r="CC144" s="93"/>
      <c r="CD144" s="93"/>
      <c r="CE144" s="93"/>
      <c r="CF144" s="93"/>
      <c r="CG144" s="93"/>
      <c r="CH144" s="93"/>
      <c r="CI144" s="93"/>
      <c r="CJ144" s="93"/>
      <c r="CK144" s="93"/>
      <c r="CL144" s="93"/>
      <c r="CM144" s="93"/>
      <c r="CN144" s="93"/>
      <c r="CO144" s="93"/>
      <c r="CP144" s="93"/>
      <c r="CQ144" s="93"/>
      <c r="CR144" s="93"/>
      <c r="CS144" s="93"/>
      <c r="CT144" s="93"/>
      <c r="CU144" s="93"/>
      <c r="CV144" s="93"/>
      <c r="CW144" s="93"/>
      <c r="CX144" s="93"/>
      <c r="CY144" s="93"/>
      <c r="CZ144" s="93"/>
      <c r="DA144" s="93"/>
      <c r="DB144" s="93"/>
      <c r="DC144" s="93"/>
      <c r="DD144" s="93"/>
      <c r="DE144" s="93"/>
      <c r="DF144" s="93"/>
      <c r="DG144" s="93"/>
      <c r="DH144" s="93"/>
      <c r="DI144" s="93"/>
      <c r="DJ144" s="93"/>
      <c r="DK144" s="93"/>
      <c r="DL144" s="93"/>
      <c r="DM144" s="93"/>
      <c r="DN144" s="93"/>
      <c r="DO144" s="93"/>
      <c r="DP144" s="93"/>
      <c r="DQ144" s="93"/>
      <c r="DR144" s="93"/>
      <c r="DS144" s="93"/>
      <c r="DT144" s="93"/>
      <c r="DU144" s="93"/>
      <c r="DV144" s="93"/>
      <c r="DW144" s="93"/>
      <c r="DX144" s="93"/>
      <c r="DY144" s="93"/>
      <c r="DZ144" s="93"/>
      <c r="EA144" s="93"/>
      <c r="EB144" s="93"/>
      <c r="EC144" s="93"/>
      <c r="ED144" s="93"/>
      <c r="EE144" s="93"/>
      <c r="EF144" s="93"/>
      <c r="EG144" s="93"/>
      <c r="EH144" s="93"/>
      <c r="EI144" s="93"/>
      <c r="EJ144" s="93"/>
      <c r="EK144" s="93"/>
      <c r="EL144" s="93"/>
      <c r="EM144" s="93"/>
      <c r="EN144" s="93"/>
      <c r="EO144" s="93"/>
      <c r="EP144" s="93"/>
      <c r="EQ144" s="93"/>
      <c r="ER144" s="93"/>
      <c r="ES144" s="93"/>
      <c r="ET144" s="93"/>
      <c r="EU144" s="93"/>
      <c r="EV144" s="93"/>
      <c r="EW144" s="93"/>
      <c r="EX144" s="93"/>
      <c r="EY144" s="93"/>
      <c r="EZ144" s="93"/>
      <c r="FA144" s="93"/>
      <c r="FB144" s="93"/>
      <c r="FC144" s="93"/>
      <c r="FD144" s="93"/>
      <c r="FE144" s="93"/>
      <c r="FF144" s="93"/>
      <c r="FG144" s="93"/>
      <c r="FH144" s="93"/>
      <c r="FI144" s="93"/>
      <c r="FJ144" s="93"/>
      <c r="FK144" s="93"/>
      <c r="FL144" s="93"/>
      <c r="FM144" s="93"/>
      <c r="FN144" s="93"/>
      <c r="FO144" s="93"/>
      <c r="FP144" s="93"/>
      <c r="FQ144" s="93"/>
      <c r="FR144" s="93"/>
      <c r="FS144" s="93"/>
      <c r="FT144" s="93"/>
      <c r="FU144" s="93"/>
      <c r="FV144" s="93"/>
      <c r="FW144" s="93"/>
      <c r="FX144" s="93"/>
      <c r="FY144" s="93"/>
      <c r="FZ144" s="93"/>
      <c r="GA144" s="93"/>
      <c r="GB144" s="93"/>
      <c r="GC144" s="93"/>
      <c r="GD144" s="93"/>
      <c r="GE144" s="93"/>
      <c r="GF144" s="93"/>
      <c r="GG144" s="93"/>
      <c r="GH144" s="93"/>
      <c r="GI144" s="93"/>
      <c r="GJ144" s="93"/>
      <c r="GK144" s="93"/>
      <c r="GL144" s="93"/>
      <c r="GM144" s="93"/>
      <c r="GN144" s="93"/>
      <c r="GO144" s="93"/>
      <c r="GP144" s="93"/>
      <c r="GQ144" s="93"/>
      <c r="GR144" s="93"/>
      <c r="GS144" s="93"/>
      <c r="GT144" s="93"/>
      <c r="GU144" s="93"/>
      <c r="GV144" s="93"/>
      <c r="GW144" s="93"/>
      <c r="GX144" s="93"/>
      <c r="GY144" s="93"/>
      <c r="GZ144" s="93"/>
      <c r="HA144" s="93"/>
      <c r="HB144" s="93"/>
      <c r="HC144" s="93"/>
      <c r="HD144" s="93"/>
      <c r="HE144" s="93"/>
      <c r="HF144" s="93"/>
      <c r="HG144" s="93"/>
    </row>
    <row r="145" spans="14:215" x14ac:dyDescent="0.2">
      <c r="N145" s="93" t="s">
        <v>262</v>
      </c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>
        <v>0.33003300330033003</v>
      </c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  <c r="BI145" s="93"/>
      <c r="BJ145" s="93"/>
      <c r="BK145" s="93"/>
      <c r="BL145" s="93"/>
      <c r="BM145" s="93"/>
      <c r="BN145" s="93"/>
      <c r="BO145" s="93"/>
      <c r="BP145" s="93"/>
      <c r="BQ145" s="93"/>
      <c r="BR145" s="9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93"/>
      <c r="CL145" s="93"/>
      <c r="CM145" s="93"/>
      <c r="CN145" s="93"/>
      <c r="CO145" s="93"/>
      <c r="CP145" s="93"/>
      <c r="CQ145" s="93"/>
      <c r="CR145" s="93"/>
      <c r="CS145" s="93"/>
      <c r="CT145" s="93"/>
      <c r="CU145" s="93"/>
      <c r="CV145" s="93"/>
      <c r="CW145" s="93"/>
      <c r="CX145" s="93"/>
      <c r="CY145" s="93"/>
      <c r="CZ145" s="93"/>
      <c r="DA145" s="93"/>
      <c r="DB145" s="93"/>
      <c r="DC145" s="93"/>
      <c r="DD145" s="93"/>
      <c r="DE145" s="93"/>
      <c r="DF145" s="93"/>
      <c r="DG145" s="93"/>
      <c r="DH145" s="93"/>
      <c r="DI145" s="93"/>
      <c r="DJ145" s="93"/>
      <c r="DK145" s="93"/>
      <c r="DL145" s="93"/>
      <c r="DM145" s="93"/>
      <c r="DN145" s="93"/>
      <c r="DO145" s="93"/>
      <c r="DP145" s="93"/>
      <c r="DQ145" s="93"/>
      <c r="DR145" s="93"/>
      <c r="DS145" s="93"/>
      <c r="DT145" s="93"/>
      <c r="DU145" s="93"/>
      <c r="DV145" s="93"/>
      <c r="DW145" s="93"/>
      <c r="DX145" s="93"/>
      <c r="DY145" s="93"/>
      <c r="DZ145" s="93"/>
      <c r="EA145" s="93"/>
      <c r="EB145" s="93"/>
      <c r="EC145" s="93"/>
      <c r="ED145" s="93"/>
      <c r="EE145" s="93"/>
      <c r="EF145" s="93"/>
      <c r="EG145" s="93"/>
      <c r="EH145" s="93"/>
      <c r="EI145" s="93"/>
      <c r="EJ145" s="93"/>
      <c r="EK145" s="93"/>
      <c r="EL145" s="93"/>
      <c r="EM145" s="93"/>
      <c r="EN145" s="93"/>
      <c r="EO145" s="93"/>
      <c r="EP145" s="93"/>
      <c r="EQ145" s="93"/>
      <c r="ER145" s="93"/>
      <c r="ES145" s="93"/>
      <c r="ET145" s="93"/>
      <c r="EU145" s="93"/>
      <c r="EV145" s="93"/>
      <c r="EW145" s="93"/>
      <c r="EX145" s="93"/>
      <c r="EY145" s="93"/>
      <c r="EZ145" s="93"/>
      <c r="FA145" s="93"/>
      <c r="FB145" s="93"/>
      <c r="FC145" s="93"/>
      <c r="FD145" s="93"/>
      <c r="FE145" s="93"/>
      <c r="FF145" s="93"/>
      <c r="FG145" s="93"/>
      <c r="FH145" s="93"/>
      <c r="FI145" s="93"/>
      <c r="FJ145" s="93"/>
      <c r="FK145" s="93"/>
      <c r="FL145" s="93"/>
      <c r="FM145" s="93"/>
      <c r="FN145" s="93"/>
      <c r="FO145" s="93"/>
      <c r="FP145" s="93"/>
      <c r="FQ145" s="93"/>
      <c r="FR145" s="93"/>
      <c r="FS145" s="93"/>
      <c r="FT145" s="93"/>
      <c r="FU145" s="93"/>
      <c r="FV145" s="93"/>
      <c r="FW145" s="93"/>
      <c r="FX145" s="93"/>
      <c r="FY145" s="93"/>
      <c r="FZ145" s="93"/>
      <c r="GA145" s="93"/>
      <c r="GB145" s="93"/>
      <c r="GC145" s="93"/>
      <c r="GD145" s="93"/>
      <c r="GE145" s="93"/>
      <c r="GF145" s="93"/>
      <c r="GG145" s="93"/>
      <c r="GH145" s="93"/>
      <c r="GI145" s="93"/>
      <c r="GJ145" s="93"/>
      <c r="GK145" s="93"/>
      <c r="GL145" s="93"/>
      <c r="GM145" s="93"/>
      <c r="GN145" s="93"/>
      <c r="GO145" s="93"/>
      <c r="GP145" s="93"/>
      <c r="GQ145" s="93"/>
      <c r="GR145" s="93"/>
      <c r="GS145" s="93"/>
      <c r="GT145" s="93"/>
      <c r="GU145" s="93"/>
      <c r="GV145" s="93"/>
      <c r="GW145" s="93"/>
      <c r="GX145" s="93"/>
      <c r="GY145" s="93"/>
      <c r="GZ145" s="93"/>
      <c r="HA145" s="93"/>
      <c r="HB145" s="93"/>
      <c r="HC145" s="93"/>
      <c r="HD145" s="93"/>
      <c r="HE145" s="93"/>
      <c r="HF145" s="93"/>
      <c r="HG145" s="93"/>
    </row>
    <row r="146" spans="14:215" x14ac:dyDescent="0.2">
      <c r="N146" s="93" t="s">
        <v>263</v>
      </c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3"/>
      <c r="AW146" s="93"/>
      <c r="AX146" s="93">
        <v>0.33012820512820512</v>
      </c>
      <c r="AY146" s="93"/>
      <c r="AZ146" s="93"/>
      <c r="BA146" s="93"/>
      <c r="BB146" s="93"/>
      <c r="BC146" s="93"/>
      <c r="BD146" s="93"/>
      <c r="BE146" s="93"/>
      <c r="BF146" s="93"/>
      <c r="BG146" s="93"/>
      <c r="BH146" s="93"/>
      <c r="BI146" s="93"/>
      <c r="BJ146" s="93"/>
      <c r="BK146" s="93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3"/>
      <c r="CP146" s="93"/>
      <c r="CQ146" s="93"/>
      <c r="CR146" s="93"/>
      <c r="CS146" s="93"/>
      <c r="CT146" s="93"/>
      <c r="CU146" s="93"/>
      <c r="CV146" s="93"/>
      <c r="CW146" s="93"/>
      <c r="CX146" s="93"/>
      <c r="CY146" s="93"/>
      <c r="CZ146" s="93"/>
      <c r="DA146" s="93"/>
      <c r="DB146" s="93"/>
      <c r="DC146" s="93"/>
      <c r="DD146" s="93"/>
      <c r="DE146" s="93"/>
      <c r="DF146" s="93"/>
      <c r="DG146" s="93"/>
      <c r="DH146" s="93"/>
      <c r="DI146" s="93"/>
      <c r="DJ146" s="93"/>
      <c r="DK146" s="93"/>
      <c r="DL146" s="93"/>
      <c r="DM146" s="93"/>
      <c r="DN146" s="93"/>
      <c r="DO146" s="93"/>
      <c r="DP146" s="93"/>
      <c r="DQ146" s="93"/>
      <c r="DR146" s="93"/>
      <c r="DS146" s="93"/>
      <c r="DT146" s="93"/>
      <c r="DU146" s="93"/>
      <c r="DV146" s="93"/>
      <c r="DW146" s="93"/>
      <c r="DX146" s="93"/>
      <c r="DY146" s="93"/>
      <c r="DZ146" s="93"/>
      <c r="EA146" s="93"/>
      <c r="EB146" s="93"/>
      <c r="EC146" s="93"/>
      <c r="ED146" s="93"/>
      <c r="EE146" s="93"/>
      <c r="EF146" s="93"/>
      <c r="EG146" s="93"/>
      <c r="EH146" s="93"/>
      <c r="EI146" s="93"/>
      <c r="EJ146" s="93"/>
      <c r="EK146" s="93"/>
      <c r="EL146" s="93"/>
      <c r="EM146" s="93"/>
      <c r="EN146" s="93"/>
      <c r="EO146" s="93"/>
      <c r="EP146" s="93"/>
      <c r="EQ146" s="93"/>
      <c r="ER146" s="93"/>
      <c r="ES146" s="93"/>
      <c r="ET146" s="93"/>
      <c r="EU146" s="93"/>
      <c r="EV146" s="93"/>
      <c r="EW146" s="93"/>
      <c r="EX146" s="93"/>
      <c r="EY146" s="93"/>
      <c r="EZ146" s="93"/>
      <c r="FA146" s="93"/>
      <c r="FB146" s="93"/>
      <c r="FC146" s="93"/>
      <c r="FD146" s="93"/>
      <c r="FE146" s="93"/>
      <c r="FF146" s="93"/>
      <c r="FG146" s="93"/>
      <c r="FH146" s="93"/>
      <c r="FI146" s="93"/>
      <c r="FJ146" s="93"/>
      <c r="FK146" s="93"/>
      <c r="FL146" s="93"/>
      <c r="FM146" s="93"/>
      <c r="FN146" s="93"/>
      <c r="FO146" s="93"/>
      <c r="FP146" s="93"/>
      <c r="FQ146" s="93"/>
      <c r="FR146" s="93"/>
      <c r="FS146" s="93"/>
      <c r="FT146" s="93"/>
      <c r="FU146" s="93"/>
      <c r="FV146" s="93"/>
      <c r="FW146" s="93"/>
      <c r="FX146" s="93"/>
      <c r="FY146" s="93"/>
      <c r="FZ146" s="93"/>
      <c r="GA146" s="93"/>
      <c r="GB146" s="93"/>
      <c r="GC146" s="93"/>
      <c r="GD146" s="93"/>
      <c r="GE146" s="93"/>
      <c r="GF146" s="93"/>
      <c r="GG146" s="93"/>
      <c r="GH146" s="93"/>
      <c r="GI146" s="93"/>
      <c r="GJ146" s="93"/>
      <c r="GK146" s="93"/>
      <c r="GL146" s="93"/>
      <c r="GM146" s="93"/>
      <c r="GN146" s="93"/>
      <c r="GO146" s="93"/>
      <c r="GP146" s="93"/>
      <c r="GQ146" s="93"/>
      <c r="GR146" s="93"/>
      <c r="GS146" s="93"/>
      <c r="GT146" s="93"/>
      <c r="GU146" s="93"/>
      <c r="GV146" s="93"/>
      <c r="GW146" s="93"/>
      <c r="GX146" s="93"/>
      <c r="GY146" s="93"/>
      <c r="GZ146" s="93"/>
      <c r="HA146" s="93"/>
      <c r="HB146" s="93"/>
      <c r="HC146" s="93"/>
      <c r="HD146" s="93"/>
      <c r="HE146" s="93"/>
      <c r="HF146" s="93"/>
      <c r="HG146" s="93"/>
    </row>
    <row r="147" spans="14:215" x14ac:dyDescent="0.2">
      <c r="N147" s="93" t="s">
        <v>264</v>
      </c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>
        <v>0.33021806853582553</v>
      </c>
      <c r="AZ147" s="93"/>
      <c r="BA147" s="93"/>
      <c r="BB147" s="93"/>
      <c r="BC147" s="93"/>
      <c r="BD147" s="93"/>
      <c r="BE147" s="93"/>
      <c r="BF147" s="93"/>
      <c r="BG147" s="93"/>
      <c r="BH147" s="93"/>
      <c r="BI147" s="93"/>
      <c r="BJ147" s="93"/>
      <c r="BK147" s="93"/>
      <c r="BL147" s="93"/>
      <c r="BM147" s="93"/>
      <c r="BN147" s="93"/>
      <c r="BO147" s="93"/>
      <c r="BP147" s="93"/>
      <c r="BQ147" s="93"/>
      <c r="BR147" s="93"/>
      <c r="BS147" s="93"/>
      <c r="BT147" s="93"/>
      <c r="BU147" s="93"/>
      <c r="BV147" s="93"/>
      <c r="BW147" s="93"/>
      <c r="BX147" s="93"/>
      <c r="BY147" s="93"/>
      <c r="BZ147" s="93"/>
      <c r="CA147" s="93"/>
      <c r="CB147" s="93"/>
      <c r="CC147" s="93"/>
      <c r="CD147" s="93"/>
      <c r="CE147" s="93"/>
      <c r="CF147" s="93"/>
      <c r="CG147" s="93"/>
      <c r="CH147" s="93"/>
      <c r="CI147" s="93"/>
      <c r="CJ147" s="93"/>
      <c r="CK147" s="93"/>
      <c r="CL147" s="93"/>
      <c r="CM147" s="93"/>
      <c r="CN147" s="93"/>
      <c r="CO147" s="93"/>
      <c r="CP147" s="93"/>
      <c r="CQ147" s="93"/>
      <c r="CR147" s="93"/>
      <c r="CS147" s="93"/>
      <c r="CT147" s="93"/>
      <c r="CU147" s="93"/>
      <c r="CV147" s="93"/>
      <c r="CW147" s="93"/>
      <c r="CX147" s="93"/>
      <c r="CY147" s="93"/>
      <c r="CZ147" s="93"/>
      <c r="DA147" s="93"/>
      <c r="DB147" s="93"/>
      <c r="DC147" s="93"/>
      <c r="DD147" s="93"/>
      <c r="DE147" s="93"/>
      <c r="DF147" s="93"/>
      <c r="DG147" s="93"/>
      <c r="DH147" s="93"/>
      <c r="DI147" s="93"/>
      <c r="DJ147" s="93"/>
      <c r="DK147" s="93"/>
      <c r="DL147" s="93"/>
      <c r="DM147" s="93"/>
      <c r="DN147" s="93"/>
      <c r="DO147" s="93"/>
      <c r="DP147" s="93"/>
      <c r="DQ147" s="93"/>
      <c r="DR147" s="93"/>
      <c r="DS147" s="93"/>
      <c r="DT147" s="93"/>
      <c r="DU147" s="93"/>
      <c r="DV147" s="93"/>
      <c r="DW147" s="93"/>
      <c r="DX147" s="93"/>
      <c r="DY147" s="93"/>
      <c r="DZ147" s="93"/>
      <c r="EA147" s="93"/>
      <c r="EB147" s="93"/>
      <c r="EC147" s="93"/>
      <c r="ED147" s="93"/>
      <c r="EE147" s="93"/>
      <c r="EF147" s="93"/>
      <c r="EG147" s="93"/>
      <c r="EH147" s="93"/>
      <c r="EI147" s="93"/>
      <c r="EJ147" s="93"/>
      <c r="EK147" s="93"/>
      <c r="EL147" s="93"/>
      <c r="EM147" s="93"/>
      <c r="EN147" s="93"/>
      <c r="EO147" s="93"/>
      <c r="EP147" s="93"/>
      <c r="EQ147" s="93"/>
      <c r="ER147" s="93"/>
      <c r="ES147" s="93"/>
      <c r="ET147" s="93"/>
      <c r="EU147" s="93"/>
      <c r="EV147" s="93"/>
      <c r="EW147" s="93"/>
      <c r="EX147" s="93"/>
      <c r="EY147" s="93"/>
      <c r="EZ147" s="93"/>
      <c r="FA147" s="93"/>
      <c r="FB147" s="93"/>
      <c r="FC147" s="93"/>
      <c r="FD147" s="93"/>
      <c r="FE147" s="93"/>
      <c r="FF147" s="93"/>
      <c r="FG147" s="93"/>
      <c r="FH147" s="93"/>
      <c r="FI147" s="93"/>
      <c r="FJ147" s="93"/>
      <c r="FK147" s="93"/>
      <c r="FL147" s="93"/>
      <c r="FM147" s="93"/>
      <c r="FN147" s="93"/>
      <c r="FO147" s="93"/>
      <c r="FP147" s="93"/>
      <c r="FQ147" s="93"/>
      <c r="FR147" s="93"/>
      <c r="FS147" s="93"/>
      <c r="FT147" s="93"/>
      <c r="FU147" s="93"/>
      <c r="FV147" s="93"/>
      <c r="FW147" s="93"/>
      <c r="FX147" s="93"/>
      <c r="FY147" s="93"/>
      <c r="FZ147" s="93"/>
      <c r="GA147" s="93"/>
      <c r="GB147" s="93"/>
      <c r="GC147" s="93"/>
      <c r="GD147" s="93"/>
      <c r="GE147" s="93"/>
      <c r="GF147" s="93"/>
      <c r="GG147" s="93"/>
      <c r="GH147" s="93"/>
      <c r="GI147" s="93"/>
      <c r="GJ147" s="93"/>
      <c r="GK147" s="93"/>
      <c r="GL147" s="93"/>
      <c r="GM147" s="93"/>
      <c r="GN147" s="93"/>
      <c r="GO147" s="93"/>
      <c r="GP147" s="93"/>
      <c r="GQ147" s="93"/>
      <c r="GR147" s="93"/>
      <c r="GS147" s="93"/>
      <c r="GT147" s="93"/>
      <c r="GU147" s="93"/>
      <c r="GV147" s="93"/>
      <c r="GW147" s="93"/>
      <c r="GX147" s="93"/>
      <c r="GY147" s="93"/>
      <c r="GZ147" s="93"/>
      <c r="HA147" s="93"/>
      <c r="HB147" s="93"/>
      <c r="HC147" s="93"/>
      <c r="HD147" s="93"/>
      <c r="HE147" s="93"/>
      <c r="HF147" s="93"/>
      <c r="HG147" s="93"/>
    </row>
    <row r="148" spans="14:215" x14ac:dyDescent="0.2">
      <c r="N148" s="93" t="s">
        <v>265</v>
      </c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>
        <v>0.33030303030303032</v>
      </c>
      <c r="BA148" s="93"/>
      <c r="BB148" s="93"/>
      <c r="BC148" s="93"/>
      <c r="BD148" s="93"/>
      <c r="BE148" s="93"/>
      <c r="BF148" s="93"/>
      <c r="BG148" s="93"/>
      <c r="BH148" s="93"/>
      <c r="BI148" s="93"/>
      <c r="BJ148" s="93"/>
      <c r="BK148" s="93"/>
      <c r="BL148" s="93"/>
      <c r="BM148" s="93"/>
      <c r="BN148" s="93"/>
      <c r="BO148" s="93"/>
      <c r="BP148" s="93"/>
      <c r="BQ148" s="93"/>
      <c r="BR148" s="93"/>
      <c r="BS148" s="93"/>
      <c r="BT148" s="93"/>
      <c r="BU148" s="93"/>
      <c r="BV148" s="93"/>
      <c r="BW148" s="93"/>
      <c r="BX148" s="93"/>
      <c r="BY148" s="93"/>
      <c r="BZ148" s="93"/>
      <c r="CA148" s="93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3"/>
      <c r="CU148" s="93"/>
      <c r="CV148" s="93"/>
      <c r="CW148" s="93"/>
      <c r="CX148" s="93"/>
      <c r="CY148" s="93"/>
      <c r="CZ148" s="93"/>
      <c r="DA148" s="93"/>
      <c r="DB148" s="93"/>
      <c r="DC148" s="93"/>
      <c r="DD148" s="93"/>
      <c r="DE148" s="93"/>
      <c r="DF148" s="93"/>
      <c r="DG148" s="93"/>
      <c r="DH148" s="93"/>
      <c r="DI148" s="93"/>
      <c r="DJ148" s="93"/>
      <c r="DK148" s="93"/>
      <c r="DL148" s="93"/>
      <c r="DM148" s="93"/>
      <c r="DN148" s="93"/>
      <c r="DO148" s="93"/>
      <c r="DP148" s="93"/>
      <c r="DQ148" s="93"/>
      <c r="DR148" s="93"/>
      <c r="DS148" s="93"/>
      <c r="DT148" s="93"/>
      <c r="DU148" s="93"/>
      <c r="DV148" s="93"/>
      <c r="DW148" s="93"/>
      <c r="DX148" s="93"/>
      <c r="DY148" s="93"/>
      <c r="DZ148" s="93"/>
      <c r="EA148" s="93"/>
      <c r="EB148" s="93"/>
      <c r="EC148" s="93"/>
      <c r="ED148" s="93"/>
      <c r="EE148" s="93"/>
      <c r="EF148" s="93"/>
      <c r="EG148" s="93"/>
      <c r="EH148" s="93"/>
      <c r="EI148" s="93"/>
      <c r="EJ148" s="93"/>
      <c r="EK148" s="93"/>
      <c r="EL148" s="93"/>
      <c r="EM148" s="93"/>
      <c r="EN148" s="93"/>
      <c r="EO148" s="93"/>
      <c r="EP148" s="93"/>
      <c r="EQ148" s="93"/>
      <c r="ER148" s="93"/>
      <c r="ES148" s="93"/>
      <c r="ET148" s="93"/>
      <c r="EU148" s="93"/>
      <c r="EV148" s="93"/>
      <c r="EW148" s="93"/>
      <c r="EX148" s="93"/>
      <c r="EY148" s="93"/>
      <c r="EZ148" s="93"/>
      <c r="FA148" s="93"/>
      <c r="FB148" s="93"/>
      <c r="FC148" s="93"/>
      <c r="FD148" s="93"/>
      <c r="FE148" s="93"/>
      <c r="FF148" s="93"/>
      <c r="FG148" s="93"/>
      <c r="FH148" s="93"/>
      <c r="FI148" s="93"/>
      <c r="FJ148" s="93"/>
      <c r="FK148" s="93"/>
      <c r="FL148" s="93"/>
      <c r="FM148" s="93"/>
      <c r="FN148" s="93"/>
      <c r="FO148" s="93"/>
      <c r="FP148" s="93"/>
      <c r="FQ148" s="93"/>
      <c r="FR148" s="93"/>
      <c r="FS148" s="93"/>
      <c r="FT148" s="93"/>
      <c r="FU148" s="93"/>
      <c r="FV148" s="93"/>
      <c r="FW148" s="93"/>
      <c r="FX148" s="93"/>
      <c r="FY148" s="93"/>
      <c r="FZ148" s="93"/>
      <c r="GA148" s="93"/>
      <c r="GB148" s="93"/>
      <c r="GC148" s="93"/>
      <c r="GD148" s="93"/>
      <c r="GE148" s="93"/>
      <c r="GF148" s="93"/>
      <c r="GG148" s="93"/>
      <c r="GH148" s="93"/>
      <c r="GI148" s="93"/>
      <c r="GJ148" s="93"/>
      <c r="GK148" s="93"/>
      <c r="GL148" s="93"/>
      <c r="GM148" s="93"/>
      <c r="GN148" s="93"/>
      <c r="GO148" s="93"/>
      <c r="GP148" s="93"/>
      <c r="GQ148" s="93"/>
      <c r="GR148" s="93"/>
      <c r="GS148" s="93"/>
      <c r="GT148" s="93"/>
      <c r="GU148" s="93"/>
      <c r="GV148" s="93"/>
      <c r="GW148" s="93"/>
      <c r="GX148" s="93"/>
      <c r="GY148" s="93"/>
      <c r="GZ148" s="93"/>
      <c r="HA148" s="93"/>
      <c r="HB148" s="93"/>
      <c r="HC148" s="93"/>
      <c r="HD148" s="93"/>
      <c r="HE148" s="93"/>
      <c r="HF148" s="93"/>
      <c r="HG148" s="93"/>
    </row>
    <row r="149" spans="14:215" x14ac:dyDescent="0.2">
      <c r="N149" s="93" t="s">
        <v>266</v>
      </c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>
        <v>0.3303834808259587</v>
      </c>
      <c r="BB149" s="93"/>
      <c r="BC149" s="93"/>
      <c r="BD149" s="93"/>
      <c r="BE149" s="93"/>
      <c r="BF149" s="93"/>
      <c r="BG149" s="93"/>
      <c r="BH149" s="93"/>
      <c r="BI149" s="93"/>
      <c r="BJ149" s="93"/>
      <c r="BK149" s="93"/>
      <c r="BL149" s="93"/>
      <c r="BM149" s="93"/>
      <c r="BN149" s="93"/>
      <c r="BO149" s="93"/>
      <c r="BP149" s="93"/>
      <c r="BQ149" s="93"/>
      <c r="BR149" s="93"/>
      <c r="BS149" s="93"/>
      <c r="BT149" s="93"/>
      <c r="BU149" s="93"/>
      <c r="BV149" s="93"/>
      <c r="BW149" s="93"/>
      <c r="BX149" s="93"/>
      <c r="BY149" s="93"/>
      <c r="BZ149" s="93"/>
      <c r="CA149" s="93"/>
      <c r="CB149" s="93"/>
      <c r="CC149" s="93"/>
      <c r="CD149" s="93"/>
      <c r="CE149" s="93"/>
      <c r="CF149" s="93"/>
      <c r="CG149" s="93"/>
      <c r="CH149" s="93"/>
      <c r="CI149" s="93"/>
      <c r="CJ149" s="93"/>
      <c r="CK149" s="93"/>
      <c r="CL149" s="93"/>
      <c r="CM149" s="93"/>
      <c r="CN149" s="93"/>
      <c r="CO149" s="93"/>
      <c r="CP149" s="93"/>
      <c r="CQ149" s="93"/>
      <c r="CR149" s="93"/>
      <c r="CS149" s="93"/>
      <c r="CT149" s="93"/>
      <c r="CU149" s="93"/>
      <c r="CV149" s="93"/>
      <c r="CW149" s="93"/>
      <c r="CX149" s="93"/>
      <c r="CY149" s="93"/>
      <c r="CZ149" s="93"/>
      <c r="DA149" s="93"/>
      <c r="DB149" s="93"/>
      <c r="DC149" s="93"/>
      <c r="DD149" s="93"/>
      <c r="DE149" s="93"/>
      <c r="DF149" s="93"/>
      <c r="DG149" s="93"/>
      <c r="DH149" s="93"/>
      <c r="DI149" s="93"/>
      <c r="DJ149" s="93"/>
      <c r="DK149" s="93"/>
      <c r="DL149" s="93"/>
      <c r="DM149" s="93"/>
      <c r="DN149" s="93"/>
      <c r="DO149" s="93"/>
      <c r="DP149" s="93"/>
      <c r="DQ149" s="93"/>
      <c r="DR149" s="93"/>
      <c r="DS149" s="93"/>
      <c r="DT149" s="93"/>
      <c r="DU149" s="93"/>
      <c r="DV149" s="93"/>
      <c r="DW149" s="93"/>
      <c r="DX149" s="93"/>
      <c r="DY149" s="93"/>
      <c r="DZ149" s="93"/>
      <c r="EA149" s="93"/>
      <c r="EB149" s="93"/>
      <c r="EC149" s="93"/>
      <c r="ED149" s="93"/>
      <c r="EE149" s="93"/>
      <c r="EF149" s="93"/>
      <c r="EG149" s="93"/>
      <c r="EH149" s="93"/>
      <c r="EI149" s="93"/>
      <c r="EJ149" s="93"/>
      <c r="EK149" s="93"/>
      <c r="EL149" s="93"/>
      <c r="EM149" s="93"/>
      <c r="EN149" s="93"/>
      <c r="EO149" s="93"/>
      <c r="EP149" s="93"/>
      <c r="EQ149" s="93"/>
      <c r="ER149" s="93"/>
      <c r="ES149" s="93"/>
      <c r="ET149" s="93"/>
      <c r="EU149" s="93"/>
      <c r="EV149" s="93"/>
      <c r="EW149" s="93"/>
      <c r="EX149" s="93"/>
      <c r="EY149" s="93"/>
      <c r="EZ149" s="93"/>
      <c r="FA149" s="93"/>
      <c r="FB149" s="93"/>
      <c r="FC149" s="93"/>
      <c r="FD149" s="93"/>
      <c r="FE149" s="93"/>
      <c r="FF149" s="93"/>
      <c r="FG149" s="93"/>
      <c r="FH149" s="93"/>
      <c r="FI149" s="93"/>
      <c r="FJ149" s="93"/>
      <c r="FK149" s="93"/>
      <c r="FL149" s="93"/>
      <c r="FM149" s="93"/>
      <c r="FN149" s="93"/>
      <c r="FO149" s="93"/>
      <c r="FP149" s="93"/>
      <c r="FQ149" s="93"/>
      <c r="FR149" s="93"/>
      <c r="FS149" s="93"/>
      <c r="FT149" s="93"/>
      <c r="FU149" s="93"/>
      <c r="FV149" s="93"/>
      <c r="FW149" s="93"/>
      <c r="FX149" s="93"/>
      <c r="FY149" s="93"/>
      <c r="FZ149" s="93"/>
      <c r="GA149" s="93"/>
      <c r="GB149" s="93"/>
      <c r="GC149" s="93"/>
      <c r="GD149" s="93"/>
      <c r="GE149" s="93"/>
      <c r="GF149" s="93"/>
      <c r="GG149" s="93"/>
      <c r="GH149" s="93"/>
      <c r="GI149" s="93"/>
      <c r="GJ149" s="93"/>
      <c r="GK149" s="93"/>
      <c r="GL149" s="93"/>
      <c r="GM149" s="93"/>
      <c r="GN149" s="93"/>
      <c r="GO149" s="93"/>
      <c r="GP149" s="93"/>
      <c r="GQ149" s="93"/>
      <c r="GR149" s="93"/>
      <c r="GS149" s="93"/>
      <c r="GT149" s="93"/>
      <c r="GU149" s="93"/>
      <c r="GV149" s="93"/>
      <c r="GW149" s="93"/>
      <c r="GX149" s="93"/>
      <c r="GY149" s="93"/>
      <c r="GZ149" s="93"/>
      <c r="HA149" s="93"/>
      <c r="HB149" s="93"/>
      <c r="HC149" s="93"/>
      <c r="HD149" s="93"/>
      <c r="HE149" s="93"/>
      <c r="HF149" s="93"/>
      <c r="HG149" s="93"/>
    </row>
    <row r="150" spans="14:215" x14ac:dyDescent="0.2">
      <c r="N150" s="93" t="s">
        <v>267</v>
      </c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3"/>
      <c r="AW150" s="93"/>
      <c r="AX150" s="93"/>
      <c r="AY150" s="93"/>
      <c r="AZ150" s="93"/>
      <c r="BA150" s="93"/>
      <c r="BB150" s="93">
        <v>0.33045977011494254</v>
      </c>
      <c r="BC150" s="93"/>
      <c r="BD150" s="93"/>
      <c r="BE150" s="93"/>
      <c r="BF150" s="93"/>
      <c r="BG150" s="93"/>
      <c r="BH150" s="93"/>
      <c r="BI150" s="93"/>
      <c r="BJ150" s="93"/>
      <c r="BK150" s="93"/>
      <c r="BL150" s="93"/>
      <c r="BM150" s="93"/>
      <c r="BN150" s="93"/>
      <c r="BO150" s="93"/>
      <c r="BP150" s="93"/>
      <c r="BQ150" s="93"/>
      <c r="BR150" s="93"/>
      <c r="BS150" s="93"/>
      <c r="BT150" s="93"/>
      <c r="BU150" s="93"/>
      <c r="BV150" s="93"/>
      <c r="BW150" s="93"/>
      <c r="BX150" s="93"/>
      <c r="BY150" s="93"/>
      <c r="BZ150" s="93"/>
      <c r="CA150" s="93"/>
      <c r="CB150" s="93"/>
      <c r="CC150" s="93"/>
      <c r="CD150" s="93"/>
      <c r="CE150" s="93"/>
      <c r="CF150" s="93"/>
      <c r="CG150" s="93"/>
      <c r="CH150" s="93"/>
      <c r="CI150" s="93"/>
      <c r="CJ150" s="93"/>
      <c r="CK150" s="93"/>
      <c r="CL150" s="93"/>
      <c r="CM150" s="93"/>
      <c r="CN150" s="93"/>
      <c r="CO150" s="93"/>
      <c r="CP150" s="93"/>
      <c r="CQ150" s="93"/>
      <c r="CR150" s="93"/>
      <c r="CS150" s="93"/>
      <c r="CT150" s="93"/>
      <c r="CU150" s="93"/>
      <c r="CV150" s="93"/>
      <c r="CW150" s="93"/>
      <c r="CX150" s="93"/>
      <c r="CY150" s="93"/>
      <c r="CZ150" s="93"/>
      <c r="DA150" s="93"/>
      <c r="DB150" s="93"/>
      <c r="DC150" s="93"/>
      <c r="DD150" s="93"/>
      <c r="DE150" s="93"/>
      <c r="DF150" s="93"/>
      <c r="DG150" s="93"/>
      <c r="DH150" s="93"/>
      <c r="DI150" s="93"/>
      <c r="DJ150" s="93"/>
      <c r="DK150" s="93"/>
      <c r="DL150" s="93"/>
      <c r="DM150" s="93"/>
      <c r="DN150" s="93"/>
      <c r="DO150" s="93"/>
      <c r="DP150" s="93"/>
      <c r="DQ150" s="93"/>
      <c r="DR150" s="93"/>
      <c r="DS150" s="93"/>
      <c r="DT150" s="93"/>
      <c r="DU150" s="93"/>
      <c r="DV150" s="93"/>
      <c r="DW150" s="93"/>
      <c r="DX150" s="93"/>
      <c r="DY150" s="93"/>
      <c r="DZ150" s="93"/>
      <c r="EA150" s="93"/>
      <c r="EB150" s="93"/>
      <c r="EC150" s="93"/>
      <c r="ED150" s="93"/>
      <c r="EE150" s="93"/>
      <c r="EF150" s="93"/>
      <c r="EG150" s="93"/>
      <c r="EH150" s="93"/>
      <c r="EI150" s="93"/>
      <c r="EJ150" s="93"/>
      <c r="EK150" s="93"/>
      <c r="EL150" s="93"/>
      <c r="EM150" s="93"/>
      <c r="EN150" s="93"/>
      <c r="EO150" s="93"/>
      <c r="EP150" s="93"/>
      <c r="EQ150" s="93"/>
      <c r="ER150" s="93"/>
      <c r="ES150" s="93"/>
      <c r="ET150" s="93"/>
      <c r="EU150" s="93"/>
      <c r="EV150" s="93"/>
      <c r="EW150" s="93"/>
      <c r="EX150" s="93"/>
      <c r="EY150" s="93"/>
      <c r="EZ150" s="93"/>
      <c r="FA150" s="93"/>
      <c r="FB150" s="93"/>
      <c r="FC150" s="93"/>
      <c r="FD150" s="93"/>
      <c r="FE150" s="93"/>
      <c r="FF150" s="93"/>
      <c r="FG150" s="93"/>
      <c r="FH150" s="93"/>
      <c r="FI150" s="93"/>
      <c r="FJ150" s="93"/>
      <c r="FK150" s="93"/>
      <c r="FL150" s="93"/>
      <c r="FM150" s="93"/>
      <c r="FN150" s="93"/>
      <c r="FO150" s="93"/>
      <c r="FP150" s="93"/>
      <c r="FQ150" s="93"/>
      <c r="FR150" s="93"/>
      <c r="FS150" s="93"/>
      <c r="FT150" s="93"/>
      <c r="FU150" s="93"/>
      <c r="FV150" s="93"/>
      <c r="FW150" s="93"/>
      <c r="FX150" s="93"/>
      <c r="FY150" s="93"/>
      <c r="FZ150" s="93"/>
      <c r="GA150" s="93"/>
      <c r="GB150" s="93"/>
      <c r="GC150" s="93"/>
      <c r="GD150" s="93"/>
      <c r="GE150" s="93"/>
      <c r="GF150" s="93"/>
      <c r="GG150" s="93"/>
      <c r="GH150" s="93"/>
      <c r="GI150" s="93"/>
      <c r="GJ150" s="93"/>
      <c r="GK150" s="93"/>
      <c r="GL150" s="93"/>
      <c r="GM150" s="93"/>
      <c r="GN150" s="93"/>
      <c r="GO150" s="93"/>
      <c r="GP150" s="93"/>
      <c r="GQ150" s="93"/>
      <c r="GR150" s="93"/>
      <c r="GS150" s="93"/>
      <c r="GT150" s="93"/>
      <c r="GU150" s="93"/>
      <c r="GV150" s="93"/>
      <c r="GW150" s="93"/>
      <c r="GX150" s="93"/>
      <c r="GY150" s="93"/>
      <c r="GZ150" s="93"/>
      <c r="HA150" s="93"/>
      <c r="HB150" s="93"/>
      <c r="HC150" s="93"/>
      <c r="HD150" s="93"/>
      <c r="HE150" s="93"/>
      <c r="HF150" s="93"/>
      <c r="HG150" s="93"/>
    </row>
    <row r="151" spans="14:215" x14ac:dyDescent="0.2">
      <c r="N151" s="93" t="s">
        <v>268</v>
      </c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>
        <v>0.33053221288515405</v>
      </c>
      <c r="BD151" s="93"/>
      <c r="BE151" s="93"/>
      <c r="BF151" s="93"/>
      <c r="BG151" s="93"/>
      <c r="BH151" s="93"/>
      <c r="BI151" s="93"/>
      <c r="BJ151" s="93"/>
      <c r="BK151" s="93"/>
      <c r="BL151" s="93"/>
      <c r="BM151" s="93"/>
      <c r="BN151" s="93"/>
      <c r="BO151" s="93"/>
      <c r="BP151" s="93"/>
      <c r="BQ151" s="93"/>
      <c r="BR151" s="93"/>
      <c r="BS151" s="93"/>
      <c r="BT151" s="93"/>
      <c r="BU151" s="93"/>
      <c r="BV151" s="93"/>
      <c r="BW151" s="93"/>
      <c r="BX151" s="93"/>
      <c r="BY151" s="93"/>
      <c r="BZ151" s="93"/>
      <c r="CA151" s="93"/>
      <c r="CB151" s="93"/>
      <c r="CC151" s="93"/>
      <c r="CD151" s="93"/>
      <c r="CE151" s="93"/>
      <c r="CF151" s="93"/>
      <c r="CG151" s="93"/>
      <c r="CH151" s="93"/>
      <c r="CI151" s="93"/>
      <c r="CJ151" s="93"/>
      <c r="CK151" s="93"/>
      <c r="CL151" s="93"/>
      <c r="CM151" s="93"/>
      <c r="CN151" s="93"/>
      <c r="CO151" s="93"/>
      <c r="CP151" s="93"/>
      <c r="CQ151" s="93"/>
      <c r="CR151" s="93"/>
      <c r="CS151" s="93"/>
      <c r="CT151" s="93"/>
      <c r="CU151" s="93"/>
      <c r="CV151" s="93"/>
      <c r="CW151" s="93"/>
      <c r="CX151" s="93"/>
      <c r="CY151" s="93"/>
      <c r="CZ151" s="93"/>
      <c r="DA151" s="93"/>
      <c r="DB151" s="93"/>
      <c r="DC151" s="93"/>
      <c r="DD151" s="93"/>
      <c r="DE151" s="93"/>
      <c r="DF151" s="93"/>
      <c r="DG151" s="93"/>
      <c r="DH151" s="93"/>
      <c r="DI151" s="93"/>
      <c r="DJ151" s="93"/>
      <c r="DK151" s="93"/>
      <c r="DL151" s="93"/>
      <c r="DM151" s="93"/>
      <c r="DN151" s="93"/>
      <c r="DO151" s="93"/>
      <c r="DP151" s="93"/>
      <c r="DQ151" s="93"/>
      <c r="DR151" s="93"/>
      <c r="DS151" s="93"/>
      <c r="DT151" s="93"/>
      <c r="DU151" s="93"/>
      <c r="DV151" s="93"/>
      <c r="DW151" s="93"/>
      <c r="DX151" s="93"/>
      <c r="DY151" s="93"/>
      <c r="DZ151" s="93"/>
      <c r="EA151" s="93"/>
      <c r="EB151" s="93"/>
      <c r="EC151" s="93"/>
      <c r="ED151" s="93"/>
      <c r="EE151" s="93"/>
      <c r="EF151" s="93"/>
      <c r="EG151" s="93"/>
      <c r="EH151" s="93"/>
      <c r="EI151" s="93"/>
      <c r="EJ151" s="93"/>
      <c r="EK151" s="93"/>
      <c r="EL151" s="93"/>
      <c r="EM151" s="93"/>
      <c r="EN151" s="93"/>
      <c r="EO151" s="93"/>
      <c r="EP151" s="93"/>
      <c r="EQ151" s="93"/>
      <c r="ER151" s="93"/>
      <c r="ES151" s="93"/>
      <c r="ET151" s="93"/>
      <c r="EU151" s="93"/>
      <c r="EV151" s="93"/>
      <c r="EW151" s="93"/>
      <c r="EX151" s="93"/>
      <c r="EY151" s="93"/>
      <c r="EZ151" s="93"/>
      <c r="FA151" s="93"/>
      <c r="FB151" s="93"/>
      <c r="FC151" s="93"/>
      <c r="FD151" s="93"/>
      <c r="FE151" s="93"/>
      <c r="FF151" s="93"/>
      <c r="FG151" s="93"/>
      <c r="FH151" s="93"/>
      <c r="FI151" s="93"/>
      <c r="FJ151" s="93"/>
      <c r="FK151" s="93"/>
      <c r="FL151" s="93"/>
      <c r="FM151" s="93"/>
      <c r="FN151" s="93"/>
      <c r="FO151" s="93"/>
      <c r="FP151" s="93"/>
      <c r="FQ151" s="93"/>
      <c r="FR151" s="93"/>
      <c r="FS151" s="93"/>
      <c r="FT151" s="93"/>
      <c r="FU151" s="93"/>
      <c r="FV151" s="93"/>
      <c r="FW151" s="93"/>
      <c r="FX151" s="93"/>
      <c r="FY151" s="93"/>
      <c r="FZ151" s="93"/>
      <c r="GA151" s="93"/>
      <c r="GB151" s="93"/>
      <c r="GC151" s="93"/>
      <c r="GD151" s="93"/>
      <c r="GE151" s="93"/>
      <c r="GF151" s="93"/>
      <c r="GG151" s="93"/>
      <c r="GH151" s="93"/>
      <c r="GI151" s="93"/>
      <c r="GJ151" s="93"/>
      <c r="GK151" s="93"/>
      <c r="GL151" s="93"/>
      <c r="GM151" s="93"/>
      <c r="GN151" s="93"/>
      <c r="GO151" s="93"/>
      <c r="GP151" s="93"/>
      <c r="GQ151" s="93"/>
      <c r="GR151" s="93"/>
      <c r="GS151" s="93"/>
      <c r="GT151" s="93"/>
      <c r="GU151" s="93"/>
      <c r="GV151" s="93"/>
      <c r="GW151" s="93"/>
      <c r="GX151" s="93"/>
      <c r="GY151" s="93"/>
      <c r="GZ151" s="93"/>
      <c r="HA151" s="93"/>
      <c r="HB151" s="93"/>
      <c r="HC151" s="93"/>
      <c r="HD151" s="93"/>
      <c r="HE151" s="93"/>
      <c r="HF151" s="93"/>
      <c r="HG151" s="93"/>
    </row>
    <row r="152" spans="14:215" x14ac:dyDescent="0.2">
      <c r="N152" s="93" t="s">
        <v>269</v>
      </c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>
        <v>0.33060109289617484</v>
      </c>
      <c r="BE152" s="93"/>
      <c r="BF152" s="93"/>
      <c r="BG152" s="93"/>
      <c r="BH152" s="93"/>
      <c r="BI152" s="93"/>
      <c r="BJ152" s="93"/>
      <c r="BK152" s="93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3"/>
      <c r="CP152" s="93"/>
      <c r="CQ152" s="93"/>
      <c r="CR152" s="93"/>
      <c r="CS152" s="93"/>
      <c r="CT152" s="93"/>
      <c r="CU152" s="93"/>
      <c r="CV152" s="93"/>
      <c r="CW152" s="93"/>
      <c r="CX152" s="93"/>
      <c r="CY152" s="93"/>
      <c r="CZ152" s="93"/>
      <c r="DA152" s="93"/>
      <c r="DB152" s="93"/>
      <c r="DC152" s="93"/>
      <c r="DD152" s="93"/>
      <c r="DE152" s="93"/>
      <c r="DF152" s="93"/>
      <c r="DG152" s="93"/>
      <c r="DH152" s="93"/>
      <c r="DI152" s="93"/>
      <c r="DJ152" s="93"/>
      <c r="DK152" s="93"/>
      <c r="DL152" s="93"/>
      <c r="DM152" s="93"/>
      <c r="DN152" s="93"/>
      <c r="DO152" s="93"/>
      <c r="DP152" s="93"/>
      <c r="DQ152" s="93"/>
      <c r="DR152" s="93"/>
      <c r="DS152" s="93"/>
      <c r="DT152" s="93"/>
      <c r="DU152" s="93"/>
      <c r="DV152" s="93"/>
      <c r="DW152" s="93"/>
      <c r="DX152" s="93"/>
      <c r="DY152" s="93"/>
      <c r="DZ152" s="93"/>
      <c r="EA152" s="93"/>
      <c r="EB152" s="93"/>
      <c r="EC152" s="93"/>
      <c r="ED152" s="93"/>
      <c r="EE152" s="93"/>
      <c r="EF152" s="93"/>
      <c r="EG152" s="93"/>
      <c r="EH152" s="93"/>
      <c r="EI152" s="93"/>
      <c r="EJ152" s="93"/>
      <c r="EK152" s="93"/>
      <c r="EL152" s="93"/>
      <c r="EM152" s="93"/>
      <c r="EN152" s="93"/>
      <c r="EO152" s="93"/>
      <c r="EP152" s="93"/>
      <c r="EQ152" s="93"/>
      <c r="ER152" s="93"/>
      <c r="ES152" s="93"/>
      <c r="ET152" s="93"/>
      <c r="EU152" s="93"/>
      <c r="EV152" s="93"/>
      <c r="EW152" s="93"/>
      <c r="EX152" s="93"/>
      <c r="EY152" s="93"/>
      <c r="EZ152" s="93"/>
      <c r="FA152" s="93"/>
      <c r="FB152" s="93"/>
      <c r="FC152" s="93"/>
      <c r="FD152" s="93"/>
      <c r="FE152" s="93"/>
      <c r="FF152" s="93"/>
      <c r="FG152" s="93"/>
      <c r="FH152" s="93"/>
      <c r="FI152" s="93"/>
      <c r="FJ152" s="93"/>
      <c r="FK152" s="93"/>
      <c r="FL152" s="93"/>
      <c r="FM152" s="93"/>
      <c r="FN152" s="93"/>
      <c r="FO152" s="93"/>
      <c r="FP152" s="93"/>
      <c r="FQ152" s="93"/>
      <c r="FR152" s="93"/>
      <c r="FS152" s="93"/>
      <c r="FT152" s="93"/>
      <c r="FU152" s="93"/>
      <c r="FV152" s="93"/>
      <c r="FW152" s="93"/>
      <c r="FX152" s="93"/>
      <c r="FY152" s="93"/>
      <c r="FZ152" s="93"/>
      <c r="GA152" s="93"/>
      <c r="GB152" s="93"/>
      <c r="GC152" s="93"/>
      <c r="GD152" s="93"/>
      <c r="GE152" s="93"/>
      <c r="GF152" s="93"/>
      <c r="GG152" s="93"/>
      <c r="GH152" s="93"/>
      <c r="GI152" s="93"/>
      <c r="GJ152" s="93"/>
      <c r="GK152" s="93"/>
      <c r="GL152" s="93"/>
      <c r="GM152" s="93"/>
      <c r="GN152" s="93"/>
      <c r="GO152" s="93"/>
      <c r="GP152" s="93"/>
      <c r="GQ152" s="93"/>
      <c r="GR152" s="93"/>
      <c r="GS152" s="93"/>
      <c r="GT152" s="93"/>
      <c r="GU152" s="93"/>
      <c r="GV152" s="93"/>
      <c r="GW152" s="93"/>
      <c r="GX152" s="93"/>
      <c r="GY152" s="93"/>
      <c r="GZ152" s="93"/>
      <c r="HA152" s="93"/>
      <c r="HB152" s="93"/>
      <c r="HC152" s="93"/>
      <c r="HD152" s="93"/>
      <c r="HE152" s="93"/>
      <c r="HF152" s="93"/>
      <c r="HG152" s="93"/>
    </row>
    <row r="153" spans="14:215" x14ac:dyDescent="0.2">
      <c r="N153" s="93" t="s">
        <v>270</v>
      </c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>
        <v>0.33066666666666666</v>
      </c>
      <c r="BF153" s="93"/>
      <c r="BG153" s="93"/>
      <c r="BH153" s="93"/>
      <c r="BI153" s="93"/>
      <c r="BJ153" s="93"/>
      <c r="BK153" s="93"/>
      <c r="BL153" s="93"/>
      <c r="BM153" s="93"/>
      <c r="BN153" s="93"/>
      <c r="BO153" s="93"/>
      <c r="BP153" s="93"/>
      <c r="BQ153" s="93"/>
      <c r="BR153" s="93"/>
      <c r="BS153" s="93"/>
      <c r="BT153" s="93"/>
      <c r="BU153" s="93"/>
      <c r="BV153" s="93"/>
      <c r="BW153" s="93"/>
      <c r="BX153" s="93"/>
      <c r="BY153" s="93"/>
      <c r="BZ153" s="93"/>
      <c r="CA153" s="93"/>
      <c r="CB153" s="93"/>
      <c r="CC153" s="93"/>
      <c r="CD153" s="93"/>
      <c r="CE153" s="93"/>
      <c r="CF153" s="93"/>
      <c r="CG153" s="93"/>
      <c r="CH153" s="93"/>
      <c r="CI153" s="93"/>
      <c r="CJ153" s="93"/>
      <c r="CK153" s="93"/>
      <c r="CL153" s="93"/>
      <c r="CM153" s="93"/>
      <c r="CN153" s="93"/>
      <c r="CO153" s="93"/>
      <c r="CP153" s="93"/>
      <c r="CQ153" s="93"/>
      <c r="CR153" s="93"/>
      <c r="CS153" s="93"/>
      <c r="CT153" s="93"/>
      <c r="CU153" s="93"/>
      <c r="CV153" s="93"/>
      <c r="CW153" s="93"/>
      <c r="CX153" s="93"/>
      <c r="CY153" s="93"/>
      <c r="CZ153" s="93"/>
      <c r="DA153" s="93"/>
      <c r="DB153" s="93"/>
      <c r="DC153" s="93"/>
      <c r="DD153" s="93"/>
      <c r="DE153" s="93"/>
      <c r="DF153" s="93"/>
      <c r="DG153" s="93"/>
      <c r="DH153" s="93"/>
      <c r="DI153" s="93"/>
      <c r="DJ153" s="93"/>
      <c r="DK153" s="93"/>
      <c r="DL153" s="93"/>
      <c r="DM153" s="93"/>
      <c r="DN153" s="93"/>
      <c r="DO153" s="93"/>
      <c r="DP153" s="93"/>
      <c r="DQ153" s="93"/>
      <c r="DR153" s="93"/>
      <c r="DS153" s="93"/>
      <c r="DT153" s="93"/>
      <c r="DU153" s="93"/>
      <c r="DV153" s="93"/>
      <c r="DW153" s="93"/>
      <c r="DX153" s="93"/>
      <c r="DY153" s="93"/>
      <c r="DZ153" s="93"/>
      <c r="EA153" s="93"/>
      <c r="EB153" s="93"/>
      <c r="EC153" s="93"/>
      <c r="ED153" s="93"/>
      <c r="EE153" s="93"/>
      <c r="EF153" s="93"/>
      <c r="EG153" s="93"/>
      <c r="EH153" s="93"/>
      <c r="EI153" s="93"/>
      <c r="EJ153" s="93"/>
      <c r="EK153" s="93"/>
      <c r="EL153" s="93"/>
      <c r="EM153" s="93"/>
      <c r="EN153" s="93"/>
      <c r="EO153" s="93"/>
      <c r="EP153" s="93"/>
      <c r="EQ153" s="93"/>
      <c r="ER153" s="93"/>
      <c r="ES153" s="93"/>
      <c r="ET153" s="93"/>
      <c r="EU153" s="93"/>
      <c r="EV153" s="93"/>
      <c r="EW153" s="93"/>
      <c r="EX153" s="93"/>
      <c r="EY153" s="93"/>
      <c r="EZ153" s="93"/>
      <c r="FA153" s="93"/>
      <c r="FB153" s="93"/>
      <c r="FC153" s="93"/>
      <c r="FD153" s="93"/>
      <c r="FE153" s="93"/>
      <c r="FF153" s="93"/>
      <c r="FG153" s="93"/>
      <c r="FH153" s="93"/>
      <c r="FI153" s="93"/>
      <c r="FJ153" s="93"/>
      <c r="FK153" s="93"/>
      <c r="FL153" s="93"/>
      <c r="FM153" s="93"/>
      <c r="FN153" s="93"/>
      <c r="FO153" s="93"/>
      <c r="FP153" s="93"/>
      <c r="FQ153" s="93"/>
      <c r="FR153" s="93"/>
      <c r="FS153" s="93"/>
      <c r="FT153" s="93"/>
      <c r="FU153" s="93"/>
      <c r="FV153" s="93"/>
      <c r="FW153" s="93"/>
      <c r="FX153" s="93"/>
      <c r="FY153" s="93"/>
      <c r="FZ153" s="93"/>
      <c r="GA153" s="93"/>
      <c r="GB153" s="93"/>
      <c r="GC153" s="93"/>
      <c r="GD153" s="93"/>
      <c r="GE153" s="93"/>
      <c r="GF153" s="93"/>
      <c r="GG153" s="93"/>
      <c r="GH153" s="93"/>
      <c r="GI153" s="93"/>
      <c r="GJ153" s="93"/>
      <c r="GK153" s="93"/>
      <c r="GL153" s="93"/>
      <c r="GM153" s="93"/>
      <c r="GN153" s="93"/>
      <c r="GO153" s="93"/>
      <c r="GP153" s="93"/>
      <c r="GQ153" s="93"/>
      <c r="GR153" s="93"/>
      <c r="GS153" s="93"/>
      <c r="GT153" s="93"/>
      <c r="GU153" s="93"/>
      <c r="GV153" s="93"/>
      <c r="GW153" s="93"/>
      <c r="GX153" s="93"/>
      <c r="GY153" s="93"/>
      <c r="GZ153" s="93"/>
      <c r="HA153" s="93"/>
      <c r="HB153" s="93"/>
      <c r="HC153" s="93"/>
      <c r="HD153" s="93"/>
      <c r="HE153" s="93"/>
      <c r="HF153" s="93"/>
      <c r="HG153" s="93"/>
    </row>
    <row r="154" spans="14:215" x14ac:dyDescent="0.2">
      <c r="N154" s="93" t="s">
        <v>271</v>
      </c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3"/>
      <c r="AW154" s="93"/>
      <c r="AX154" s="93"/>
      <c r="AY154" s="93"/>
      <c r="AZ154" s="93"/>
      <c r="BA154" s="93"/>
      <c r="BB154" s="93"/>
      <c r="BC154" s="93"/>
      <c r="BD154" s="93"/>
      <c r="BE154" s="93"/>
      <c r="BF154" s="93">
        <v>0.33072916666666669</v>
      </c>
      <c r="BG154" s="93"/>
      <c r="BH154" s="93"/>
      <c r="BI154" s="93"/>
      <c r="BJ154" s="93"/>
      <c r="BK154" s="93"/>
      <c r="BL154" s="93"/>
      <c r="BM154" s="93"/>
      <c r="BN154" s="93"/>
      <c r="BO154" s="93"/>
      <c r="BP154" s="93"/>
      <c r="BQ154" s="93"/>
      <c r="BR154" s="93"/>
      <c r="BS154" s="93"/>
      <c r="BT154" s="93"/>
      <c r="BU154" s="93"/>
      <c r="BV154" s="93"/>
      <c r="BW154" s="93"/>
      <c r="BX154" s="93"/>
      <c r="BY154" s="93"/>
      <c r="BZ154" s="93"/>
      <c r="CA154" s="93"/>
      <c r="CB154" s="93"/>
      <c r="CC154" s="93"/>
      <c r="CD154" s="93"/>
      <c r="CE154" s="93"/>
      <c r="CF154" s="93"/>
      <c r="CG154" s="93"/>
      <c r="CH154" s="93"/>
      <c r="CI154" s="93"/>
      <c r="CJ154" s="93"/>
      <c r="CK154" s="93"/>
      <c r="CL154" s="93"/>
      <c r="CM154" s="93"/>
      <c r="CN154" s="93"/>
      <c r="CO154" s="93"/>
      <c r="CP154" s="93"/>
      <c r="CQ154" s="93"/>
      <c r="CR154" s="93"/>
      <c r="CS154" s="93"/>
      <c r="CT154" s="93"/>
      <c r="CU154" s="93"/>
      <c r="CV154" s="93"/>
      <c r="CW154" s="93"/>
      <c r="CX154" s="93"/>
      <c r="CY154" s="93"/>
      <c r="CZ154" s="93"/>
      <c r="DA154" s="93"/>
      <c r="DB154" s="93"/>
      <c r="DC154" s="93"/>
      <c r="DD154" s="93"/>
      <c r="DE154" s="93"/>
      <c r="DF154" s="93"/>
      <c r="DG154" s="93"/>
      <c r="DH154" s="93"/>
      <c r="DI154" s="93"/>
      <c r="DJ154" s="93"/>
      <c r="DK154" s="93"/>
      <c r="DL154" s="93"/>
      <c r="DM154" s="93"/>
      <c r="DN154" s="93"/>
      <c r="DO154" s="93"/>
      <c r="DP154" s="93"/>
      <c r="DQ154" s="93"/>
      <c r="DR154" s="93"/>
      <c r="DS154" s="93"/>
      <c r="DT154" s="93"/>
      <c r="DU154" s="93"/>
      <c r="DV154" s="93"/>
      <c r="DW154" s="93"/>
      <c r="DX154" s="93"/>
      <c r="DY154" s="93"/>
      <c r="DZ154" s="93"/>
      <c r="EA154" s="93"/>
      <c r="EB154" s="93"/>
      <c r="EC154" s="93"/>
      <c r="ED154" s="93"/>
      <c r="EE154" s="93"/>
      <c r="EF154" s="93"/>
      <c r="EG154" s="93"/>
      <c r="EH154" s="93"/>
      <c r="EI154" s="93"/>
      <c r="EJ154" s="93"/>
      <c r="EK154" s="93"/>
      <c r="EL154" s="93"/>
      <c r="EM154" s="93"/>
      <c r="EN154" s="93"/>
      <c r="EO154" s="93"/>
      <c r="EP154" s="93"/>
      <c r="EQ154" s="93"/>
      <c r="ER154" s="93"/>
      <c r="ES154" s="93"/>
      <c r="ET154" s="93"/>
      <c r="EU154" s="93"/>
      <c r="EV154" s="93"/>
      <c r="EW154" s="93"/>
      <c r="EX154" s="93"/>
      <c r="EY154" s="93"/>
      <c r="EZ154" s="93"/>
      <c r="FA154" s="93"/>
      <c r="FB154" s="93"/>
      <c r="FC154" s="93"/>
      <c r="FD154" s="93"/>
      <c r="FE154" s="93"/>
      <c r="FF154" s="93"/>
      <c r="FG154" s="93"/>
      <c r="FH154" s="93"/>
      <c r="FI154" s="93"/>
      <c r="FJ154" s="93"/>
      <c r="FK154" s="93"/>
      <c r="FL154" s="93"/>
      <c r="FM154" s="93"/>
      <c r="FN154" s="93"/>
      <c r="FO154" s="93"/>
      <c r="FP154" s="93"/>
      <c r="FQ154" s="93"/>
      <c r="FR154" s="93"/>
      <c r="FS154" s="93"/>
      <c r="FT154" s="93"/>
      <c r="FU154" s="93"/>
      <c r="FV154" s="93"/>
      <c r="FW154" s="93"/>
      <c r="FX154" s="93"/>
      <c r="FY154" s="93"/>
      <c r="FZ154" s="93"/>
      <c r="GA154" s="93"/>
      <c r="GB154" s="93"/>
      <c r="GC154" s="93"/>
      <c r="GD154" s="93"/>
      <c r="GE154" s="93"/>
      <c r="GF154" s="93"/>
      <c r="GG154" s="93"/>
      <c r="GH154" s="93"/>
      <c r="GI154" s="93"/>
      <c r="GJ154" s="93"/>
      <c r="GK154" s="93"/>
      <c r="GL154" s="93"/>
      <c r="GM154" s="93"/>
      <c r="GN154" s="93"/>
      <c r="GO154" s="93"/>
      <c r="GP154" s="93"/>
      <c r="GQ154" s="93"/>
      <c r="GR154" s="93"/>
      <c r="GS154" s="93"/>
      <c r="GT154" s="93"/>
      <c r="GU154" s="93"/>
      <c r="GV154" s="93"/>
      <c r="GW154" s="93"/>
      <c r="GX154" s="93"/>
      <c r="GY154" s="93"/>
      <c r="GZ154" s="93"/>
      <c r="HA154" s="93"/>
      <c r="HB154" s="93"/>
      <c r="HC154" s="93"/>
      <c r="HD154" s="93"/>
      <c r="HE154" s="93"/>
      <c r="HF154" s="93"/>
      <c r="HG154" s="93"/>
    </row>
    <row r="155" spans="14:215" x14ac:dyDescent="0.2">
      <c r="N155" s="93" t="s">
        <v>272</v>
      </c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>
        <v>0.33078880407124683</v>
      </c>
      <c r="BH155" s="93"/>
      <c r="BI155" s="93"/>
      <c r="BJ155" s="93"/>
      <c r="BK155" s="93"/>
      <c r="BL155" s="93"/>
      <c r="BM155" s="93"/>
      <c r="BN155" s="93"/>
      <c r="BO155" s="93"/>
      <c r="BP155" s="93"/>
      <c r="BQ155" s="93"/>
      <c r="BR155" s="93"/>
      <c r="BS155" s="93"/>
      <c r="BT155" s="93"/>
      <c r="BU155" s="93"/>
      <c r="BV155" s="93"/>
      <c r="BW155" s="93"/>
      <c r="BX155" s="93"/>
      <c r="BY155" s="93"/>
      <c r="BZ155" s="93"/>
      <c r="CA155" s="93"/>
      <c r="CB155" s="93"/>
      <c r="CC155" s="93"/>
      <c r="CD155" s="93"/>
      <c r="CE155" s="93"/>
      <c r="CF155" s="93"/>
      <c r="CG155" s="93"/>
      <c r="CH155" s="93"/>
      <c r="CI155" s="93"/>
      <c r="CJ155" s="93"/>
      <c r="CK155" s="93"/>
      <c r="CL155" s="93"/>
      <c r="CM155" s="93"/>
      <c r="CN155" s="93"/>
      <c r="CO155" s="93"/>
      <c r="CP155" s="93"/>
      <c r="CQ155" s="93"/>
      <c r="CR155" s="93"/>
      <c r="CS155" s="93"/>
      <c r="CT155" s="93"/>
      <c r="CU155" s="93"/>
      <c r="CV155" s="93"/>
      <c r="CW155" s="93"/>
      <c r="CX155" s="93"/>
      <c r="CY155" s="93"/>
      <c r="CZ155" s="93"/>
      <c r="DA155" s="93"/>
      <c r="DB155" s="93"/>
      <c r="DC155" s="93"/>
      <c r="DD155" s="93"/>
      <c r="DE155" s="93"/>
      <c r="DF155" s="93"/>
      <c r="DG155" s="93"/>
      <c r="DH155" s="93"/>
      <c r="DI155" s="93"/>
      <c r="DJ155" s="93"/>
      <c r="DK155" s="93"/>
      <c r="DL155" s="93"/>
      <c r="DM155" s="93"/>
      <c r="DN155" s="93"/>
      <c r="DO155" s="93"/>
      <c r="DP155" s="93"/>
      <c r="DQ155" s="93"/>
      <c r="DR155" s="93"/>
      <c r="DS155" s="93"/>
      <c r="DT155" s="93"/>
      <c r="DU155" s="93"/>
      <c r="DV155" s="93"/>
      <c r="DW155" s="93"/>
      <c r="DX155" s="93"/>
      <c r="DY155" s="93"/>
      <c r="DZ155" s="93"/>
      <c r="EA155" s="93"/>
      <c r="EB155" s="93"/>
      <c r="EC155" s="93"/>
      <c r="ED155" s="93"/>
      <c r="EE155" s="93"/>
      <c r="EF155" s="93"/>
      <c r="EG155" s="93"/>
      <c r="EH155" s="93"/>
      <c r="EI155" s="93"/>
      <c r="EJ155" s="93"/>
      <c r="EK155" s="93"/>
      <c r="EL155" s="93"/>
      <c r="EM155" s="93"/>
      <c r="EN155" s="93"/>
      <c r="EO155" s="93"/>
      <c r="EP155" s="93"/>
      <c r="EQ155" s="93"/>
      <c r="ER155" s="93"/>
      <c r="ES155" s="93"/>
      <c r="ET155" s="93"/>
      <c r="EU155" s="93"/>
      <c r="EV155" s="93"/>
      <c r="EW155" s="93"/>
      <c r="EX155" s="93"/>
      <c r="EY155" s="93"/>
      <c r="EZ155" s="93"/>
      <c r="FA155" s="93"/>
      <c r="FB155" s="93"/>
      <c r="FC155" s="93"/>
      <c r="FD155" s="93"/>
      <c r="FE155" s="93"/>
      <c r="FF155" s="93"/>
      <c r="FG155" s="93"/>
      <c r="FH155" s="93"/>
      <c r="FI155" s="93"/>
      <c r="FJ155" s="93"/>
      <c r="FK155" s="93"/>
      <c r="FL155" s="93"/>
      <c r="FM155" s="93"/>
      <c r="FN155" s="93"/>
      <c r="FO155" s="93"/>
      <c r="FP155" s="93"/>
      <c r="FQ155" s="93"/>
      <c r="FR155" s="93"/>
      <c r="FS155" s="93"/>
      <c r="FT155" s="93"/>
      <c r="FU155" s="93"/>
      <c r="FV155" s="93"/>
      <c r="FW155" s="93"/>
      <c r="FX155" s="93"/>
      <c r="FY155" s="93"/>
      <c r="FZ155" s="93"/>
      <c r="GA155" s="93"/>
      <c r="GB155" s="93"/>
      <c r="GC155" s="93"/>
      <c r="GD155" s="93"/>
      <c r="GE155" s="93"/>
      <c r="GF155" s="93"/>
      <c r="GG155" s="93"/>
      <c r="GH155" s="93"/>
      <c r="GI155" s="93"/>
      <c r="GJ155" s="93"/>
      <c r="GK155" s="93"/>
      <c r="GL155" s="93"/>
      <c r="GM155" s="93"/>
      <c r="GN155" s="93"/>
      <c r="GO155" s="93"/>
      <c r="GP155" s="93"/>
      <c r="GQ155" s="93"/>
      <c r="GR155" s="93"/>
      <c r="GS155" s="93"/>
      <c r="GT155" s="93"/>
      <c r="GU155" s="93"/>
      <c r="GV155" s="93"/>
      <c r="GW155" s="93"/>
      <c r="GX155" s="93"/>
      <c r="GY155" s="93"/>
      <c r="GZ155" s="93"/>
      <c r="HA155" s="93"/>
      <c r="HB155" s="93"/>
      <c r="HC155" s="93"/>
      <c r="HD155" s="93"/>
      <c r="HE155" s="93"/>
      <c r="HF155" s="93"/>
      <c r="HG155" s="93"/>
    </row>
    <row r="156" spans="14:215" x14ac:dyDescent="0.2">
      <c r="N156" s="93" t="s">
        <v>273</v>
      </c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3"/>
      <c r="AW156" s="93"/>
      <c r="AX156" s="93"/>
      <c r="AY156" s="93"/>
      <c r="AZ156" s="93"/>
      <c r="BA156" s="93"/>
      <c r="BB156" s="93"/>
      <c r="BC156" s="93"/>
      <c r="BD156" s="93"/>
      <c r="BE156" s="93"/>
      <c r="BF156" s="93"/>
      <c r="BG156" s="93"/>
      <c r="BH156" s="93">
        <v>0.3308457711442786</v>
      </c>
      <c r="BI156" s="93"/>
      <c r="BJ156" s="93"/>
      <c r="BK156" s="93"/>
      <c r="BL156" s="93"/>
      <c r="BM156" s="93"/>
      <c r="BN156" s="93"/>
      <c r="BO156" s="93"/>
      <c r="BP156" s="93"/>
      <c r="BQ156" s="93"/>
      <c r="BR156" s="93"/>
      <c r="BS156" s="93"/>
      <c r="BT156" s="93"/>
      <c r="BU156" s="93"/>
      <c r="BV156" s="93"/>
      <c r="BW156" s="93"/>
      <c r="BX156" s="93"/>
      <c r="BY156" s="93"/>
      <c r="BZ156" s="93"/>
      <c r="CA156" s="93"/>
      <c r="CB156" s="93"/>
      <c r="CC156" s="93"/>
      <c r="CD156" s="93"/>
      <c r="CE156" s="93"/>
      <c r="CF156" s="93"/>
      <c r="CG156" s="93"/>
      <c r="CH156" s="93"/>
      <c r="CI156" s="93"/>
      <c r="CJ156" s="93"/>
      <c r="CK156" s="93"/>
      <c r="CL156" s="93"/>
      <c r="CM156" s="93"/>
      <c r="CN156" s="93"/>
      <c r="CO156" s="93"/>
      <c r="CP156" s="93"/>
      <c r="CQ156" s="93"/>
      <c r="CR156" s="93"/>
      <c r="CS156" s="93"/>
      <c r="CT156" s="93"/>
      <c r="CU156" s="93"/>
      <c r="CV156" s="93"/>
      <c r="CW156" s="93"/>
      <c r="CX156" s="93"/>
      <c r="CY156" s="93"/>
      <c r="CZ156" s="93"/>
      <c r="DA156" s="93"/>
      <c r="DB156" s="93"/>
      <c r="DC156" s="93"/>
      <c r="DD156" s="93"/>
      <c r="DE156" s="93"/>
      <c r="DF156" s="93"/>
      <c r="DG156" s="93"/>
      <c r="DH156" s="93"/>
      <c r="DI156" s="93"/>
      <c r="DJ156" s="93"/>
      <c r="DK156" s="93"/>
      <c r="DL156" s="93"/>
      <c r="DM156" s="93"/>
      <c r="DN156" s="93"/>
      <c r="DO156" s="93"/>
      <c r="DP156" s="93"/>
      <c r="DQ156" s="93"/>
      <c r="DR156" s="93"/>
      <c r="DS156" s="93"/>
      <c r="DT156" s="93"/>
      <c r="DU156" s="93"/>
      <c r="DV156" s="93"/>
      <c r="DW156" s="93"/>
      <c r="DX156" s="93"/>
      <c r="DY156" s="93"/>
      <c r="DZ156" s="93"/>
      <c r="EA156" s="93"/>
      <c r="EB156" s="93"/>
      <c r="EC156" s="93"/>
      <c r="ED156" s="93"/>
      <c r="EE156" s="93"/>
      <c r="EF156" s="93"/>
      <c r="EG156" s="93"/>
      <c r="EH156" s="93"/>
      <c r="EI156" s="93"/>
      <c r="EJ156" s="93"/>
      <c r="EK156" s="93"/>
      <c r="EL156" s="93"/>
      <c r="EM156" s="93"/>
      <c r="EN156" s="93"/>
      <c r="EO156" s="93"/>
      <c r="EP156" s="93"/>
      <c r="EQ156" s="93"/>
      <c r="ER156" s="93"/>
      <c r="ES156" s="93"/>
      <c r="ET156" s="93"/>
      <c r="EU156" s="93"/>
      <c r="EV156" s="93"/>
      <c r="EW156" s="93"/>
      <c r="EX156" s="93"/>
      <c r="EY156" s="93"/>
      <c r="EZ156" s="93"/>
      <c r="FA156" s="93"/>
      <c r="FB156" s="93"/>
      <c r="FC156" s="93"/>
      <c r="FD156" s="93"/>
      <c r="FE156" s="93"/>
      <c r="FF156" s="93"/>
      <c r="FG156" s="93"/>
      <c r="FH156" s="93"/>
      <c r="FI156" s="93"/>
      <c r="FJ156" s="93"/>
      <c r="FK156" s="93"/>
      <c r="FL156" s="93"/>
      <c r="FM156" s="93"/>
      <c r="FN156" s="93"/>
      <c r="FO156" s="93"/>
      <c r="FP156" s="93"/>
      <c r="FQ156" s="93"/>
      <c r="FR156" s="93"/>
      <c r="FS156" s="93"/>
      <c r="FT156" s="93"/>
      <c r="FU156" s="93"/>
      <c r="FV156" s="93"/>
      <c r="FW156" s="93"/>
      <c r="FX156" s="93"/>
      <c r="FY156" s="93"/>
      <c r="FZ156" s="93"/>
      <c r="GA156" s="93"/>
      <c r="GB156" s="93"/>
      <c r="GC156" s="93"/>
      <c r="GD156" s="93"/>
      <c r="GE156" s="93"/>
      <c r="GF156" s="93"/>
      <c r="GG156" s="93"/>
      <c r="GH156" s="93"/>
      <c r="GI156" s="93"/>
      <c r="GJ156" s="93"/>
      <c r="GK156" s="93"/>
      <c r="GL156" s="93"/>
      <c r="GM156" s="93"/>
      <c r="GN156" s="93"/>
      <c r="GO156" s="93"/>
      <c r="GP156" s="93"/>
      <c r="GQ156" s="93"/>
      <c r="GR156" s="93"/>
      <c r="GS156" s="93"/>
      <c r="GT156" s="93"/>
      <c r="GU156" s="93"/>
      <c r="GV156" s="93"/>
      <c r="GW156" s="93"/>
      <c r="GX156" s="93"/>
      <c r="GY156" s="93"/>
      <c r="GZ156" s="93"/>
      <c r="HA156" s="93"/>
      <c r="HB156" s="93"/>
      <c r="HC156" s="93"/>
      <c r="HD156" s="93"/>
      <c r="HE156" s="93"/>
      <c r="HF156" s="93"/>
      <c r="HG156" s="93"/>
    </row>
    <row r="157" spans="14:215" x14ac:dyDescent="0.2">
      <c r="N157" s="93" t="s">
        <v>274</v>
      </c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  <c r="BI157" s="93">
        <v>0.33090024330900242</v>
      </c>
      <c r="BJ157" s="93"/>
      <c r="BK157" s="93"/>
      <c r="BL157" s="93"/>
      <c r="BM157" s="93"/>
      <c r="BN157" s="93"/>
      <c r="BO157" s="93"/>
      <c r="BP157" s="93"/>
      <c r="BQ157" s="93"/>
      <c r="BR157" s="93"/>
      <c r="BS157" s="93"/>
      <c r="BT157" s="93"/>
      <c r="BU157" s="93"/>
      <c r="BV157" s="93"/>
      <c r="BW157" s="93"/>
      <c r="BX157" s="93"/>
      <c r="BY157" s="93"/>
      <c r="BZ157" s="93"/>
      <c r="CA157" s="93"/>
      <c r="CB157" s="93"/>
      <c r="CC157" s="93"/>
      <c r="CD157" s="93"/>
      <c r="CE157" s="93"/>
      <c r="CF157" s="93"/>
      <c r="CG157" s="93"/>
      <c r="CH157" s="93"/>
      <c r="CI157" s="93"/>
      <c r="CJ157" s="93"/>
      <c r="CK157" s="93"/>
      <c r="CL157" s="93"/>
      <c r="CM157" s="93"/>
      <c r="CN157" s="93"/>
      <c r="CO157" s="93"/>
      <c r="CP157" s="93"/>
      <c r="CQ157" s="93"/>
      <c r="CR157" s="93"/>
      <c r="CS157" s="93"/>
      <c r="CT157" s="93"/>
      <c r="CU157" s="93"/>
      <c r="CV157" s="93"/>
      <c r="CW157" s="93"/>
      <c r="CX157" s="93"/>
      <c r="CY157" s="93"/>
      <c r="CZ157" s="93"/>
      <c r="DA157" s="93"/>
      <c r="DB157" s="93"/>
      <c r="DC157" s="93"/>
      <c r="DD157" s="93"/>
      <c r="DE157" s="93"/>
      <c r="DF157" s="93"/>
      <c r="DG157" s="93"/>
      <c r="DH157" s="93"/>
      <c r="DI157" s="93"/>
      <c r="DJ157" s="93"/>
      <c r="DK157" s="93"/>
      <c r="DL157" s="93"/>
      <c r="DM157" s="93"/>
      <c r="DN157" s="93"/>
      <c r="DO157" s="93"/>
      <c r="DP157" s="93"/>
      <c r="DQ157" s="93"/>
      <c r="DR157" s="93"/>
      <c r="DS157" s="93"/>
      <c r="DT157" s="93"/>
      <c r="DU157" s="93"/>
      <c r="DV157" s="93"/>
      <c r="DW157" s="93"/>
      <c r="DX157" s="93"/>
      <c r="DY157" s="93"/>
      <c r="DZ157" s="93"/>
      <c r="EA157" s="93"/>
      <c r="EB157" s="93"/>
      <c r="EC157" s="93"/>
      <c r="ED157" s="93"/>
      <c r="EE157" s="93"/>
      <c r="EF157" s="93"/>
      <c r="EG157" s="93"/>
      <c r="EH157" s="93"/>
      <c r="EI157" s="93"/>
      <c r="EJ157" s="93"/>
      <c r="EK157" s="93"/>
      <c r="EL157" s="93"/>
      <c r="EM157" s="93"/>
      <c r="EN157" s="93"/>
      <c r="EO157" s="93"/>
      <c r="EP157" s="93"/>
      <c r="EQ157" s="93"/>
      <c r="ER157" s="93"/>
      <c r="ES157" s="93"/>
      <c r="ET157" s="93"/>
      <c r="EU157" s="93"/>
      <c r="EV157" s="93"/>
      <c r="EW157" s="93"/>
      <c r="EX157" s="93"/>
      <c r="EY157" s="93"/>
      <c r="EZ157" s="93"/>
      <c r="FA157" s="93"/>
      <c r="FB157" s="93"/>
      <c r="FC157" s="93"/>
      <c r="FD157" s="93"/>
      <c r="FE157" s="93"/>
      <c r="FF157" s="93"/>
      <c r="FG157" s="93"/>
      <c r="FH157" s="93"/>
      <c r="FI157" s="93"/>
      <c r="FJ157" s="93"/>
      <c r="FK157" s="93"/>
      <c r="FL157" s="93"/>
      <c r="FM157" s="93"/>
      <c r="FN157" s="93"/>
      <c r="FO157" s="93"/>
      <c r="FP157" s="93"/>
      <c r="FQ157" s="93"/>
      <c r="FR157" s="93"/>
      <c r="FS157" s="93"/>
      <c r="FT157" s="93"/>
      <c r="FU157" s="93"/>
      <c r="FV157" s="93"/>
      <c r="FW157" s="93"/>
      <c r="FX157" s="93"/>
      <c r="FY157" s="93"/>
      <c r="FZ157" s="93"/>
      <c r="GA157" s="93"/>
      <c r="GB157" s="93"/>
      <c r="GC157" s="93"/>
      <c r="GD157" s="93"/>
      <c r="GE157" s="93"/>
      <c r="GF157" s="93"/>
      <c r="GG157" s="93"/>
      <c r="GH157" s="93"/>
      <c r="GI157" s="93"/>
      <c r="GJ157" s="93"/>
      <c r="GK157" s="93"/>
      <c r="GL157" s="93"/>
      <c r="GM157" s="93"/>
      <c r="GN157" s="93"/>
      <c r="GO157" s="93"/>
      <c r="GP157" s="93"/>
      <c r="GQ157" s="93"/>
      <c r="GR157" s="93"/>
      <c r="GS157" s="93"/>
      <c r="GT157" s="93"/>
      <c r="GU157" s="93"/>
      <c r="GV157" s="93"/>
      <c r="GW157" s="93"/>
      <c r="GX157" s="93"/>
      <c r="GY157" s="93"/>
      <c r="GZ157" s="93"/>
      <c r="HA157" s="93"/>
      <c r="HB157" s="93"/>
      <c r="HC157" s="93"/>
      <c r="HD157" s="93"/>
      <c r="HE157" s="93"/>
      <c r="HF157" s="93"/>
      <c r="HG157" s="93"/>
    </row>
    <row r="158" spans="14:215" x14ac:dyDescent="0.2">
      <c r="N158" s="93" t="s">
        <v>275</v>
      </c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3"/>
      <c r="AW158" s="93"/>
      <c r="AX158" s="93"/>
      <c r="AY158" s="93"/>
      <c r="AZ158" s="93"/>
      <c r="BA158" s="93"/>
      <c r="BB158" s="93"/>
      <c r="BC158" s="93"/>
      <c r="BD158" s="93"/>
      <c r="BE158" s="93"/>
      <c r="BF158" s="93"/>
      <c r="BG158" s="93"/>
      <c r="BH158" s="93"/>
      <c r="BI158" s="93"/>
      <c r="BJ158" s="93">
        <v>0.33095238095238094</v>
      </c>
      <c r="BK158" s="93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3"/>
      <c r="CP158" s="93"/>
      <c r="CQ158" s="93"/>
      <c r="CR158" s="93"/>
      <c r="CS158" s="93"/>
      <c r="CT158" s="93"/>
      <c r="CU158" s="93"/>
      <c r="CV158" s="93"/>
      <c r="CW158" s="93"/>
      <c r="CX158" s="93"/>
      <c r="CY158" s="93"/>
      <c r="CZ158" s="93"/>
      <c r="DA158" s="93"/>
      <c r="DB158" s="93"/>
      <c r="DC158" s="93"/>
      <c r="DD158" s="93"/>
      <c r="DE158" s="93"/>
      <c r="DF158" s="93"/>
      <c r="DG158" s="93"/>
      <c r="DH158" s="93"/>
      <c r="DI158" s="93"/>
      <c r="DJ158" s="93"/>
      <c r="DK158" s="93"/>
      <c r="DL158" s="93"/>
      <c r="DM158" s="93"/>
      <c r="DN158" s="93"/>
      <c r="DO158" s="93"/>
      <c r="DP158" s="93"/>
      <c r="DQ158" s="93"/>
      <c r="DR158" s="93"/>
      <c r="DS158" s="93"/>
      <c r="DT158" s="93"/>
      <c r="DU158" s="93"/>
      <c r="DV158" s="93"/>
      <c r="DW158" s="93"/>
      <c r="DX158" s="93"/>
      <c r="DY158" s="93"/>
      <c r="DZ158" s="93"/>
      <c r="EA158" s="93"/>
      <c r="EB158" s="93"/>
      <c r="EC158" s="93"/>
      <c r="ED158" s="93"/>
      <c r="EE158" s="93"/>
      <c r="EF158" s="93"/>
      <c r="EG158" s="93"/>
      <c r="EH158" s="93"/>
      <c r="EI158" s="93"/>
      <c r="EJ158" s="93"/>
      <c r="EK158" s="93"/>
      <c r="EL158" s="93"/>
      <c r="EM158" s="93"/>
      <c r="EN158" s="93"/>
      <c r="EO158" s="93"/>
      <c r="EP158" s="93"/>
      <c r="EQ158" s="93"/>
      <c r="ER158" s="93"/>
      <c r="ES158" s="93"/>
      <c r="ET158" s="93"/>
      <c r="EU158" s="93"/>
      <c r="EV158" s="93"/>
      <c r="EW158" s="93"/>
      <c r="EX158" s="93"/>
      <c r="EY158" s="93"/>
      <c r="EZ158" s="93"/>
      <c r="FA158" s="93"/>
      <c r="FB158" s="93"/>
      <c r="FC158" s="93"/>
      <c r="FD158" s="93"/>
      <c r="FE158" s="93"/>
      <c r="FF158" s="93"/>
      <c r="FG158" s="93"/>
      <c r="FH158" s="93"/>
      <c r="FI158" s="93"/>
      <c r="FJ158" s="93"/>
      <c r="FK158" s="93"/>
      <c r="FL158" s="93"/>
      <c r="FM158" s="93"/>
      <c r="FN158" s="93"/>
      <c r="FO158" s="93"/>
      <c r="FP158" s="93"/>
      <c r="FQ158" s="93"/>
      <c r="FR158" s="93"/>
      <c r="FS158" s="93"/>
      <c r="FT158" s="93"/>
      <c r="FU158" s="93"/>
      <c r="FV158" s="93"/>
      <c r="FW158" s="93"/>
      <c r="FX158" s="93"/>
      <c r="FY158" s="93"/>
      <c r="FZ158" s="93"/>
      <c r="GA158" s="93"/>
      <c r="GB158" s="93"/>
      <c r="GC158" s="93"/>
      <c r="GD158" s="93"/>
      <c r="GE158" s="93"/>
      <c r="GF158" s="93"/>
      <c r="GG158" s="93"/>
      <c r="GH158" s="93"/>
      <c r="GI158" s="93"/>
      <c r="GJ158" s="93"/>
      <c r="GK158" s="93"/>
      <c r="GL158" s="93"/>
      <c r="GM158" s="93"/>
      <c r="GN158" s="93"/>
      <c r="GO158" s="93"/>
      <c r="GP158" s="93"/>
      <c r="GQ158" s="93"/>
      <c r="GR158" s="93"/>
      <c r="GS158" s="93"/>
      <c r="GT158" s="93"/>
      <c r="GU158" s="93"/>
      <c r="GV158" s="93"/>
      <c r="GW158" s="93"/>
      <c r="GX158" s="93"/>
      <c r="GY158" s="93"/>
      <c r="GZ158" s="93"/>
      <c r="HA158" s="93"/>
      <c r="HB158" s="93"/>
      <c r="HC158" s="93"/>
      <c r="HD158" s="93"/>
      <c r="HE158" s="93"/>
      <c r="HF158" s="93"/>
      <c r="HG158" s="93"/>
    </row>
    <row r="159" spans="14:215" x14ac:dyDescent="0.2">
      <c r="N159" s="93" t="s">
        <v>276</v>
      </c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  <c r="BI159" s="93"/>
      <c r="BJ159" s="93"/>
      <c r="BK159" s="93">
        <v>0.33100233100233101</v>
      </c>
      <c r="BL159" s="93"/>
      <c r="BM159" s="93"/>
      <c r="BN159" s="93"/>
      <c r="BO159" s="93"/>
      <c r="BP159" s="93"/>
      <c r="BQ159" s="93"/>
      <c r="BR159" s="93"/>
      <c r="BS159" s="93"/>
      <c r="BT159" s="93"/>
      <c r="BU159" s="93"/>
      <c r="BV159" s="93"/>
      <c r="BW159" s="93"/>
      <c r="BX159" s="93"/>
      <c r="BY159" s="93"/>
      <c r="BZ159" s="93"/>
      <c r="CA159" s="93"/>
      <c r="CB159" s="93"/>
      <c r="CC159" s="93"/>
      <c r="CD159" s="93"/>
      <c r="CE159" s="93"/>
      <c r="CF159" s="93"/>
      <c r="CG159" s="93"/>
      <c r="CH159" s="93"/>
      <c r="CI159" s="93"/>
      <c r="CJ159" s="93"/>
      <c r="CK159" s="93"/>
      <c r="CL159" s="93"/>
      <c r="CM159" s="93"/>
      <c r="CN159" s="93"/>
      <c r="CO159" s="93"/>
      <c r="CP159" s="93"/>
      <c r="CQ159" s="93"/>
      <c r="CR159" s="93"/>
      <c r="CS159" s="93"/>
      <c r="CT159" s="93"/>
      <c r="CU159" s="93"/>
      <c r="CV159" s="93"/>
      <c r="CW159" s="93"/>
      <c r="CX159" s="93"/>
      <c r="CY159" s="93"/>
      <c r="CZ159" s="93"/>
      <c r="DA159" s="93"/>
      <c r="DB159" s="93"/>
      <c r="DC159" s="93"/>
      <c r="DD159" s="93"/>
      <c r="DE159" s="93"/>
      <c r="DF159" s="93"/>
      <c r="DG159" s="93"/>
      <c r="DH159" s="93"/>
      <c r="DI159" s="93"/>
      <c r="DJ159" s="93"/>
      <c r="DK159" s="93"/>
      <c r="DL159" s="93"/>
      <c r="DM159" s="93"/>
      <c r="DN159" s="93"/>
      <c r="DO159" s="93"/>
      <c r="DP159" s="93"/>
      <c r="DQ159" s="93"/>
      <c r="DR159" s="93"/>
      <c r="DS159" s="93"/>
      <c r="DT159" s="93"/>
      <c r="DU159" s="93"/>
      <c r="DV159" s="93"/>
      <c r="DW159" s="93"/>
      <c r="DX159" s="93"/>
      <c r="DY159" s="93"/>
      <c r="DZ159" s="93"/>
      <c r="EA159" s="93"/>
      <c r="EB159" s="93"/>
      <c r="EC159" s="93"/>
      <c r="ED159" s="93"/>
      <c r="EE159" s="93"/>
      <c r="EF159" s="93"/>
      <c r="EG159" s="93"/>
      <c r="EH159" s="93"/>
      <c r="EI159" s="93"/>
      <c r="EJ159" s="93"/>
      <c r="EK159" s="93"/>
      <c r="EL159" s="93"/>
      <c r="EM159" s="93"/>
      <c r="EN159" s="93"/>
      <c r="EO159" s="93"/>
      <c r="EP159" s="93"/>
      <c r="EQ159" s="93"/>
      <c r="ER159" s="93"/>
      <c r="ES159" s="93"/>
      <c r="ET159" s="93"/>
      <c r="EU159" s="93"/>
      <c r="EV159" s="93"/>
      <c r="EW159" s="93"/>
      <c r="EX159" s="93"/>
      <c r="EY159" s="93"/>
      <c r="EZ159" s="93"/>
      <c r="FA159" s="93"/>
      <c r="FB159" s="93"/>
      <c r="FC159" s="93"/>
      <c r="FD159" s="93"/>
      <c r="FE159" s="93"/>
      <c r="FF159" s="93"/>
      <c r="FG159" s="93"/>
      <c r="FH159" s="93"/>
      <c r="FI159" s="93"/>
      <c r="FJ159" s="93"/>
      <c r="FK159" s="93"/>
      <c r="FL159" s="93"/>
      <c r="FM159" s="93"/>
      <c r="FN159" s="93"/>
      <c r="FO159" s="93"/>
      <c r="FP159" s="93"/>
      <c r="FQ159" s="93"/>
      <c r="FR159" s="93"/>
      <c r="FS159" s="93"/>
      <c r="FT159" s="93"/>
      <c r="FU159" s="93"/>
      <c r="FV159" s="93"/>
      <c r="FW159" s="93"/>
      <c r="FX159" s="93"/>
      <c r="FY159" s="93"/>
      <c r="FZ159" s="93"/>
      <c r="GA159" s="93"/>
      <c r="GB159" s="93"/>
      <c r="GC159" s="93"/>
      <c r="GD159" s="93"/>
      <c r="GE159" s="93"/>
      <c r="GF159" s="93"/>
      <c r="GG159" s="93"/>
      <c r="GH159" s="93"/>
      <c r="GI159" s="93"/>
      <c r="GJ159" s="93"/>
      <c r="GK159" s="93"/>
      <c r="GL159" s="93"/>
      <c r="GM159" s="93"/>
      <c r="GN159" s="93"/>
      <c r="GO159" s="93"/>
      <c r="GP159" s="93"/>
      <c r="GQ159" s="93"/>
      <c r="GR159" s="93"/>
      <c r="GS159" s="93"/>
      <c r="GT159" s="93"/>
      <c r="GU159" s="93"/>
      <c r="GV159" s="93"/>
      <c r="GW159" s="93"/>
      <c r="GX159" s="93"/>
      <c r="GY159" s="93"/>
      <c r="GZ159" s="93"/>
      <c r="HA159" s="93"/>
      <c r="HB159" s="93"/>
      <c r="HC159" s="93"/>
      <c r="HD159" s="93"/>
      <c r="HE159" s="93"/>
      <c r="HF159" s="93"/>
      <c r="HG159" s="93"/>
    </row>
    <row r="160" spans="14:215" x14ac:dyDescent="0.2">
      <c r="N160" s="93" t="s">
        <v>277</v>
      </c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>
        <v>0.33105022831050229</v>
      </c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</row>
    <row r="161" spans="14:215" x14ac:dyDescent="0.2">
      <c r="N161" s="93" t="s">
        <v>278</v>
      </c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  <c r="BI161" s="93"/>
      <c r="BJ161" s="93"/>
      <c r="BK161" s="93"/>
      <c r="BL161" s="93"/>
      <c r="BM161" s="93">
        <v>0.33109619686800895</v>
      </c>
      <c r="BN161" s="93"/>
      <c r="BO161" s="93"/>
      <c r="BP161" s="93"/>
      <c r="BQ161" s="93"/>
      <c r="BR161" s="93"/>
      <c r="BS161" s="93"/>
      <c r="BT161" s="93"/>
      <c r="BU161" s="93"/>
      <c r="BV161" s="93"/>
      <c r="BW161" s="93"/>
      <c r="BX161" s="93"/>
      <c r="BY161" s="93"/>
      <c r="BZ161" s="93"/>
      <c r="CA161" s="93"/>
      <c r="CB161" s="93"/>
      <c r="CC161" s="93"/>
      <c r="CD161" s="93"/>
      <c r="CE161" s="93"/>
      <c r="CF161" s="93"/>
      <c r="CG161" s="93"/>
      <c r="CH161" s="93"/>
      <c r="CI161" s="93"/>
      <c r="CJ161" s="93"/>
      <c r="CK161" s="93"/>
      <c r="CL161" s="93"/>
      <c r="CM161" s="93"/>
      <c r="CN161" s="93"/>
      <c r="CO161" s="93"/>
      <c r="CP161" s="93"/>
      <c r="CQ161" s="93"/>
      <c r="CR161" s="93"/>
      <c r="CS161" s="93"/>
      <c r="CT161" s="93"/>
      <c r="CU161" s="93"/>
      <c r="CV161" s="93"/>
      <c r="CW161" s="93"/>
      <c r="CX161" s="93"/>
      <c r="CY161" s="93"/>
      <c r="CZ161" s="93"/>
      <c r="DA161" s="93"/>
      <c r="DB161" s="93"/>
      <c r="DC161" s="93"/>
      <c r="DD161" s="93"/>
      <c r="DE161" s="93"/>
      <c r="DF161" s="93"/>
      <c r="DG161" s="93"/>
      <c r="DH161" s="93"/>
      <c r="DI161" s="93"/>
      <c r="DJ161" s="93"/>
      <c r="DK161" s="93"/>
      <c r="DL161" s="93"/>
      <c r="DM161" s="93"/>
      <c r="DN161" s="93"/>
      <c r="DO161" s="93"/>
      <c r="DP161" s="93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  <c r="EL161" s="93"/>
      <c r="EM161" s="93"/>
      <c r="EN161" s="93"/>
      <c r="EO161" s="93"/>
      <c r="EP161" s="93"/>
      <c r="EQ161" s="93"/>
      <c r="ER161" s="93"/>
      <c r="ES161" s="93"/>
      <c r="ET161" s="93"/>
      <c r="EU161" s="93"/>
      <c r="EV161" s="93"/>
      <c r="EW161" s="93"/>
      <c r="EX161" s="93"/>
      <c r="EY161" s="93"/>
      <c r="EZ161" s="93"/>
      <c r="FA161" s="93"/>
      <c r="FB161" s="93"/>
      <c r="FC161" s="93"/>
      <c r="FD161" s="93"/>
      <c r="FE161" s="93"/>
      <c r="FF161" s="93"/>
      <c r="FG161" s="93"/>
      <c r="FH161" s="93"/>
      <c r="FI161" s="93"/>
      <c r="FJ161" s="93"/>
      <c r="FK161" s="93"/>
      <c r="FL161" s="93"/>
      <c r="FM161" s="93"/>
      <c r="FN161" s="93"/>
      <c r="FO161" s="93"/>
      <c r="FP161" s="93"/>
      <c r="FQ161" s="93"/>
      <c r="FR161" s="93"/>
      <c r="FS161" s="93"/>
      <c r="FT161" s="93"/>
      <c r="FU161" s="93"/>
      <c r="FV161" s="93"/>
      <c r="FW161" s="93"/>
      <c r="FX161" s="93"/>
      <c r="FY161" s="93"/>
      <c r="FZ161" s="93"/>
      <c r="GA161" s="93"/>
      <c r="GB161" s="93"/>
      <c r="GC161" s="93"/>
      <c r="GD161" s="93"/>
      <c r="GE161" s="93"/>
      <c r="GF161" s="93"/>
      <c r="GG161" s="93"/>
      <c r="GH161" s="93"/>
      <c r="GI161" s="93"/>
      <c r="GJ161" s="93"/>
      <c r="GK161" s="93"/>
      <c r="GL161" s="93"/>
      <c r="GM161" s="93"/>
      <c r="GN161" s="93"/>
      <c r="GO161" s="93"/>
      <c r="GP161" s="93"/>
      <c r="GQ161" s="93"/>
      <c r="GR161" s="93"/>
      <c r="GS161" s="93"/>
      <c r="GT161" s="93"/>
      <c r="GU161" s="93"/>
      <c r="GV161" s="93"/>
      <c r="GW161" s="93"/>
      <c r="GX161" s="93"/>
      <c r="GY161" s="93"/>
      <c r="GZ161" s="93"/>
      <c r="HA161" s="93"/>
      <c r="HB161" s="93"/>
      <c r="HC161" s="93"/>
      <c r="HD161" s="93"/>
      <c r="HE161" s="93"/>
      <c r="HF161" s="93"/>
      <c r="HG161" s="93"/>
    </row>
    <row r="162" spans="14:215" x14ac:dyDescent="0.2">
      <c r="N162" s="93" t="s">
        <v>279</v>
      </c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  <c r="BI162" s="93"/>
      <c r="BJ162" s="93"/>
      <c r="BK162" s="93"/>
      <c r="BL162" s="93"/>
      <c r="BM162" s="93"/>
      <c r="BN162" s="93">
        <v>0.33114035087719296</v>
      </c>
      <c r="BO162" s="93"/>
      <c r="BP162" s="93"/>
      <c r="BQ162" s="93"/>
      <c r="BR162" s="93"/>
      <c r="BS162" s="93"/>
      <c r="BT162" s="93"/>
      <c r="BU162" s="93"/>
      <c r="BV162" s="93"/>
      <c r="BW162" s="93"/>
      <c r="BX162" s="93"/>
      <c r="BY162" s="93"/>
      <c r="BZ162" s="93"/>
      <c r="CA162" s="93"/>
      <c r="CB162" s="93"/>
      <c r="CC162" s="93"/>
      <c r="CD162" s="93"/>
      <c r="CE162" s="93"/>
      <c r="CF162" s="93"/>
      <c r="CG162" s="93"/>
      <c r="CH162" s="93"/>
      <c r="CI162" s="93"/>
      <c r="CJ162" s="93"/>
      <c r="CK162" s="93"/>
      <c r="CL162" s="93"/>
      <c r="CM162" s="93"/>
      <c r="CN162" s="93"/>
      <c r="CO162" s="93"/>
      <c r="CP162" s="93"/>
      <c r="CQ162" s="93"/>
      <c r="CR162" s="93"/>
      <c r="CS162" s="93"/>
      <c r="CT162" s="93"/>
      <c r="CU162" s="93"/>
      <c r="CV162" s="93"/>
      <c r="CW162" s="93"/>
      <c r="CX162" s="93"/>
      <c r="CY162" s="93"/>
      <c r="CZ162" s="93"/>
      <c r="DA162" s="93"/>
      <c r="DB162" s="93"/>
      <c r="DC162" s="93"/>
      <c r="DD162" s="93"/>
      <c r="DE162" s="93"/>
      <c r="DF162" s="93"/>
      <c r="DG162" s="93"/>
      <c r="DH162" s="93"/>
      <c r="DI162" s="93"/>
      <c r="DJ162" s="93"/>
      <c r="DK162" s="93"/>
      <c r="DL162" s="93"/>
      <c r="DM162" s="93"/>
      <c r="DN162" s="93"/>
      <c r="DO162" s="93"/>
      <c r="DP162" s="93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  <c r="EL162" s="93"/>
      <c r="EM162" s="93"/>
      <c r="EN162" s="93"/>
      <c r="EO162" s="93"/>
      <c r="EP162" s="93"/>
      <c r="EQ162" s="93"/>
      <c r="ER162" s="93"/>
      <c r="ES162" s="93"/>
      <c r="ET162" s="93"/>
      <c r="EU162" s="93"/>
      <c r="EV162" s="93"/>
      <c r="EW162" s="93"/>
      <c r="EX162" s="93"/>
      <c r="EY162" s="93"/>
      <c r="EZ162" s="93"/>
      <c r="FA162" s="93"/>
      <c r="FB162" s="93"/>
      <c r="FC162" s="93"/>
      <c r="FD162" s="93"/>
      <c r="FE162" s="93"/>
      <c r="FF162" s="93"/>
      <c r="FG162" s="93"/>
      <c r="FH162" s="93"/>
      <c r="FI162" s="93"/>
      <c r="FJ162" s="93"/>
      <c r="FK162" s="93"/>
      <c r="FL162" s="93"/>
      <c r="FM162" s="93"/>
      <c r="FN162" s="93"/>
      <c r="FO162" s="93"/>
      <c r="FP162" s="93"/>
      <c r="FQ162" s="93"/>
      <c r="FR162" s="93"/>
      <c r="FS162" s="93"/>
      <c r="FT162" s="93"/>
      <c r="FU162" s="93"/>
      <c r="FV162" s="93"/>
      <c r="FW162" s="93"/>
      <c r="FX162" s="93"/>
      <c r="FY162" s="93"/>
      <c r="FZ162" s="93"/>
      <c r="GA162" s="93"/>
      <c r="GB162" s="93"/>
      <c r="GC162" s="93"/>
      <c r="GD162" s="93"/>
      <c r="GE162" s="93"/>
      <c r="GF162" s="93"/>
      <c r="GG162" s="93"/>
      <c r="GH162" s="93"/>
      <c r="GI162" s="93"/>
      <c r="GJ162" s="93"/>
      <c r="GK162" s="93"/>
      <c r="GL162" s="93"/>
      <c r="GM162" s="93"/>
      <c r="GN162" s="93"/>
      <c r="GO162" s="93"/>
      <c r="GP162" s="93"/>
      <c r="GQ162" s="93"/>
      <c r="GR162" s="93"/>
      <c r="GS162" s="93"/>
      <c r="GT162" s="93"/>
      <c r="GU162" s="93"/>
      <c r="GV162" s="93"/>
      <c r="GW162" s="93"/>
      <c r="GX162" s="93"/>
      <c r="GY162" s="93"/>
      <c r="GZ162" s="93"/>
      <c r="HA162" s="93"/>
      <c r="HB162" s="93"/>
      <c r="HC162" s="93"/>
      <c r="HD162" s="93"/>
      <c r="HE162" s="93"/>
      <c r="HF162" s="93"/>
      <c r="HG162" s="93"/>
    </row>
    <row r="163" spans="14:215" x14ac:dyDescent="0.2">
      <c r="N163" s="93" t="s">
        <v>280</v>
      </c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  <c r="BI163" s="93"/>
      <c r="BJ163" s="93"/>
      <c r="BK163" s="93"/>
      <c r="BL163" s="93"/>
      <c r="BM163" s="93"/>
      <c r="BN163" s="93"/>
      <c r="BO163" s="93">
        <v>0.33118279569892473</v>
      </c>
      <c r="BP163" s="93"/>
      <c r="BQ163" s="93"/>
      <c r="BR163" s="93"/>
      <c r="BS163" s="93"/>
      <c r="BT163" s="93"/>
      <c r="BU163" s="93"/>
      <c r="BV163" s="93"/>
      <c r="BW163" s="93"/>
      <c r="BX163" s="93"/>
      <c r="BY163" s="93"/>
      <c r="BZ163" s="93"/>
      <c r="CA163" s="93"/>
      <c r="CB163" s="93"/>
      <c r="CC163" s="93"/>
      <c r="CD163" s="93"/>
      <c r="CE163" s="93"/>
      <c r="CF163" s="93"/>
      <c r="CG163" s="93"/>
      <c r="CH163" s="93"/>
      <c r="CI163" s="93"/>
      <c r="CJ163" s="93"/>
      <c r="CK163" s="93"/>
      <c r="CL163" s="93"/>
      <c r="CM163" s="93"/>
      <c r="CN163" s="93"/>
      <c r="CO163" s="93"/>
      <c r="CP163" s="93"/>
      <c r="CQ163" s="93"/>
      <c r="CR163" s="93"/>
      <c r="CS163" s="93"/>
      <c r="CT163" s="93"/>
      <c r="CU163" s="93"/>
      <c r="CV163" s="93"/>
      <c r="CW163" s="93"/>
      <c r="CX163" s="93"/>
      <c r="CY163" s="93"/>
      <c r="CZ163" s="93"/>
      <c r="DA163" s="93"/>
      <c r="DB163" s="93"/>
      <c r="DC163" s="93"/>
      <c r="DD163" s="93"/>
      <c r="DE163" s="93"/>
      <c r="DF163" s="93"/>
      <c r="DG163" s="93"/>
      <c r="DH163" s="93"/>
      <c r="DI163" s="93"/>
      <c r="DJ163" s="93"/>
      <c r="DK163" s="93"/>
      <c r="DL163" s="93"/>
      <c r="DM163" s="93"/>
      <c r="DN163" s="93"/>
      <c r="DO163" s="93"/>
      <c r="DP163" s="93"/>
      <c r="DQ163" s="93"/>
      <c r="DR163" s="93"/>
      <c r="DS163" s="93"/>
      <c r="DT163" s="93"/>
      <c r="DU163" s="93"/>
      <c r="DV163" s="93"/>
      <c r="DW163" s="93"/>
      <c r="DX163" s="93"/>
      <c r="DY163" s="93"/>
      <c r="DZ163" s="93"/>
      <c r="EA163" s="93"/>
      <c r="EB163" s="93"/>
      <c r="EC163" s="93"/>
      <c r="ED163" s="93"/>
      <c r="EE163" s="93"/>
      <c r="EF163" s="93"/>
      <c r="EG163" s="93"/>
      <c r="EH163" s="93"/>
      <c r="EI163" s="93"/>
      <c r="EJ163" s="93"/>
      <c r="EK163" s="93"/>
      <c r="EL163" s="93"/>
      <c r="EM163" s="93"/>
      <c r="EN163" s="93"/>
      <c r="EO163" s="93"/>
      <c r="EP163" s="93"/>
      <c r="EQ163" s="93"/>
      <c r="ER163" s="93"/>
      <c r="ES163" s="93"/>
      <c r="ET163" s="93"/>
      <c r="EU163" s="93"/>
      <c r="EV163" s="93"/>
      <c r="EW163" s="93"/>
      <c r="EX163" s="93"/>
      <c r="EY163" s="93"/>
      <c r="EZ163" s="93"/>
      <c r="FA163" s="93"/>
      <c r="FB163" s="93"/>
      <c r="FC163" s="93"/>
      <c r="FD163" s="93"/>
      <c r="FE163" s="93"/>
      <c r="FF163" s="93"/>
      <c r="FG163" s="93"/>
      <c r="FH163" s="93"/>
      <c r="FI163" s="93"/>
      <c r="FJ163" s="93"/>
      <c r="FK163" s="93"/>
      <c r="FL163" s="93"/>
      <c r="FM163" s="93"/>
      <c r="FN163" s="93"/>
      <c r="FO163" s="93"/>
      <c r="FP163" s="93"/>
      <c r="FQ163" s="93"/>
      <c r="FR163" s="93"/>
      <c r="FS163" s="93"/>
      <c r="FT163" s="93"/>
      <c r="FU163" s="93"/>
      <c r="FV163" s="93"/>
      <c r="FW163" s="93"/>
      <c r="FX163" s="93"/>
      <c r="FY163" s="93"/>
      <c r="FZ163" s="93"/>
      <c r="GA163" s="93"/>
      <c r="GB163" s="93"/>
      <c r="GC163" s="93"/>
      <c r="GD163" s="93"/>
      <c r="GE163" s="93"/>
      <c r="GF163" s="93"/>
      <c r="GG163" s="93"/>
      <c r="GH163" s="93"/>
      <c r="GI163" s="93"/>
      <c r="GJ163" s="93"/>
      <c r="GK163" s="93"/>
      <c r="GL163" s="93"/>
      <c r="GM163" s="93"/>
      <c r="GN163" s="93"/>
      <c r="GO163" s="93"/>
      <c r="GP163" s="93"/>
      <c r="GQ163" s="93"/>
      <c r="GR163" s="93"/>
      <c r="GS163" s="93"/>
      <c r="GT163" s="93"/>
      <c r="GU163" s="93"/>
      <c r="GV163" s="93"/>
      <c r="GW163" s="93"/>
      <c r="GX163" s="93"/>
      <c r="GY163" s="93"/>
      <c r="GZ163" s="93"/>
      <c r="HA163" s="93"/>
      <c r="HB163" s="93"/>
      <c r="HC163" s="93"/>
      <c r="HD163" s="93"/>
      <c r="HE163" s="93"/>
      <c r="HF163" s="93"/>
      <c r="HG163" s="93"/>
    </row>
    <row r="164" spans="14:215" x14ac:dyDescent="0.2">
      <c r="N164" s="93" t="s">
        <v>281</v>
      </c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3"/>
      <c r="AW164" s="93"/>
      <c r="AX164" s="93"/>
      <c r="AY164" s="93"/>
      <c r="AZ164" s="93"/>
      <c r="BA164" s="93"/>
      <c r="BB164" s="93"/>
      <c r="BC164" s="93"/>
      <c r="BD164" s="93"/>
      <c r="BE164" s="93"/>
      <c r="BF164" s="93"/>
      <c r="BG164" s="93"/>
      <c r="BH164" s="93"/>
      <c r="BI164" s="93"/>
      <c r="BJ164" s="93"/>
      <c r="BK164" s="93"/>
      <c r="BL164" s="93"/>
      <c r="BM164" s="93"/>
      <c r="BN164" s="93"/>
      <c r="BO164" s="93"/>
      <c r="BP164" s="93">
        <v>0.33122362869198313</v>
      </c>
      <c r="BQ164" s="93"/>
      <c r="BR164" s="93"/>
      <c r="BS164" s="93"/>
      <c r="BT164" s="93"/>
      <c r="BU164" s="93"/>
      <c r="BV164" s="93"/>
      <c r="BW164" s="93"/>
      <c r="BX164" s="93"/>
      <c r="BY164" s="93"/>
      <c r="BZ164" s="93"/>
      <c r="CA164" s="93"/>
      <c r="CB164" s="93"/>
      <c r="CC164" s="93"/>
      <c r="CD164" s="93"/>
      <c r="CE164" s="93"/>
      <c r="CF164" s="93"/>
      <c r="CG164" s="93"/>
      <c r="CH164" s="93"/>
      <c r="CI164" s="93"/>
      <c r="CJ164" s="93"/>
      <c r="CK164" s="93"/>
      <c r="CL164" s="93"/>
      <c r="CM164" s="93"/>
      <c r="CN164" s="93"/>
      <c r="CO164" s="93"/>
      <c r="CP164" s="93"/>
      <c r="CQ164" s="93"/>
      <c r="CR164" s="93"/>
      <c r="CS164" s="93"/>
      <c r="CT164" s="93"/>
      <c r="CU164" s="93"/>
      <c r="CV164" s="93"/>
      <c r="CW164" s="93"/>
      <c r="CX164" s="93"/>
      <c r="CY164" s="93"/>
      <c r="CZ164" s="93"/>
      <c r="DA164" s="93"/>
      <c r="DB164" s="93"/>
      <c r="DC164" s="93"/>
      <c r="DD164" s="93"/>
      <c r="DE164" s="93"/>
      <c r="DF164" s="93"/>
      <c r="DG164" s="93"/>
      <c r="DH164" s="93"/>
      <c r="DI164" s="93"/>
      <c r="DJ164" s="93"/>
      <c r="DK164" s="93"/>
      <c r="DL164" s="93"/>
      <c r="DM164" s="93"/>
      <c r="DN164" s="93"/>
      <c r="DO164" s="93"/>
      <c r="DP164" s="93"/>
      <c r="DQ164" s="93"/>
      <c r="DR164" s="93"/>
      <c r="DS164" s="93"/>
      <c r="DT164" s="93"/>
      <c r="DU164" s="93"/>
      <c r="DV164" s="93"/>
      <c r="DW164" s="93"/>
      <c r="DX164" s="93"/>
      <c r="DY164" s="93"/>
      <c r="DZ164" s="93"/>
      <c r="EA164" s="93"/>
      <c r="EB164" s="93"/>
      <c r="EC164" s="93"/>
      <c r="ED164" s="93"/>
      <c r="EE164" s="93"/>
      <c r="EF164" s="93"/>
      <c r="EG164" s="93"/>
      <c r="EH164" s="93"/>
      <c r="EI164" s="93"/>
      <c r="EJ164" s="93"/>
      <c r="EK164" s="93"/>
      <c r="EL164" s="93"/>
      <c r="EM164" s="93"/>
      <c r="EN164" s="93"/>
      <c r="EO164" s="93"/>
      <c r="EP164" s="93"/>
      <c r="EQ164" s="93"/>
      <c r="ER164" s="93"/>
      <c r="ES164" s="93"/>
      <c r="ET164" s="93"/>
      <c r="EU164" s="93"/>
      <c r="EV164" s="93"/>
      <c r="EW164" s="93"/>
      <c r="EX164" s="93"/>
      <c r="EY164" s="93"/>
      <c r="EZ164" s="93"/>
      <c r="FA164" s="93"/>
      <c r="FB164" s="93"/>
      <c r="FC164" s="93"/>
      <c r="FD164" s="93"/>
      <c r="FE164" s="93"/>
      <c r="FF164" s="93"/>
      <c r="FG164" s="93"/>
      <c r="FH164" s="93"/>
      <c r="FI164" s="93"/>
      <c r="FJ164" s="93"/>
      <c r="FK164" s="93"/>
      <c r="FL164" s="93"/>
      <c r="FM164" s="93"/>
      <c r="FN164" s="93"/>
      <c r="FO164" s="93"/>
      <c r="FP164" s="93"/>
      <c r="FQ164" s="93"/>
      <c r="FR164" s="93"/>
      <c r="FS164" s="93"/>
      <c r="FT164" s="93"/>
      <c r="FU164" s="93"/>
      <c r="FV164" s="93"/>
      <c r="FW164" s="93"/>
      <c r="FX164" s="93"/>
      <c r="FY164" s="93"/>
      <c r="FZ164" s="93"/>
      <c r="GA164" s="93"/>
      <c r="GB164" s="93"/>
      <c r="GC164" s="93"/>
      <c r="GD164" s="93"/>
      <c r="GE164" s="93"/>
      <c r="GF164" s="93"/>
      <c r="GG164" s="93"/>
      <c r="GH164" s="93"/>
      <c r="GI164" s="93"/>
      <c r="GJ164" s="93"/>
      <c r="GK164" s="93"/>
      <c r="GL164" s="93"/>
      <c r="GM164" s="93"/>
      <c r="GN164" s="93"/>
      <c r="GO164" s="93"/>
      <c r="GP164" s="93"/>
      <c r="GQ164" s="93"/>
      <c r="GR164" s="93"/>
      <c r="GS164" s="93"/>
      <c r="GT164" s="93"/>
      <c r="GU164" s="93"/>
      <c r="GV164" s="93"/>
      <c r="GW164" s="93"/>
      <c r="GX164" s="93"/>
      <c r="GY164" s="93"/>
      <c r="GZ164" s="93"/>
      <c r="HA164" s="93"/>
      <c r="HB164" s="93"/>
      <c r="HC164" s="93"/>
      <c r="HD164" s="93"/>
      <c r="HE164" s="93"/>
      <c r="HF164" s="93"/>
      <c r="HG164" s="93"/>
    </row>
    <row r="165" spans="14:215" x14ac:dyDescent="0.2">
      <c r="N165" s="93" t="s">
        <v>282</v>
      </c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  <c r="BI165" s="93"/>
      <c r="BJ165" s="93"/>
      <c r="BK165" s="93"/>
      <c r="BL165" s="93"/>
      <c r="BM165" s="93"/>
      <c r="BN165" s="93"/>
      <c r="BO165" s="93"/>
      <c r="BP165" s="93"/>
      <c r="BQ165" s="93">
        <v>0.33126293995859213</v>
      </c>
      <c r="BR165" s="93"/>
      <c r="BS165" s="93"/>
      <c r="BT165" s="93"/>
      <c r="BU165" s="93"/>
      <c r="BV165" s="93"/>
      <c r="BW165" s="93"/>
      <c r="BX165" s="93"/>
      <c r="BY165" s="93"/>
      <c r="BZ165" s="93"/>
      <c r="CA165" s="93"/>
      <c r="CB165" s="93"/>
      <c r="CC165" s="93"/>
      <c r="CD165" s="93"/>
      <c r="CE165" s="93"/>
      <c r="CF165" s="93"/>
      <c r="CG165" s="93"/>
      <c r="CH165" s="93"/>
      <c r="CI165" s="93"/>
      <c r="CJ165" s="93"/>
      <c r="CK165" s="93"/>
      <c r="CL165" s="93"/>
      <c r="CM165" s="93"/>
      <c r="CN165" s="93"/>
      <c r="CO165" s="93"/>
      <c r="CP165" s="93"/>
      <c r="CQ165" s="93"/>
      <c r="CR165" s="93"/>
      <c r="CS165" s="93"/>
      <c r="CT165" s="93"/>
      <c r="CU165" s="93"/>
      <c r="CV165" s="93"/>
      <c r="CW165" s="93"/>
      <c r="CX165" s="93"/>
      <c r="CY165" s="93"/>
      <c r="CZ165" s="93"/>
      <c r="DA165" s="93"/>
      <c r="DB165" s="93"/>
      <c r="DC165" s="93"/>
      <c r="DD165" s="93"/>
      <c r="DE165" s="93"/>
      <c r="DF165" s="93"/>
      <c r="DG165" s="93"/>
      <c r="DH165" s="93"/>
      <c r="DI165" s="93"/>
      <c r="DJ165" s="93"/>
      <c r="DK165" s="93"/>
      <c r="DL165" s="93"/>
      <c r="DM165" s="93"/>
      <c r="DN165" s="93"/>
      <c r="DO165" s="93"/>
      <c r="DP165" s="93"/>
      <c r="DQ165" s="93"/>
      <c r="DR165" s="93"/>
      <c r="DS165" s="93"/>
      <c r="DT165" s="93"/>
      <c r="DU165" s="93"/>
      <c r="DV165" s="93"/>
      <c r="DW165" s="93"/>
      <c r="DX165" s="93"/>
      <c r="DY165" s="93"/>
      <c r="DZ165" s="93"/>
      <c r="EA165" s="93"/>
      <c r="EB165" s="93"/>
      <c r="EC165" s="93"/>
      <c r="ED165" s="93"/>
      <c r="EE165" s="93"/>
      <c r="EF165" s="93"/>
      <c r="EG165" s="93"/>
      <c r="EH165" s="93"/>
      <c r="EI165" s="93"/>
      <c r="EJ165" s="93"/>
      <c r="EK165" s="93"/>
      <c r="EL165" s="93"/>
      <c r="EM165" s="93"/>
      <c r="EN165" s="93"/>
      <c r="EO165" s="93"/>
      <c r="EP165" s="93"/>
      <c r="EQ165" s="93"/>
      <c r="ER165" s="93"/>
      <c r="ES165" s="93"/>
      <c r="ET165" s="93"/>
      <c r="EU165" s="93"/>
      <c r="EV165" s="93"/>
      <c r="EW165" s="93"/>
      <c r="EX165" s="93"/>
      <c r="EY165" s="93"/>
      <c r="EZ165" s="93"/>
      <c r="FA165" s="93"/>
      <c r="FB165" s="93"/>
      <c r="FC165" s="93"/>
      <c r="FD165" s="93"/>
      <c r="FE165" s="93"/>
      <c r="FF165" s="93"/>
      <c r="FG165" s="93"/>
      <c r="FH165" s="93"/>
      <c r="FI165" s="93"/>
      <c r="FJ165" s="93"/>
      <c r="FK165" s="93"/>
      <c r="FL165" s="93"/>
      <c r="FM165" s="93"/>
      <c r="FN165" s="93"/>
      <c r="FO165" s="93"/>
      <c r="FP165" s="93"/>
      <c r="FQ165" s="93"/>
      <c r="FR165" s="93"/>
      <c r="FS165" s="93"/>
      <c r="FT165" s="93"/>
      <c r="FU165" s="93"/>
      <c r="FV165" s="93"/>
      <c r="FW165" s="93"/>
      <c r="FX165" s="93"/>
      <c r="FY165" s="93"/>
      <c r="FZ165" s="93"/>
      <c r="GA165" s="93"/>
      <c r="GB165" s="93"/>
      <c r="GC165" s="93"/>
      <c r="GD165" s="93"/>
      <c r="GE165" s="93"/>
      <c r="GF165" s="93"/>
      <c r="GG165" s="93"/>
      <c r="GH165" s="93"/>
      <c r="GI165" s="93"/>
      <c r="GJ165" s="93"/>
      <c r="GK165" s="93"/>
      <c r="GL165" s="93"/>
      <c r="GM165" s="93"/>
      <c r="GN165" s="93"/>
      <c r="GO165" s="93"/>
      <c r="GP165" s="93"/>
      <c r="GQ165" s="93"/>
      <c r="GR165" s="93"/>
      <c r="GS165" s="93"/>
      <c r="GT165" s="93"/>
      <c r="GU165" s="93"/>
      <c r="GV165" s="93"/>
      <c r="GW165" s="93"/>
      <c r="GX165" s="93"/>
      <c r="GY165" s="93"/>
      <c r="GZ165" s="93"/>
      <c r="HA165" s="93"/>
      <c r="HB165" s="93"/>
      <c r="HC165" s="93"/>
      <c r="HD165" s="93"/>
      <c r="HE165" s="93"/>
      <c r="HF165" s="93"/>
      <c r="HG165" s="93"/>
    </row>
    <row r="166" spans="14:215" x14ac:dyDescent="0.2">
      <c r="N166" s="93" t="s">
        <v>283</v>
      </c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3"/>
      <c r="AW166" s="93"/>
      <c r="AX166" s="93"/>
      <c r="AY166" s="93"/>
      <c r="AZ166" s="93"/>
      <c r="BA166" s="93"/>
      <c r="BB166" s="93"/>
      <c r="BC166" s="93"/>
      <c r="BD166" s="93"/>
      <c r="BE166" s="93"/>
      <c r="BF166" s="93"/>
      <c r="BG166" s="93"/>
      <c r="BH166" s="93"/>
      <c r="BI166" s="93"/>
      <c r="BJ166" s="93"/>
      <c r="BK166" s="93"/>
      <c r="BL166" s="93"/>
      <c r="BM166" s="93"/>
      <c r="BN166" s="93"/>
      <c r="BO166" s="93"/>
      <c r="BP166" s="93"/>
      <c r="BQ166" s="93"/>
      <c r="BR166" s="93">
        <v>0.33130081300813008</v>
      </c>
      <c r="BS166" s="93"/>
      <c r="BT166" s="93"/>
      <c r="BU166" s="93"/>
      <c r="BV166" s="93"/>
      <c r="BW166" s="93"/>
      <c r="BX166" s="93"/>
      <c r="BY166" s="93"/>
      <c r="BZ166" s="93"/>
      <c r="CA166" s="93"/>
      <c r="CB166" s="93"/>
      <c r="CC166" s="93"/>
      <c r="CD166" s="93"/>
      <c r="CE166" s="93"/>
      <c r="CF166" s="93"/>
      <c r="CG166" s="93"/>
      <c r="CH166" s="93"/>
      <c r="CI166" s="93"/>
      <c r="CJ166" s="93"/>
      <c r="CK166" s="93"/>
      <c r="CL166" s="93"/>
      <c r="CM166" s="93"/>
      <c r="CN166" s="93"/>
      <c r="CO166" s="93"/>
      <c r="CP166" s="93"/>
      <c r="CQ166" s="93"/>
      <c r="CR166" s="93"/>
      <c r="CS166" s="93"/>
      <c r="CT166" s="93"/>
      <c r="CU166" s="93"/>
      <c r="CV166" s="93"/>
      <c r="CW166" s="93"/>
      <c r="CX166" s="93"/>
      <c r="CY166" s="93"/>
      <c r="CZ166" s="93"/>
      <c r="DA166" s="93"/>
      <c r="DB166" s="93"/>
      <c r="DC166" s="93"/>
      <c r="DD166" s="93"/>
      <c r="DE166" s="93"/>
      <c r="DF166" s="93"/>
      <c r="DG166" s="93"/>
      <c r="DH166" s="93"/>
      <c r="DI166" s="93"/>
      <c r="DJ166" s="93"/>
      <c r="DK166" s="93"/>
      <c r="DL166" s="93"/>
      <c r="DM166" s="93"/>
      <c r="DN166" s="93"/>
      <c r="DO166" s="93"/>
      <c r="DP166" s="93"/>
      <c r="DQ166" s="93"/>
      <c r="DR166" s="93"/>
      <c r="DS166" s="93"/>
      <c r="DT166" s="93"/>
      <c r="DU166" s="93"/>
      <c r="DV166" s="93"/>
      <c r="DW166" s="93"/>
      <c r="DX166" s="93"/>
      <c r="DY166" s="93"/>
      <c r="DZ166" s="93"/>
      <c r="EA166" s="93"/>
      <c r="EB166" s="93"/>
      <c r="EC166" s="93"/>
      <c r="ED166" s="93"/>
      <c r="EE166" s="93"/>
      <c r="EF166" s="93"/>
      <c r="EG166" s="93"/>
      <c r="EH166" s="93"/>
      <c r="EI166" s="93"/>
      <c r="EJ166" s="93"/>
      <c r="EK166" s="93"/>
      <c r="EL166" s="93"/>
      <c r="EM166" s="93"/>
      <c r="EN166" s="93"/>
      <c r="EO166" s="93"/>
      <c r="EP166" s="93"/>
      <c r="EQ166" s="93"/>
      <c r="ER166" s="93"/>
      <c r="ES166" s="93"/>
      <c r="ET166" s="93"/>
      <c r="EU166" s="93"/>
      <c r="EV166" s="93"/>
      <c r="EW166" s="93"/>
      <c r="EX166" s="93"/>
      <c r="EY166" s="93"/>
      <c r="EZ166" s="93"/>
      <c r="FA166" s="93"/>
      <c r="FB166" s="93"/>
      <c r="FC166" s="93"/>
      <c r="FD166" s="93"/>
      <c r="FE166" s="93"/>
      <c r="FF166" s="93"/>
      <c r="FG166" s="93"/>
      <c r="FH166" s="93"/>
      <c r="FI166" s="93"/>
      <c r="FJ166" s="93"/>
      <c r="FK166" s="93"/>
      <c r="FL166" s="93"/>
      <c r="FM166" s="93"/>
      <c r="FN166" s="93"/>
      <c r="FO166" s="93"/>
      <c r="FP166" s="93"/>
      <c r="FQ166" s="93"/>
      <c r="FR166" s="93"/>
      <c r="FS166" s="93"/>
      <c r="FT166" s="93"/>
      <c r="FU166" s="93"/>
      <c r="FV166" s="93"/>
      <c r="FW166" s="93"/>
      <c r="FX166" s="93"/>
      <c r="FY166" s="93"/>
      <c r="FZ166" s="93"/>
      <c r="GA166" s="93"/>
      <c r="GB166" s="93"/>
      <c r="GC166" s="93"/>
      <c r="GD166" s="93"/>
      <c r="GE166" s="93"/>
      <c r="GF166" s="93"/>
      <c r="GG166" s="93"/>
      <c r="GH166" s="93"/>
      <c r="GI166" s="93"/>
      <c r="GJ166" s="93"/>
      <c r="GK166" s="93"/>
      <c r="GL166" s="93"/>
      <c r="GM166" s="93"/>
      <c r="GN166" s="93"/>
      <c r="GO166" s="93"/>
      <c r="GP166" s="93"/>
      <c r="GQ166" s="93"/>
      <c r="GR166" s="93"/>
      <c r="GS166" s="93"/>
      <c r="GT166" s="93"/>
      <c r="GU166" s="93"/>
      <c r="GV166" s="93"/>
      <c r="GW166" s="93"/>
      <c r="GX166" s="93"/>
      <c r="GY166" s="93"/>
      <c r="GZ166" s="93"/>
      <c r="HA166" s="93"/>
      <c r="HB166" s="93"/>
      <c r="HC166" s="93"/>
      <c r="HD166" s="93"/>
      <c r="HE166" s="93"/>
      <c r="HF166" s="93"/>
      <c r="HG166" s="93"/>
    </row>
    <row r="167" spans="14:215" x14ac:dyDescent="0.2">
      <c r="N167" s="93" t="s">
        <v>284</v>
      </c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  <c r="BI167" s="93"/>
      <c r="BJ167" s="93"/>
      <c r="BK167" s="93"/>
      <c r="BL167" s="93"/>
      <c r="BM167" s="93"/>
      <c r="BN167" s="93"/>
      <c r="BO167" s="93"/>
      <c r="BP167" s="93"/>
      <c r="BQ167" s="93"/>
      <c r="BR167" s="93"/>
      <c r="BS167" s="93">
        <v>0.33133732534930138</v>
      </c>
      <c r="BT167" s="93"/>
      <c r="BU167" s="93"/>
      <c r="BV167" s="93"/>
      <c r="BW167" s="93"/>
      <c r="BX167" s="93"/>
      <c r="BY167" s="93"/>
      <c r="BZ167" s="93"/>
      <c r="CA167" s="93"/>
      <c r="CB167" s="93"/>
      <c r="CC167" s="93"/>
      <c r="CD167" s="93"/>
      <c r="CE167" s="93"/>
      <c r="CF167" s="93"/>
      <c r="CG167" s="93"/>
      <c r="CH167" s="93"/>
      <c r="CI167" s="93"/>
      <c r="CJ167" s="93"/>
      <c r="CK167" s="93"/>
      <c r="CL167" s="93"/>
      <c r="CM167" s="93"/>
      <c r="CN167" s="93"/>
      <c r="CO167" s="93"/>
      <c r="CP167" s="93"/>
      <c r="CQ167" s="93"/>
      <c r="CR167" s="93"/>
      <c r="CS167" s="93"/>
      <c r="CT167" s="93"/>
      <c r="CU167" s="93"/>
      <c r="CV167" s="93"/>
      <c r="CW167" s="93"/>
      <c r="CX167" s="93"/>
      <c r="CY167" s="93"/>
      <c r="CZ167" s="93"/>
      <c r="DA167" s="93"/>
      <c r="DB167" s="93"/>
      <c r="DC167" s="93"/>
      <c r="DD167" s="93"/>
      <c r="DE167" s="93"/>
      <c r="DF167" s="93"/>
      <c r="DG167" s="93"/>
      <c r="DH167" s="93"/>
      <c r="DI167" s="93"/>
      <c r="DJ167" s="93"/>
      <c r="DK167" s="93"/>
      <c r="DL167" s="93"/>
      <c r="DM167" s="93"/>
      <c r="DN167" s="93"/>
      <c r="DO167" s="93"/>
      <c r="DP167" s="93"/>
      <c r="DQ167" s="93"/>
      <c r="DR167" s="93"/>
      <c r="DS167" s="93"/>
      <c r="DT167" s="93"/>
      <c r="DU167" s="93"/>
      <c r="DV167" s="93"/>
      <c r="DW167" s="93"/>
      <c r="DX167" s="93"/>
      <c r="DY167" s="93"/>
      <c r="DZ167" s="93"/>
      <c r="EA167" s="93"/>
      <c r="EB167" s="93"/>
      <c r="EC167" s="93"/>
      <c r="ED167" s="93"/>
      <c r="EE167" s="93"/>
      <c r="EF167" s="93"/>
      <c r="EG167" s="93"/>
      <c r="EH167" s="93"/>
      <c r="EI167" s="93"/>
      <c r="EJ167" s="93"/>
      <c r="EK167" s="93"/>
      <c r="EL167" s="93"/>
      <c r="EM167" s="93"/>
      <c r="EN167" s="93"/>
      <c r="EO167" s="93"/>
      <c r="EP167" s="93"/>
      <c r="EQ167" s="93"/>
      <c r="ER167" s="93"/>
      <c r="ES167" s="93"/>
      <c r="ET167" s="93"/>
      <c r="EU167" s="93"/>
      <c r="EV167" s="93"/>
      <c r="EW167" s="93"/>
      <c r="EX167" s="93"/>
      <c r="EY167" s="93"/>
      <c r="EZ167" s="93"/>
      <c r="FA167" s="93"/>
      <c r="FB167" s="93"/>
      <c r="FC167" s="93"/>
      <c r="FD167" s="93"/>
      <c r="FE167" s="93"/>
      <c r="FF167" s="93"/>
      <c r="FG167" s="93"/>
      <c r="FH167" s="93"/>
      <c r="FI167" s="93"/>
      <c r="FJ167" s="93"/>
      <c r="FK167" s="93"/>
      <c r="FL167" s="93"/>
      <c r="FM167" s="93"/>
      <c r="FN167" s="93"/>
      <c r="FO167" s="93"/>
      <c r="FP167" s="93"/>
      <c r="FQ167" s="93"/>
      <c r="FR167" s="93"/>
      <c r="FS167" s="93"/>
      <c r="FT167" s="93"/>
      <c r="FU167" s="93"/>
      <c r="FV167" s="93"/>
      <c r="FW167" s="93"/>
      <c r="FX167" s="93"/>
      <c r="FY167" s="93"/>
      <c r="FZ167" s="93"/>
      <c r="GA167" s="93"/>
      <c r="GB167" s="93"/>
      <c r="GC167" s="93"/>
      <c r="GD167" s="93"/>
      <c r="GE167" s="93"/>
      <c r="GF167" s="93"/>
      <c r="GG167" s="93"/>
      <c r="GH167" s="93"/>
      <c r="GI167" s="93"/>
      <c r="GJ167" s="93"/>
      <c r="GK167" s="93"/>
      <c r="GL167" s="93"/>
      <c r="GM167" s="93"/>
      <c r="GN167" s="93"/>
      <c r="GO167" s="93"/>
      <c r="GP167" s="93"/>
      <c r="GQ167" s="93"/>
      <c r="GR167" s="93"/>
      <c r="GS167" s="93"/>
      <c r="GT167" s="93"/>
      <c r="GU167" s="93"/>
      <c r="GV167" s="93"/>
      <c r="GW167" s="93"/>
      <c r="GX167" s="93"/>
      <c r="GY167" s="93"/>
      <c r="GZ167" s="93"/>
      <c r="HA167" s="93"/>
      <c r="HB167" s="93"/>
      <c r="HC167" s="93"/>
      <c r="HD167" s="93"/>
      <c r="HE167" s="93"/>
      <c r="HF167" s="93"/>
      <c r="HG167" s="93"/>
    </row>
    <row r="168" spans="14:215" x14ac:dyDescent="0.2">
      <c r="N168" s="93" t="s">
        <v>285</v>
      </c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93"/>
      <c r="BG168" s="93"/>
      <c r="BH168" s="93"/>
      <c r="BI168" s="93"/>
      <c r="BJ168" s="93"/>
      <c r="BK168" s="93"/>
      <c r="BL168" s="93"/>
      <c r="BM168" s="93"/>
      <c r="BN168" s="93"/>
      <c r="BO168" s="93"/>
      <c r="BP168" s="93"/>
      <c r="BQ168" s="93"/>
      <c r="BR168" s="93"/>
      <c r="BS168" s="93"/>
      <c r="BT168" s="93">
        <v>0.33137254901960783</v>
      </c>
      <c r="BU168" s="93"/>
      <c r="BV168" s="93"/>
      <c r="BW168" s="93"/>
      <c r="BX168" s="93"/>
      <c r="BY168" s="93"/>
      <c r="BZ168" s="93"/>
      <c r="CA168" s="93"/>
      <c r="CB168" s="93"/>
      <c r="CC168" s="93"/>
      <c r="CD168" s="93"/>
      <c r="CE168" s="93"/>
      <c r="CF168" s="93"/>
      <c r="CG168" s="93"/>
      <c r="CH168" s="93"/>
      <c r="CI168" s="93"/>
      <c r="CJ168" s="93"/>
      <c r="CK168" s="93"/>
      <c r="CL168" s="93"/>
      <c r="CM168" s="93"/>
      <c r="CN168" s="93"/>
      <c r="CO168" s="93"/>
      <c r="CP168" s="93"/>
      <c r="CQ168" s="93"/>
      <c r="CR168" s="93"/>
      <c r="CS168" s="93"/>
      <c r="CT168" s="93"/>
      <c r="CU168" s="93"/>
      <c r="CV168" s="93"/>
      <c r="CW168" s="93"/>
      <c r="CX168" s="93"/>
      <c r="CY168" s="93"/>
      <c r="CZ168" s="93"/>
      <c r="DA168" s="93"/>
      <c r="DB168" s="93"/>
      <c r="DC168" s="93"/>
      <c r="DD168" s="93"/>
      <c r="DE168" s="93"/>
      <c r="DF168" s="93"/>
      <c r="DG168" s="93"/>
      <c r="DH168" s="93"/>
      <c r="DI168" s="93"/>
      <c r="DJ168" s="93"/>
      <c r="DK168" s="93"/>
      <c r="DL168" s="93"/>
      <c r="DM168" s="93"/>
      <c r="DN168" s="93"/>
      <c r="DO168" s="93"/>
      <c r="DP168" s="93"/>
      <c r="DQ168" s="93"/>
      <c r="DR168" s="93"/>
      <c r="DS168" s="93"/>
      <c r="DT168" s="93"/>
      <c r="DU168" s="93"/>
      <c r="DV168" s="93"/>
      <c r="DW168" s="93"/>
      <c r="DX168" s="93"/>
      <c r="DY168" s="93"/>
      <c r="DZ168" s="93"/>
      <c r="EA168" s="93"/>
      <c r="EB168" s="93"/>
      <c r="EC168" s="93"/>
      <c r="ED168" s="93"/>
      <c r="EE168" s="93"/>
      <c r="EF168" s="93"/>
      <c r="EG168" s="93"/>
      <c r="EH168" s="93"/>
      <c r="EI168" s="93"/>
      <c r="EJ168" s="93"/>
      <c r="EK168" s="93"/>
      <c r="EL168" s="93"/>
      <c r="EM168" s="93"/>
      <c r="EN168" s="93"/>
      <c r="EO168" s="93"/>
      <c r="EP168" s="93"/>
      <c r="EQ168" s="93"/>
      <c r="ER168" s="93"/>
      <c r="ES168" s="93"/>
      <c r="ET168" s="93"/>
      <c r="EU168" s="93"/>
      <c r="EV168" s="93"/>
      <c r="EW168" s="93"/>
      <c r="EX168" s="93"/>
      <c r="EY168" s="93"/>
      <c r="EZ168" s="93"/>
      <c r="FA168" s="93"/>
      <c r="FB168" s="93"/>
      <c r="FC168" s="93"/>
      <c r="FD168" s="93"/>
      <c r="FE168" s="93"/>
      <c r="FF168" s="93"/>
      <c r="FG168" s="93"/>
      <c r="FH168" s="93"/>
      <c r="FI168" s="93"/>
      <c r="FJ168" s="93"/>
      <c r="FK168" s="93"/>
      <c r="FL168" s="93"/>
      <c r="FM168" s="93"/>
      <c r="FN168" s="93"/>
      <c r="FO168" s="93"/>
      <c r="FP168" s="93"/>
      <c r="FQ168" s="93"/>
      <c r="FR168" s="93"/>
      <c r="FS168" s="93"/>
      <c r="FT168" s="93"/>
      <c r="FU168" s="93"/>
      <c r="FV168" s="93"/>
      <c r="FW168" s="93"/>
      <c r="FX168" s="93"/>
      <c r="FY168" s="93"/>
      <c r="FZ168" s="93"/>
      <c r="GA168" s="93"/>
      <c r="GB168" s="93"/>
      <c r="GC168" s="93"/>
      <c r="GD168" s="93"/>
      <c r="GE168" s="93"/>
      <c r="GF168" s="93"/>
      <c r="GG168" s="93"/>
      <c r="GH168" s="93"/>
      <c r="GI168" s="93"/>
      <c r="GJ168" s="93"/>
      <c r="GK168" s="93"/>
      <c r="GL168" s="93"/>
      <c r="GM168" s="93"/>
      <c r="GN168" s="93"/>
      <c r="GO168" s="93"/>
      <c r="GP168" s="93"/>
      <c r="GQ168" s="93"/>
      <c r="GR168" s="93"/>
      <c r="GS168" s="93"/>
      <c r="GT168" s="93"/>
      <c r="GU168" s="93"/>
      <c r="GV168" s="93"/>
      <c r="GW168" s="93"/>
      <c r="GX168" s="93"/>
      <c r="GY168" s="93"/>
      <c r="GZ168" s="93"/>
      <c r="HA168" s="93"/>
      <c r="HB168" s="93"/>
      <c r="HC168" s="93"/>
      <c r="HD168" s="93"/>
      <c r="HE168" s="93"/>
      <c r="HF168" s="93"/>
      <c r="HG168" s="93"/>
    </row>
    <row r="169" spans="14:215" x14ac:dyDescent="0.2">
      <c r="N169" s="93" t="s">
        <v>286</v>
      </c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  <c r="BI169" s="93"/>
      <c r="BJ169" s="93"/>
      <c r="BK169" s="93"/>
      <c r="BL169" s="93"/>
      <c r="BM169" s="93"/>
      <c r="BN169" s="93"/>
      <c r="BO169" s="93"/>
      <c r="BP169" s="93"/>
      <c r="BQ169" s="93"/>
      <c r="BR169" s="93"/>
      <c r="BS169" s="93"/>
      <c r="BT169" s="93"/>
      <c r="BU169" s="93">
        <v>0.33140655105973027</v>
      </c>
      <c r="BV169" s="93"/>
      <c r="BW169" s="93"/>
      <c r="BX169" s="93"/>
      <c r="BY169" s="93"/>
      <c r="BZ169" s="93"/>
      <c r="CA169" s="93"/>
      <c r="CB169" s="93"/>
      <c r="CC169" s="93"/>
      <c r="CD169" s="93"/>
      <c r="CE169" s="93"/>
      <c r="CF169" s="93"/>
      <c r="CG169" s="93"/>
      <c r="CH169" s="93"/>
      <c r="CI169" s="93"/>
      <c r="CJ169" s="93"/>
      <c r="CK169" s="93"/>
      <c r="CL169" s="93"/>
      <c r="CM169" s="93"/>
      <c r="CN169" s="93"/>
      <c r="CO169" s="93"/>
      <c r="CP169" s="93"/>
      <c r="CQ169" s="93"/>
      <c r="CR169" s="93"/>
      <c r="CS169" s="93"/>
      <c r="CT169" s="93"/>
      <c r="CU169" s="93"/>
      <c r="CV169" s="93"/>
      <c r="CW169" s="93"/>
      <c r="CX169" s="93"/>
      <c r="CY169" s="93"/>
      <c r="CZ169" s="93"/>
      <c r="DA169" s="93"/>
      <c r="DB169" s="93"/>
      <c r="DC169" s="93"/>
      <c r="DD169" s="93"/>
      <c r="DE169" s="93"/>
      <c r="DF169" s="93"/>
      <c r="DG169" s="93"/>
      <c r="DH169" s="93"/>
      <c r="DI169" s="93"/>
      <c r="DJ169" s="93"/>
      <c r="DK169" s="93"/>
      <c r="DL169" s="93"/>
      <c r="DM169" s="93"/>
      <c r="DN169" s="93"/>
      <c r="DO169" s="93"/>
      <c r="DP169" s="93"/>
      <c r="DQ169" s="93"/>
      <c r="DR169" s="93"/>
      <c r="DS169" s="93"/>
      <c r="DT169" s="93"/>
      <c r="DU169" s="93"/>
      <c r="DV169" s="93"/>
      <c r="DW169" s="93"/>
      <c r="DX169" s="93"/>
      <c r="DY169" s="93"/>
      <c r="DZ169" s="93"/>
      <c r="EA169" s="93"/>
      <c r="EB169" s="93"/>
      <c r="EC169" s="93"/>
      <c r="ED169" s="93"/>
      <c r="EE169" s="93"/>
      <c r="EF169" s="93"/>
      <c r="EG169" s="93"/>
      <c r="EH169" s="93"/>
      <c r="EI169" s="93"/>
      <c r="EJ169" s="93"/>
      <c r="EK169" s="93"/>
      <c r="EL169" s="93"/>
      <c r="EM169" s="93"/>
      <c r="EN169" s="93"/>
      <c r="EO169" s="93"/>
      <c r="EP169" s="93"/>
      <c r="EQ169" s="93"/>
      <c r="ER169" s="93"/>
      <c r="ES169" s="93"/>
      <c r="ET169" s="93"/>
      <c r="EU169" s="93"/>
      <c r="EV169" s="93"/>
      <c r="EW169" s="93"/>
      <c r="EX169" s="93"/>
      <c r="EY169" s="93"/>
      <c r="EZ169" s="93"/>
      <c r="FA169" s="93"/>
      <c r="FB169" s="93"/>
      <c r="FC169" s="93"/>
      <c r="FD169" s="93"/>
      <c r="FE169" s="93"/>
      <c r="FF169" s="93"/>
      <c r="FG169" s="93"/>
      <c r="FH169" s="93"/>
      <c r="FI169" s="93"/>
      <c r="FJ169" s="93"/>
      <c r="FK169" s="93"/>
      <c r="FL169" s="93"/>
      <c r="FM169" s="93"/>
      <c r="FN169" s="93"/>
      <c r="FO169" s="93"/>
      <c r="FP169" s="93"/>
      <c r="FQ169" s="93"/>
      <c r="FR169" s="93"/>
      <c r="FS169" s="93"/>
      <c r="FT169" s="93"/>
      <c r="FU169" s="93"/>
      <c r="FV169" s="93"/>
      <c r="FW169" s="93"/>
      <c r="FX169" s="93"/>
      <c r="FY169" s="93"/>
      <c r="FZ169" s="93"/>
      <c r="GA169" s="93"/>
      <c r="GB169" s="93"/>
      <c r="GC169" s="93"/>
      <c r="GD169" s="93"/>
      <c r="GE169" s="93"/>
      <c r="GF169" s="93"/>
      <c r="GG169" s="93"/>
      <c r="GH169" s="93"/>
      <c r="GI169" s="93"/>
      <c r="GJ169" s="93"/>
      <c r="GK169" s="93"/>
      <c r="GL169" s="93"/>
      <c r="GM169" s="93"/>
      <c r="GN169" s="93"/>
      <c r="GO169" s="93"/>
      <c r="GP169" s="93"/>
      <c r="GQ169" s="93"/>
      <c r="GR169" s="93"/>
      <c r="GS169" s="93"/>
      <c r="GT169" s="93"/>
      <c r="GU169" s="93"/>
      <c r="GV169" s="93"/>
      <c r="GW169" s="93"/>
      <c r="GX169" s="93"/>
      <c r="GY169" s="93"/>
      <c r="GZ169" s="93"/>
      <c r="HA169" s="93"/>
      <c r="HB169" s="93"/>
      <c r="HC169" s="93"/>
      <c r="HD169" s="93"/>
      <c r="HE169" s="93"/>
      <c r="HF169" s="93"/>
      <c r="HG169" s="93"/>
    </row>
    <row r="170" spans="14:215" x14ac:dyDescent="0.2">
      <c r="N170" s="93" t="s">
        <v>287</v>
      </c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93"/>
      <c r="BG170" s="93"/>
      <c r="BH170" s="93"/>
      <c r="BI170" s="93"/>
      <c r="BJ170" s="93"/>
      <c r="BK170" s="93"/>
      <c r="BL170" s="93"/>
      <c r="BM170" s="93"/>
      <c r="BN170" s="93"/>
      <c r="BO170" s="93"/>
      <c r="BP170" s="93"/>
      <c r="BQ170" s="93"/>
      <c r="BR170" s="93"/>
      <c r="BS170" s="93"/>
      <c r="BT170" s="93"/>
      <c r="BU170" s="93"/>
      <c r="BV170" s="93">
        <v>0.33143939393939392</v>
      </c>
      <c r="BW170" s="93"/>
      <c r="BX170" s="93"/>
      <c r="BY170" s="93"/>
      <c r="BZ170" s="93"/>
      <c r="CA170" s="93"/>
      <c r="CB170" s="93"/>
      <c r="CC170" s="93"/>
      <c r="CD170" s="93"/>
      <c r="CE170" s="93"/>
      <c r="CF170" s="93"/>
      <c r="CG170" s="93"/>
      <c r="CH170" s="93"/>
      <c r="CI170" s="93"/>
      <c r="CJ170" s="93"/>
      <c r="CK170" s="93"/>
      <c r="CL170" s="93"/>
      <c r="CM170" s="93"/>
      <c r="CN170" s="93"/>
      <c r="CO170" s="93"/>
      <c r="CP170" s="93"/>
      <c r="CQ170" s="93"/>
      <c r="CR170" s="93"/>
      <c r="CS170" s="93"/>
      <c r="CT170" s="93"/>
      <c r="CU170" s="93"/>
      <c r="CV170" s="93"/>
      <c r="CW170" s="93"/>
      <c r="CX170" s="93"/>
      <c r="CY170" s="93"/>
      <c r="CZ170" s="93"/>
      <c r="DA170" s="93"/>
      <c r="DB170" s="93"/>
      <c r="DC170" s="93"/>
      <c r="DD170" s="93"/>
      <c r="DE170" s="93"/>
      <c r="DF170" s="93"/>
      <c r="DG170" s="93"/>
      <c r="DH170" s="93"/>
      <c r="DI170" s="93"/>
      <c r="DJ170" s="93"/>
      <c r="DK170" s="93"/>
      <c r="DL170" s="93"/>
      <c r="DM170" s="93"/>
      <c r="DN170" s="93"/>
      <c r="DO170" s="93"/>
      <c r="DP170" s="93"/>
      <c r="DQ170" s="93"/>
      <c r="DR170" s="93"/>
      <c r="DS170" s="93"/>
      <c r="DT170" s="93"/>
      <c r="DU170" s="93"/>
      <c r="DV170" s="93"/>
      <c r="DW170" s="93"/>
      <c r="DX170" s="93"/>
      <c r="DY170" s="93"/>
      <c r="DZ170" s="93"/>
      <c r="EA170" s="93"/>
      <c r="EB170" s="93"/>
      <c r="EC170" s="93"/>
      <c r="ED170" s="93"/>
      <c r="EE170" s="93"/>
      <c r="EF170" s="93"/>
      <c r="EG170" s="93"/>
      <c r="EH170" s="93"/>
      <c r="EI170" s="93"/>
      <c r="EJ170" s="93"/>
      <c r="EK170" s="93"/>
      <c r="EL170" s="93"/>
      <c r="EM170" s="93"/>
      <c r="EN170" s="93"/>
      <c r="EO170" s="93"/>
      <c r="EP170" s="93"/>
      <c r="EQ170" s="93"/>
      <c r="ER170" s="93"/>
      <c r="ES170" s="93"/>
      <c r="ET170" s="93"/>
      <c r="EU170" s="93"/>
      <c r="EV170" s="93"/>
      <c r="EW170" s="93"/>
      <c r="EX170" s="93"/>
      <c r="EY170" s="93"/>
      <c r="EZ170" s="93"/>
      <c r="FA170" s="93"/>
      <c r="FB170" s="93"/>
      <c r="FC170" s="93"/>
      <c r="FD170" s="93"/>
      <c r="FE170" s="93"/>
      <c r="FF170" s="93"/>
      <c r="FG170" s="93"/>
      <c r="FH170" s="93"/>
      <c r="FI170" s="93"/>
      <c r="FJ170" s="93"/>
      <c r="FK170" s="93"/>
      <c r="FL170" s="93"/>
      <c r="FM170" s="93"/>
      <c r="FN170" s="93"/>
      <c r="FO170" s="93"/>
      <c r="FP170" s="93"/>
      <c r="FQ170" s="93"/>
      <c r="FR170" s="93"/>
      <c r="FS170" s="93"/>
      <c r="FT170" s="93"/>
      <c r="FU170" s="93"/>
      <c r="FV170" s="93"/>
      <c r="FW170" s="93"/>
      <c r="FX170" s="93"/>
      <c r="FY170" s="93"/>
      <c r="FZ170" s="93"/>
      <c r="GA170" s="93"/>
      <c r="GB170" s="93"/>
      <c r="GC170" s="93"/>
      <c r="GD170" s="93"/>
      <c r="GE170" s="93"/>
      <c r="GF170" s="93"/>
      <c r="GG170" s="93"/>
      <c r="GH170" s="93"/>
      <c r="GI170" s="93"/>
      <c r="GJ170" s="93"/>
      <c r="GK170" s="93"/>
      <c r="GL170" s="93"/>
      <c r="GM170" s="93"/>
      <c r="GN170" s="93"/>
      <c r="GO170" s="93"/>
      <c r="GP170" s="93"/>
      <c r="GQ170" s="93"/>
      <c r="GR170" s="93"/>
      <c r="GS170" s="93"/>
      <c r="GT170" s="93"/>
      <c r="GU170" s="93"/>
      <c r="GV170" s="93"/>
      <c r="GW170" s="93"/>
      <c r="GX170" s="93"/>
      <c r="GY170" s="93"/>
      <c r="GZ170" s="93"/>
      <c r="HA170" s="93"/>
      <c r="HB170" s="93"/>
      <c r="HC170" s="93"/>
      <c r="HD170" s="93"/>
      <c r="HE170" s="93"/>
      <c r="HF170" s="93"/>
      <c r="HG170" s="93"/>
    </row>
    <row r="171" spans="14:215" x14ac:dyDescent="0.2">
      <c r="N171" s="93" t="s">
        <v>288</v>
      </c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  <c r="BI171" s="93"/>
      <c r="BJ171" s="93"/>
      <c r="BK171" s="93"/>
      <c r="BL171" s="93"/>
      <c r="BM171" s="93"/>
      <c r="BN171" s="93"/>
      <c r="BO171" s="93"/>
      <c r="BP171" s="93"/>
      <c r="BQ171" s="93"/>
      <c r="BR171" s="93"/>
      <c r="BS171" s="93"/>
      <c r="BT171" s="93"/>
      <c r="BU171" s="93"/>
      <c r="BV171" s="93"/>
      <c r="BW171" s="93">
        <v>0.33147113594040967</v>
      </c>
      <c r="BX171" s="93"/>
      <c r="BY171" s="93"/>
      <c r="BZ171" s="93"/>
      <c r="CA171" s="93"/>
      <c r="CB171" s="93"/>
      <c r="CC171" s="93"/>
      <c r="CD171" s="93"/>
      <c r="CE171" s="93"/>
      <c r="CF171" s="93"/>
      <c r="CG171" s="93"/>
      <c r="CH171" s="93"/>
      <c r="CI171" s="93"/>
      <c r="CJ171" s="93"/>
      <c r="CK171" s="93"/>
      <c r="CL171" s="93"/>
      <c r="CM171" s="93"/>
      <c r="CN171" s="93"/>
      <c r="CO171" s="93"/>
      <c r="CP171" s="93"/>
      <c r="CQ171" s="93"/>
      <c r="CR171" s="93"/>
      <c r="CS171" s="93"/>
      <c r="CT171" s="93"/>
      <c r="CU171" s="93"/>
      <c r="CV171" s="93"/>
      <c r="CW171" s="93"/>
      <c r="CX171" s="93"/>
      <c r="CY171" s="93"/>
      <c r="CZ171" s="93"/>
      <c r="DA171" s="93"/>
      <c r="DB171" s="93"/>
      <c r="DC171" s="93"/>
      <c r="DD171" s="93"/>
      <c r="DE171" s="93"/>
      <c r="DF171" s="93"/>
      <c r="DG171" s="93"/>
      <c r="DH171" s="93"/>
      <c r="DI171" s="93"/>
      <c r="DJ171" s="93"/>
      <c r="DK171" s="93"/>
      <c r="DL171" s="93"/>
      <c r="DM171" s="93"/>
      <c r="DN171" s="93"/>
      <c r="DO171" s="93"/>
      <c r="DP171" s="93"/>
      <c r="DQ171" s="93"/>
      <c r="DR171" s="93"/>
      <c r="DS171" s="93"/>
      <c r="DT171" s="93"/>
      <c r="DU171" s="93"/>
      <c r="DV171" s="93"/>
      <c r="DW171" s="93"/>
      <c r="DX171" s="93"/>
      <c r="DY171" s="93"/>
      <c r="DZ171" s="93"/>
      <c r="EA171" s="93"/>
      <c r="EB171" s="93"/>
      <c r="EC171" s="93"/>
      <c r="ED171" s="93"/>
      <c r="EE171" s="93"/>
      <c r="EF171" s="93"/>
      <c r="EG171" s="93"/>
      <c r="EH171" s="93"/>
      <c r="EI171" s="93"/>
      <c r="EJ171" s="93"/>
      <c r="EK171" s="93"/>
      <c r="EL171" s="93"/>
      <c r="EM171" s="93"/>
      <c r="EN171" s="93"/>
      <c r="EO171" s="93"/>
      <c r="EP171" s="93"/>
      <c r="EQ171" s="93"/>
      <c r="ER171" s="93"/>
      <c r="ES171" s="93"/>
      <c r="ET171" s="93"/>
      <c r="EU171" s="93"/>
      <c r="EV171" s="93"/>
      <c r="EW171" s="93"/>
      <c r="EX171" s="93"/>
      <c r="EY171" s="93"/>
      <c r="EZ171" s="93"/>
      <c r="FA171" s="93"/>
      <c r="FB171" s="93"/>
      <c r="FC171" s="93"/>
      <c r="FD171" s="93"/>
      <c r="FE171" s="93"/>
      <c r="FF171" s="93"/>
      <c r="FG171" s="93"/>
      <c r="FH171" s="93"/>
      <c r="FI171" s="93"/>
      <c r="FJ171" s="93"/>
      <c r="FK171" s="93"/>
      <c r="FL171" s="93"/>
      <c r="FM171" s="93"/>
      <c r="FN171" s="93"/>
      <c r="FO171" s="93"/>
      <c r="FP171" s="93"/>
      <c r="FQ171" s="93"/>
      <c r="FR171" s="93"/>
      <c r="FS171" s="93"/>
      <c r="FT171" s="93"/>
      <c r="FU171" s="93"/>
      <c r="FV171" s="93"/>
      <c r="FW171" s="93"/>
      <c r="FX171" s="93"/>
      <c r="FY171" s="93"/>
      <c r="FZ171" s="93"/>
      <c r="GA171" s="93"/>
      <c r="GB171" s="93"/>
      <c r="GC171" s="93"/>
      <c r="GD171" s="93"/>
      <c r="GE171" s="93"/>
      <c r="GF171" s="93"/>
      <c r="GG171" s="93"/>
      <c r="GH171" s="93"/>
      <c r="GI171" s="93"/>
      <c r="GJ171" s="93"/>
      <c r="GK171" s="93"/>
      <c r="GL171" s="93"/>
      <c r="GM171" s="93"/>
      <c r="GN171" s="93"/>
      <c r="GO171" s="93"/>
      <c r="GP171" s="93"/>
      <c r="GQ171" s="93"/>
      <c r="GR171" s="93"/>
      <c r="GS171" s="93"/>
      <c r="GT171" s="93"/>
      <c r="GU171" s="93"/>
      <c r="GV171" s="93"/>
      <c r="GW171" s="93"/>
      <c r="GX171" s="93"/>
      <c r="GY171" s="93"/>
      <c r="GZ171" s="93"/>
      <c r="HA171" s="93"/>
      <c r="HB171" s="93"/>
      <c r="HC171" s="93"/>
      <c r="HD171" s="93"/>
      <c r="HE171" s="93"/>
      <c r="HF171" s="93"/>
      <c r="HG171" s="93"/>
    </row>
    <row r="172" spans="14:215" x14ac:dyDescent="0.2">
      <c r="N172" s="93" t="s">
        <v>289</v>
      </c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3"/>
      <c r="AW172" s="93"/>
      <c r="AX172" s="93"/>
      <c r="AY172" s="93"/>
      <c r="AZ172" s="93"/>
      <c r="BA172" s="93"/>
      <c r="BB172" s="93"/>
      <c r="BC172" s="93"/>
      <c r="BD172" s="93"/>
      <c r="BE172" s="93"/>
      <c r="BF172" s="93"/>
      <c r="BG172" s="93"/>
      <c r="BH172" s="93"/>
      <c r="BI172" s="93"/>
      <c r="BJ172" s="93"/>
      <c r="BK172" s="93"/>
      <c r="BL172" s="93"/>
      <c r="BM172" s="93"/>
      <c r="BN172" s="93"/>
      <c r="BO172" s="93"/>
      <c r="BP172" s="93"/>
      <c r="BQ172" s="93"/>
      <c r="BR172" s="93"/>
      <c r="BS172" s="93"/>
      <c r="BT172" s="93"/>
      <c r="BU172" s="93"/>
      <c r="BV172" s="93"/>
      <c r="BW172" s="93"/>
      <c r="BX172" s="93">
        <v>0.33150183150183149</v>
      </c>
      <c r="BY172" s="93"/>
      <c r="BZ172" s="93"/>
      <c r="CA172" s="93"/>
      <c r="CB172" s="93"/>
      <c r="CC172" s="93"/>
      <c r="CD172" s="93"/>
      <c r="CE172" s="93"/>
      <c r="CF172" s="93"/>
      <c r="CG172" s="93"/>
      <c r="CH172" s="93"/>
      <c r="CI172" s="93"/>
      <c r="CJ172" s="93"/>
      <c r="CK172" s="93"/>
      <c r="CL172" s="93"/>
      <c r="CM172" s="93"/>
      <c r="CN172" s="93"/>
      <c r="CO172" s="93"/>
      <c r="CP172" s="93"/>
      <c r="CQ172" s="93"/>
      <c r="CR172" s="93"/>
      <c r="CS172" s="93"/>
      <c r="CT172" s="93"/>
      <c r="CU172" s="93"/>
      <c r="CV172" s="93"/>
      <c r="CW172" s="93"/>
      <c r="CX172" s="93"/>
      <c r="CY172" s="93"/>
      <c r="CZ172" s="93"/>
      <c r="DA172" s="93"/>
      <c r="DB172" s="93"/>
      <c r="DC172" s="93"/>
      <c r="DD172" s="93"/>
      <c r="DE172" s="93"/>
      <c r="DF172" s="93"/>
      <c r="DG172" s="93"/>
      <c r="DH172" s="93"/>
      <c r="DI172" s="93"/>
      <c r="DJ172" s="93"/>
      <c r="DK172" s="93"/>
      <c r="DL172" s="93"/>
      <c r="DM172" s="93"/>
      <c r="DN172" s="93"/>
      <c r="DO172" s="93"/>
      <c r="DP172" s="93"/>
      <c r="DQ172" s="93"/>
      <c r="DR172" s="93"/>
      <c r="DS172" s="93"/>
      <c r="DT172" s="93"/>
      <c r="DU172" s="93"/>
      <c r="DV172" s="93"/>
      <c r="DW172" s="93"/>
      <c r="DX172" s="93"/>
      <c r="DY172" s="93"/>
      <c r="DZ172" s="93"/>
      <c r="EA172" s="93"/>
      <c r="EB172" s="93"/>
      <c r="EC172" s="93"/>
      <c r="ED172" s="93"/>
      <c r="EE172" s="93"/>
      <c r="EF172" s="93"/>
      <c r="EG172" s="93"/>
      <c r="EH172" s="93"/>
      <c r="EI172" s="93"/>
      <c r="EJ172" s="93"/>
      <c r="EK172" s="93"/>
      <c r="EL172" s="93"/>
      <c r="EM172" s="93"/>
      <c r="EN172" s="93"/>
      <c r="EO172" s="93"/>
      <c r="EP172" s="93"/>
      <c r="EQ172" s="93"/>
      <c r="ER172" s="93"/>
      <c r="ES172" s="93"/>
      <c r="ET172" s="93"/>
      <c r="EU172" s="93"/>
      <c r="EV172" s="93"/>
      <c r="EW172" s="93"/>
      <c r="EX172" s="93"/>
      <c r="EY172" s="93"/>
      <c r="EZ172" s="93"/>
      <c r="FA172" s="93"/>
      <c r="FB172" s="93"/>
      <c r="FC172" s="93"/>
      <c r="FD172" s="93"/>
      <c r="FE172" s="93"/>
      <c r="FF172" s="93"/>
      <c r="FG172" s="93"/>
      <c r="FH172" s="93"/>
      <c r="FI172" s="93"/>
      <c r="FJ172" s="93"/>
      <c r="FK172" s="93"/>
      <c r="FL172" s="93"/>
      <c r="FM172" s="93"/>
      <c r="FN172" s="93"/>
      <c r="FO172" s="93"/>
      <c r="FP172" s="93"/>
      <c r="FQ172" s="93"/>
      <c r="FR172" s="93"/>
      <c r="FS172" s="93"/>
      <c r="FT172" s="93"/>
      <c r="FU172" s="93"/>
      <c r="FV172" s="93"/>
      <c r="FW172" s="93"/>
      <c r="FX172" s="93"/>
      <c r="FY172" s="93"/>
      <c r="FZ172" s="93"/>
      <c r="GA172" s="93"/>
      <c r="GB172" s="93"/>
      <c r="GC172" s="93"/>
      <c r="GD172" s="93"/>
      <c r="GE172" s="93"/>
      <c r="GF172" s="93"/>
      <c r="GG172" s="93"/>
      <c r="GH172" s="93"/>
      <c r="GI172" s="93"/>
      <c r="GJ172" s="93"/>
      <c r="GK172" s="93"/>
      <c r="GL172" s="93"/>
      <c r="GM172" s="93"/>
      <c r="GN172" s="93"/>
      <c r="GO172" s="93"/>
      <c r="GP172" s="93"/>
      <c r="GQ172" s="93"/>
      <c r="GR172" s="93"/>
      <c r="GS172" s="93"/>
      <c r="GT172" s="93"/>
      <c r="GU172" s="93"/>
      <c r="GV172" s="93"/>
      <c r="GW172" s="93"/>
      <c r="GX172" s="93"/>
      <c r="GY172" s="93"/>
      <c r="GZ172" s="93"/>
      <c r="HA172" s="93"/>
      <c r="HB172" s="93"/>
      <c r="HC172" s="93"/>
      <c r="HD172" s="93"/>
      <c r="HE172" s="93"/>
      <c r="HF172" s="93"/>
      <c r="HG172" s="93"/>
    </row>
    <row r="173" spans="14:215" x14ac:dyDescent="0.2">
      <c r="N173" s="93" t="s">
        <v>290</v>
      </c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  <c r="BI173" s="93"/>
      <c r="BJ173" s="93"/>
      <c r="BK173" s="93"/>
      <c r="BL173" s="93"/>
      <c r="BM173" s="93"/>
      <c r="BN173" s="93"/>
      <c r="BO173" s="93"/>
      <c r="BP173" s="93"/>
      <c r="BQ173" s="93"/>
      <c r="BR173" s="93"/>
      <c r="BS173" s="93"/>
      <c r="BT173" s="93"/>
      <c r="BU173" s="93"/>
      <c r="BV173" s="93"/>
      <c r="BW173" s="93"/>
      <c r="BX173" s="93"/>
      <c r="BY173" s="93">
        <v>0.33153153153153153</v>
      </c>
      <c r="BZ173" s="93"/>
      <c r="CA173" s="93"/>
      <c r="CB173" s="93"/>
      <c r="CC173" s="93"/>
      <c r="CD173" s="93"/>
      <c r="CE173" s="93"/>
      <c r="CF173" s="93"/>
      <c r="CG173" s="93"/>
      <c r="CH173" s="93"/>
      <c r="CI173" s="93"/>
      <c r="CJ173" s="93"/>
      <c r="CK173" s="93"/>
      <c r="CL173" s="93"/>
      <c r="CM173" s="93"/>
      <c r="CN173" s="93"/>
      <c r="CO173" s="93"/>
      <c r="CP173" s="93"/>
      <c r="CQ173" s="93"/>
      <c r="CR173" s="93"/>
      <c r="CS173" s="93"/>
      <c r="CT173" s="93"/>
      <c r="CU173" s="93"/>
      <c r="CV173" s="93"/>
      <c r="CW173" s="93"/>
      <c r="CX173" s="93"/>
      <c r="CY173" s="93"/>
      <c r="CZ173" s="93"/>
      <c r="DA173" s="93"/>
      <c r="DB173" s="93"/>
      <c r="DC173" s="93"/>
      <c r="DD173" s="93"/>
      <c r="DE173" s="93"/>
      <c r="DF173" s="93"/>
      <c r="DG173" s="93"/>
      <c r="DH173" s="93"/>
      <c r="DI173" s="93"/>
      <c r="DJ173" s="93"/>
      <c r="DK173" s="93"/>
      <c r="DL173" s="93"/>
      <c r="DM173" s="93"/>
      <c r="DN173" s="93"/>
      <c r="DO173" s="93"/>
      <c r="DP173" s="93"/>
      <c r="DQ173" s="93"/>
      <c r="DR173" s="93"/>
      <c r="DS173" s="93"/>
      <c r="DT173" s="93"/>
      <c r="DU173" s="93"/>
      <c r="DV173" s="93"/>
      <c r="DW173" s="93"/>
      <c r="DX173" s="93"/>
      <c r="DY173" s="93"/>
      <c r="DZ173" s="93"/>
      <c r="EA173" s="93"/>
      <c r="EB173" s="93"/>
      <c r="EC173" s="93"/>
      <c r="ED173" s="93"/>
      <c r="EE173" s="93"/>
      <c r="EF173" s="93"/>
      <c r="EG173" s="93"/>
      <c r="EH173" s="93"/>
      <c r="EI173" s="93"/>
      <c r="EJ173" s="93"/>
      <c r="EK173" s="93"/>
      <c r="EL173" s="93"/>
      <c r="EM173" s="93"/>
      <c r="EN173" s="93"/>
      <c r="EO173" s="93"/>
      <c r="EP173" s="93"/>
      <c r="EQ173" s="93"/>
      <c r="ER173" s="93"/>
      <c r="ES173" s="93"/>
      <c r="ET173" s="93"/>
      <c r="EU173" s="93"/>
      <c r="EV173" s="93"/>
      <c r="EW173" s="93"/>
      <c r="EX173" s="93"/>
      <c r="EY173" s="93"/>
      <c r="EZ173" s="93"/>
      <c r="FA173" s="93"/>
      <c r="FB173" s="93"/>
      <c r="FC173" s="93"/>
      <c r="FD173" s="93"/>
      <c r="FE173" s="93"/>
      <c r="FF173" s="93"/>
      <c r="FG173" s="93"/>
      <c r="FH173" s="93"/>
      <c r="FI173" s="93"/>
      <c r="FJ173" s="93"/>
      <c r="FK173" s="93"/>
      <c r="FL173" s="93"/>
      <c r="FM173" s="93"/>
      <c r="FN173" s="93"/>
      <c r="FO173" s="93"/>
      <c r="FP173" s="93"/>
      <c r="FQ173" s="93"/>
      <c r="FR173" s="93"/>
      <c r="FS173" s="93"/>
      <c r="FT173" s="93"/>
      <c r="FU173" s="93"/>
      <c r="FV173" s="93"/>
      <c r="FW173" s="93"/>
      <c r="FX173" s="93"/>
      <c r="FY173" s="93"/>
      <c r="FZ173" s="93"/>
      <c r="GA173" s="93"/>
      <c r="GB173" s="93"/>
      <c r="GC173" s="93"/>
      <c r="GD173" s="93"/>
      <c r="GE173" s="93"/>
      <c r="GF173" s="93"/>
      <c r="GG173" s="93"/>
      <c r="GH173" s="93"/>
      <c r="GI173" s="93"/>
      <c r="GJ173" s="93"/>
      <c r="GK173" s="93"/>
      <c r="GL173" s="93"/>
      <c r="GM173" s="93"/>
      <c r="GN173" s="93"/>
      <c r="GO173" s="93"/>
      <c r="GP173" s="93"/>
      <c r="GQ173" s="93"/>
      <c r="GR173" s="93"/>
      <c r="GS173" s="93"/>
      <c r="GT173" s="93"/>
      <c r="GU173" s="93"/>
      <c r="GV173" s="93"/>
      <c r="GW173" s="93"/>
      <c r="GX173" s="93"/>
      <c r="GY173" s="93"/>
      <c r="GZ173" s="93"/>
      <c r="HA173" s="93"/>
      <c r="HB173" s="93"/>
      <c r="HC173" s="93"/>
      <c r="HD173" s="93"/>
      <c r="HE173" s="93"/>
      <c r="HF173" s="93"/>
      <c r="HG173" s="93"/>
    </row>
    <row r="174" spans="14:215" x14ac:dyDescent="0.2">
      <c r="N174" s="93" t="s">
        <v>291</v>
      </c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93"/>
      <c r="BG174" s="93"/>
      <c r="BH174" s="93"/>
      <c r="BI174" s="93"/>
      <c r="BJ174" s="93"/>
      <c r="BK174" s="93"/>
      <c r="BL174" s="93"/>
      <c r="BM174" s="93"/>
      <c r="BN174" s="93"/>
      <c r="BO174" s="93"/>
      <c r="BP174" s="93"/>
      <c r="BQ174" s="93"/>
      <c r="BR174" s="93"/>
      <c r="BS174" s="93"/>
      <c r="BT174" s="93"/>
      <c r="BU174" s="93"/>
      <c r="BV174" s="93"/>
      <c r="BW174" s="93"/>
      <c r="BX174" s="93"/>
      <c r="BY174" s="93"/>
      <c r="BZ174" s="93">
        <v>0.33156028368794327</v>
      </c>
      <c r="CA174" s="93"/>
      <c r="CB174" s="93"/>
      <c r="CC174" s="93"/>
      <c r="CD174" s="93"/>
      <c r="CE174" s="93"/>
      <c r="CF174" s="93"/>
      <c r="CG174" s="93"/>
      <c r="CH174" s="93"/>
      <c r="CI174" s="93"/>
      <c r="CJ174" s="93"/>
      <c r="CK174" s="93"/>
      <c r="CL174" s="93"/>
      <c r="CM174" s="93"/>
      <c r="CN174" s="93"/>
      <c r="CO174" s="93"/>
      <c r="CP174" s="93"/>
      <c r="CQ174" s="93"/>
      <c r="CR174" s="93"/>
      <c r="CS174" s="93"/>
      <c r="CT174" s="93"/>
      <c r="CU174" s="93"/>
      <c r="CV174" s="93"/>
      <c r="CW174" s="93"/>
      <c r="CX174" s="93"/>
      <c r="CY174" s="93"/>
      <c r="CZ174" s="93"/>
      <c r="DA174" s="93"/>
      <c r="DB174" s="93"/>
      <c r="DC174" s="93"/>
      <c r="DD174" s="93"/>
      <c r="DE174" s="93"/>
      <c r="DF174" s="93"/>
      <c r="DG174" s="93"/>
      <c r="DH174" s="93"/>
      <c r="DI174" s="93"/>
      <c r="DJ174" s="93"/>
      <c r="DK174" s="93"/>
      <c r="DL174" s="93"/>
      <c r="DM174" s="93"/>
      <c r="DN174" s="93"/>
      <c r="DO174" s="93"/>
      <c r="DP174" s="93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  <c r="EL174" s="93"/>
      <c r="EM174" s="93"/>
      <c r="EN174" s="93"/>
      <c r="EO174" s="93"/>
      <c r="EP174" s="93"/>
      <c r="EQ174" s="93"/>
      <c r="ER174" s="93"/>
      <c r="ES174" s="93"/>
      <c r="ET174" s="93"/>
      <c r="EU174" s="93"/>
      <c r="EV174" s="93"/>
      <c r="EW174" s="93"/>
      <c r="EX174" s="93"/>
      <c r="EY174" s="93"/>
      <c r="EZ174" s="93"/>
      <c r="FA174" s="93"/>
      <c r="FB174" s="93"/>
      <c r="FC174" s="93"/>
      <c r="FD174" s="93"/>
      <c r="FE174" s="93"/>
      <c r="FF174" s="93"/>
      <c r="FG174" s="93"/>
      <c r="FH174" s="93"/>
      <c r="FI174" s="93"/>
      <c r="FJ174" s="93"/>
      <c r="FK174" s="93"/>
      <c r="FL174" s="93"/>
      <c r="FM174" s="93"/>
      <c r="FN174" s="93"/>
      <c r="FO174" s="93"/>
      <c r="FP174" s="93"/>
      <c r="FQ174" s="93"/>
      <c r="FR174" s="93"/>
      <c r="FS174" s="93"/>
      <c r="FT174" s="93"/>
      <c r="FU174" s="93"/>
      <c r="FV174" s="93"/>
      <c r="FW174" s="93"/>
      <c r="FX174" s="93"/>
      <c r="FY174" s="93"/>
      <c r="FZ174" s="93"/>
      <c r="GA174" s="93"/>
      <c r="GB174" s="93"/>
      <c r="GC174" s="93"/>
      <c r="GD174" s="93"/>
      <c r="GE174" s="93"/>
      <c r="GF174" s="93"/>
      <c r="GG174" s="93"/>
      <c r="GH174" s="93"/>
      <c r="GI174" s="93"/>
      <c r="GJ174" s="93"/>
      <c r="GK174" s="93"/>
      <c r="GL174" s="93"/>
      <c r="GM174" s="93"/>
      <c r="GN174" s="93"/>
      <c r="GO174" s="93"/>
      <c r="GP174" s="93"/>
      <c r="GQ174" s="93"/>
      <c r="GR174" s="93"/>
      <c r="GS174" s="93"/>
      <c r="GT174" s="93"/>
      <c r="GU174" s="93"/>
      <c r="GV174" s="93"/>
      <c r="GW174" s="93"/>
      <c r="GX174" s="93"/>
      <c r="GY174" s="93"/>
      <c r="GZ174" s="93"/>
      <c r="HA174" s="93"/>
      <c r="HB174" s="93"/>
      <c r="HC174" s="93"/>
      <c r="HD174" s="93"/>
      <c r="HE174" s="93"/>
      <c r="HF174" s="93"/>
      <c r="HG174" s="93"/>
    </row>
    <row r="175" spans="14:215" x14ac:dyDescent="0.2">
      <c r="N175" s="93" t="s">
        <v>292</v>
      </c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>
        <v>0.33158813263525305</v>
      </c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  <c r="FB175" s="93"/>
      <c r="FC175" s="93"/>
      <c r="FD175" s="93"/>
      <c r="FE175" s="93"/>
      <c r="FF175" s="93"/>
      <c r="FG175" s="93"/>
      <c r="FH175" s="93"/>
      <c r="FI175" s="93"/>
      <c r="FJ175" s="93"/>
      <c r="FK175" s="93"/>
      <c r="FL175" s="93"/>
      <c r="FM175" s="93"/>
      <c r="FN175" s="93"/>
      <c r="FO175" s="93"/>
      <c r="FP175" s="93"/>
      <c r="FQ175" s="93"/>
      <c r="FR175" s="93"/>
      <c r="FS175" s="93"/>
      <c r="FT175" s="93"/>
      <c r="FU175" s="93"/>
      <c r="FV175" s="93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3"/>
      <c r="GK175" s="93"/>
      <c r="GL175" s="93"/>
      <c r="GM175" s="93"/>
      <c r="GN175" s="93"/>
      <c r="GO175" s="93"/>
      <c r="GP175" s="93"/>
      <c r="GQ175" s="93"/>
      <c r="GR175" s="93"/>
      <c r="GS175" s="93"/>
      <c r="GT175" s="93"/>
      <c r="GU175" s="93"/>
      <c r="GV175" s="93"/>
      <c r="GW175" s="93"/>
      <c r="GX175" s="93"/>
      <c r="GY175" s="93"/>
      <c r="GZ175" s="93"/>
      <c r="HA175" s="93"/>
      <c r="HB175" s="93"/>
      <c r="HC175" s="93"/>
      <c r="HD175" s="93"/>
      <c r="HE175" s="93"/>
      <c r="HF175" s="93"/>
      <c r="HG175" s="93"/>
    </row>
    <row r="176" spans="14:215" x14ac:dyDescent="0.2">
      <c r="N176" s="93" t="s">
        <v>293</v>
      </c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93"/>
      <c r="BH176" s="93"/>
      <c r="BI176" s="93"/>
      <c r="BJ176" s="93"/>
      <c r="BK176" s="93"/>
      <c r="BL176" s="93"/>
      <c r="BM176" s="93"/>
      <c r="BN176" s="93"/>
      <c r="BO176" s="93"/>
      <c r="BP176" s="93"/>
      <c r="BQ176" s="93"/>
      <c r="BR176" s="93"/>
      <c r="BS176" s="93"/>
      <c r="BT176" s="93"/>
      <c r="BU176" s="93"/>
      <c r="BV176" s="93"/>
      <c r="BW176" s="93"/>
      <c r="BX176" s="93"/>
      <c r="BY176" s="93"/>
      <c r="BZ176" s="93"/>
      <c r="CA176" s="93"/>
      <c r="CB176" s="93">
        <v>0.33161512027491408</v>
      </c>
      <c r="CC176" s="93"/>
      <c r="CD176" s="93"/>
      <c r="CE176" s="93"/>
      <c r="CF176" s="93"/>
      <c r="CG176" s="93"/>
      <c r="CH176" s="93"/>
      <c r="CI176" s="93"/>
      <c r="CJ176" s="93"/>
      <c r="CK176" s="93"/>
      <c r="CL176" s="93"/>
      <c r="CM176" s="93"/>
      <c r="CN176" s="93"/>
      <c r="CO176" s="93"/>
      <c r="CP176" s="93"/>
      <c r="CQ176" s="93"/>
      <c r="CR176" s="93"/>
      <c r="CS176" s="93"/>
      <c r="CT176" s="93"/>
      <c r="CU176" s="93"/>
      <c r="CV176" s="93"/>
      <c r="CW176" s="93"/>
      <c r="CX176" s="93"/>
      <c r="CY176" s="93"/>
      <c r="CZ176" s="93"/>
      <c r="DA176" s="93"/>
      <c r="DB176" s="93"/>
      <c r="DC176" s="93"/>
      <c r="DD176" s="93"/>
      <c r="DE176" s="93"/>
      <c r="DF176" s="93"/>
      <c r="DG176" s="93"/>
      <c r="DH176" s="93"/>
      <c r="DI176" s="93"/>
      <c r="DJ176" s="93"/>
      <c r="DK176" s="93"/>
      <c r="DL176" s="93"/>
      <c r="DM176" s="93"/>
      <c r="DN176" s="93"/>
      <c r="DO176" s="93"/>
      <c r="DP176" s="93"/>
      <c r="DQ176" s="93"/>
      <c r="DR176" s="93"/>
      <c r="DS176" s="93"/>
      <c r="DT176" s="93"/>
      <c r="DU176" s="93"/>
      <c r="DV176" s="93"/>
      <c r="DW176" s="93"/>
      <c r="DX176" s="93"/>
      <c r="DY176" s="93"/>
      <c r="DZ176" s="93"/>
      <c r="EA176" s="93"/>
      <c r="EB176" s="93"/>
      <c r="EC176" s="93"/>
      <c r="ED176" s="93"/>
      <c r="EE176" s="93"/>
      <c r="EF176" s="93"/>
      <c r="EG176" s="93"/>
      <c r="EH176" s="93"/>
      <c r="EI176" s="93"/>
      <c r="EJ176" s="93"/>
      <c r="EK176" s="93"/>
      <c r="EL176" s="93"/>
      <c r="EM176" s="93"/>
      <c r="EN176" s="93"/>
      <c r="EO176" s="93"/>
      <c r="EP176" s="93"/>
      <c r="EQ176" s="93"/>
      <c r="ER176" s="93"/>
      <c r="ES176" s="93"/>
      <c r="ET176" s="93"/>
      <c r="EU176" s="93"/>
      <c r="EV176" s="93"/>
      <c r="EW176" s="93"/>
      <c r="EX176" s="93"/>
      <c r="EY176" s="93"/>
      <c r="EZ176" s="93"/>
      <c r="FA176" s="93"/>
      <c r="FB176" s="93"/>
      <c r="FC176" s="93"/>
      <c r="FD176" s="93"/>
      <c r="FE176" s="93"/>
      <c r="FF176" s="93"/>
      <c r="FG176" s="93"/>
      <c r="FH176" s="93"/>
      <c r="FI176" s="93"/>
      <c r="FJ176" s="93"/>
      <c r="FK176" s="93"/>
      <c r="FL176" s="93"/>
      <c r="FM176" s="93"/>
      <c r="FN176" s="93"/>
      <c r="FO176" s="93"/>
      <c r="FP176" s="93"/>
      <c r="FQ176" s="93"/>
      <c r="FR176" s="93"/>
      <c r="FS176" s="93"/>
      <c r="FT176" s="93"/>
      <c r="FU176" s="93"/>
      <c r="FV176" s="93"/>
      <c r="FW176" s="93"/>
      <c r="FX176" s="93"/>
      <c r="FY176" s="93"/>
      <c r="FZ176" s="93"/>
      <c r="GA176" s="93"/>
      <c r="GB176" s="93"/>
      <c r="GC176" s="93"/>
      <c r="GD176" s="93"/>
      <c r="GE176" s="93"/>
      <c r="GF176" s="93"/>
      <c r="GG176" s="93"/>
      <c r="GH176" s="93"/>
      <c r="GI176" s="93"/>
      <c r="GJ176" s="93"/>
      <c r="GK176" s="93"/>
      <c r="GL176" s="93"/>
      <c r="GM176" s="93"/>
      <c r="GN176" s="93"/>
      <c r="GO176" s="93"/>
      <c r="GP176" s="93"/>
      <c r="GQ176" s="93"/>
      <c r="GR176" s="93"/>
      <c r="GS176" s="93"/>
      <c r="GT176" s="93"/>
      <c r="GU176" s="93"/>
      <c r="GV176" s="93"/>
      <c r="GW176" s="93"/>
      <c r="GX176" s="93"/>
      <c r="GY176" s="93"/>
      <c r="GZ176" s="93"/>
      <c r="HA176" s="93"/>
      <c r="HB176" s="93"/>
      <c r="HC176" s="93"/>
      <c r="HD176" s="93"/>
      <c r="HE176" s="93"/>
      <c r="HF176" s="93"/>
      <c r="HG176" s="93"/>
    </row>
    <row r="177" spans="14:215" x14ac:dyDescent="0.2">
      <c r="N177" s="93" t="s">
        <v>294</v>
      </c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  <c r="BI177" s="93"/>
      <c r="BJ177" s="93"/>
      <c r="BK177" s="93"/>
      <c r="BL177" s="93"/>
      <c r="BM177" s="93"/>
      <c r="BN177" s="93"/>
      <c r="BO177" s="93"/>
      <c r="BP177" s="93"/>
      <c r="BQ177" s="93"/>
      <c r="BR177" s="93"/>
      <c r="BS177" s="93"/>
      <c r="BT177" s="93"/>
      <c r="BU177" s="93"/>
      <c r="BV177" s="93"/>
      <c r="BW177" s="93"/>
      <c r="BX177" s="93"/>
      <c r="BY177" s="93"/>
      <c r="BZ177" s="93"/>
      <c r="CA177" s="93"/>
      <c r="CB177" s="93"/>
      <c r="CC177" s="93">
        <v>0.33164128595600678</v>
      </c>
      <c r="CD177" s="93"/>
      <c r="CE177" s="93"/>
      <c r="CF177" s="93"/>
      <c r="CG177" s="93"/>
      <c r="CH177" s="93"/>
      <c r="CI177" s="93"/>
      <c r="CJ177" s="93"/>
      <c r="CK177" s="93"/>
      <c r="CL177" s="93"/>
      <c r="CM177" s="93"/>
      <c r="CN177" s="93"/>
      <c r="CO177" s="93"/>
      <c r="CP177" s="93"/>
      <c r="CQ177" s="93"/>
      <c r="CR177" s="93"/>
      <c r="CS177" s="93"/>
      <c r="CT177" s="93"/>
      <c r="CU177" s="93"/>
      <c r="CV177" s="93"/>
      <c r="CW177" s="93"/>
      <c r="CX177" s="93"/>
      <c r="CY177" s="93"/>
      <c r="CZ177" s="93"/>
      <c r="DA177" s="93"/>
      <c r="DB177" s="93"/>
      <c r="DC177" s="93"/>
      <c r="DD177" s="93"/>
      <c r="DE177" s="93"/>
      <c r="DF177" s="93"/>
      <c r="DG177" s="93"/>
      <c r="DH177" s="93"/>
      <c r="DI177" s="93"/>
      <c r="DJ177" s="93"/>
      <c r="DK177" s="93"/>
      <c r="DL177" s="93"/>
      <c r="DM177" s="93"/>
      <c r="DN177" s="93"/>
      <c r="DO177" s="93"/>
      <c r="DP177" s="93"/>
      <c r="DQ177" s="93"/>
      <c r="DR177" s="93"/>
      <c r="DS177" s="93"/>
      <c r="DT177" s="93"/>
      <c r="DU177" s="93"/>
      <c r="DV177" s="93"/>
      <c r="DW177" s="93"/>
      <c r="DX177" s="93"/>
      <c r="DY177" s="93"/>
      <c r="DZ177" s="93"/>
      <c r="EA177" s="93"/>
      <c r="EB177" s="93"/>
      <c r="EC177" s="93"/>
      <c r="ED177" s="93"/>
      <c r="EE177" s="93"/>
      <c r="EF177" s="93"/>
      <c r="EG177" s="93"/>
      <c r="EH177" s="93"/>
      <c r="EI177" s="93"/>
      <c r="EJ177" s="93"/>
      <c r="EK177" s="93"/>
      <c r="EL177" s="93"/>
      <c r="EM177" s="93"/>
      <c r="EN177" s="93"/>
      <c r="EO177" s="93"/>
      <c r="EP177" s="93"/>
      <c r="EQ177" s="93"/>
      <c r="ER177" s="93"/>
      <c r="ES177" s="93"/>
      <c r="ET177" s="93"/>
      <c r="EU177" s="93"/>
      <c r="EV177" s="93"/>
      <c r="EW177" s="93"/>
      <c r="EX177" s="93"/>
      <c r="EY177" s="93"/>
      <c r="EZ177" s="93"/>
      <c r="FA177" s="93"/>
      <c r="FB177" s="93"/>
      <c r="FC177" s="93"/>
      <c r="FD177" s="93"/>
      <c r="FE177" s="93"/>
      <c r="FF177" s="93"/>
      <c r="FG177" s="93"/>
      <c r="FH177" s="93"/>
      <c r="FI177" s="93"/>
      <c r="FJ177" s="93"/>
      <c r="FK177" s="93"/>
      <c r="FL177" s="93"/>
      <c r="FM177" s="93"/>
      <c r="FN177" s="93"/>
      <c r="FO177" s="93"/>
      <c r="FP177" s="93"/>
      <c r="FQ177" s="93"/>
      <c r="FR177" s="93"/>
      <c r="FS177" s="93"/>
      <c r="FT177" s="93"/>
      <c r="FU177" s="93"/>
      <c r="FV177" s="93"/>
      <c r="FW177" s="93"/>
      <c r="FX177" s="93"/>
      <c r="FY177" s="93"/>
      <c r="FZ177" s="93"/>
      <c r="GA177" s="93"/>
      <c r="GB177" s="93"/>
      <c r="GC177" s="93"/>
      <c r="GD177" s="93"/>
      <c r="GE177" s="93"/>
      <c r="GF177" s="93"/>
      <c r="GG177" s="93"/>
      <c r="GH177" s="93"/>
      <c r="GI177" s="93"/>
      <c r="GJ177" s="93"/>
      <c r="GK177" s="93"/>
      <c r="GL177" s="93"/>
      <c r="GM177" s="93"/>
      <c r="GN177" s="93"/>
      <c r="GO177" s="93"/>
      <c r="GP177" s="93"/>
      <c r="GQ177" s="93"/>
      <c r="GR177" s="93"/>
      <c r="GS177" s="93"/>
      <c r="GT177" s="93"/>
      <c r="GU177" s="93"/>
      <c r="GV177" s="93"/>
      <c r="GW177" s="93"/>
      <c r="GX177" s="93"/>
      <c r="GY177" s="93"/>
      <c r="GZ177" s="93"/>
      <c r="HA177" s="93"/>
      <c r="HB177" s="93"/>
      <c r="HC177" s="93"/>
      <c r="HD177" s="93"/>
      <c r="HE177" s="93"/>
      <c r="HF177" s="93"/>
      <c r="HG177" s="93"/>
    </row>
    <row r="178" spans="14:215" x14ac:dyDescent="0.2">
      <c r="N178" s="93" t="s">
        <v>295</v>
      </c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3"/>
      <c r="AW178" s="93"/>
      <c r="AX178" s="93"/>
      <c r="AY178" s="93"/>
      <c r="AZ178" s="93"/>
      <c r="BA178" s="93"/>
      <c r="BB178" s="93"/>
      <c r="BC178" s="93"/>
      <c r="BD178" s="93"/>
      <c r="BE178" s="93"/>
      <c r="BF178" s="93"/>
      <c r="BG178" s="93"/>
      <c r="BH178" s="93"/>
      <c r="BI178" s="93"/>
      <c r="BJ178" s="93"/>
      <c r="BK178" s="93"/>
      <c r="BL178" s="93"/>
      <c r="BM178" s="93"/>
      <c r="BN178" s="93"/>
      <c r="BO178" s="93"/>
      <c r="BP178" s="93"/>
      <c r="BQ178" s="93"/>
      <c r="BR178" s="93"/>
      <c r="BS178" s="93"/>
      <c r="BT178" s="93"/>
      <c r="BU178" s="93"/>
      <c r="BV178" s="93"/>
      <c r="BW178" s="93"/>
      <c r="BX178" s="93"/>
      <c r="BY178" s="93"/>
      <c r="BZ178" s="93"/>
      <c r="CA178" s="93"/>
      <c r="CB178" s="93"/>
      <c r="CC178" s="93"/>
      <c r="CD178" s="93">
        <v>0.33166666666666667</v>
      </c>
      <c r="CE178" s="93"/>
      <c r="CF178" s="93"/>
      <c r="CG178" s="93"/>
      <c r="CH178" s="93"/>
      <c r="CI178" s="93"/>
      <c r="CJ178" s="93"/>
      <c r="CK178" s="93"/>
      <c r="CL178" s="93"/>
      <c r="CM178" s="93"/>
      <c r="CN178" s="93"/>
      <c r="CO178" s="93"/>
      <c r="CP178" s="93"/>
      <c r="CQ178" s="93"/>
      <c r="CR178" s="93"/>
      <c r="CS178" s="93"/>
      <c r="CT178" s="93"/>
      <c r="CU178" s="93"/>
      <c r="CV178" s="93"/>
      <c r="CW178" s="93"/>
      <c r="CX178" s="93"/>
      <c r="CY178" s="93"/>
      <c r="CZ178" s="93"/>
      <c r="DA178" s="93"/>
      <c r="DB178" s="93"/>
      <c r="DC178" s="93"/>
      <c r="DD178" s="93"/>
      <c r="DE178" s="93"/>
      <c r="DF178" s="93"/>
      <c r="DG178" s="93"/>
      <c r="DH178" s="93"/>
      <c r="DI178" s="93"/>
      <c r="DJ178" s="93"/>
      <c r="DK178" s="93"/>
      <c r="DL178" s="93"/>
      <c r="DM178" s="93"/>
      <c r="DN178" s="93"/>
      <c r="DO178" s="93"/>
      <c r="DP178" s="93"/>
      <c r="DQ178" s="93"/>
      <c r="DR178" s="93"/>
      <c r="DS178" s="93"/>
      <c r="DT178" s="93"/>
      <c r="DU178" s="93"/>
      <c r="DV178" s="93"/>
      <c r="DW178" s="93"/>
      <c r="DX178" s="93"/>
      <c r="DY178" s="93"/>
      <c r="DZ178" s="93"/>
      <c r="EA178" s="93"/>
      <c r="EB178" s="93"/>
      <c r="EC178" s="93"/>
      <c r="ED178" s="93"/>
      <c r="EE178" s="93"/>
      <c r="EF178" s="93"/>
      <c r="EG178" s="93"/>
      <c r="EH178" s="93"/>
      <c r="EI178" s="93"/>
      <c r="EJ178" s="93"/>
      <c r="EK178" s="93"/>
      <c r="EL178" s="93"/>
      <c r="EM178" s="93"/>
      <c r="EN178" s="93"/>
      <c r="EO178" s="93"/>
      <c r="EP178" s="93"/>
      <c r="EQ178" s="93"/>
      <c r="ER178" s="93"/>
      <c r="ES178" s="93"/>
      <c r="ET178" s="93"/>
      <c r="EU178" s="93"/>
      <c r="EV178" s="93"/>
      <c r="EW178" s="93"/>
      <c r="EX178" s="93"/>
      <c r="EY178" s="93"/>
      <c r="EZ178" s="93"/>
      <c r="FA178" s="93"/>
      <c r="FB178" s="93"/>
      <c r="FC178" s="93"/>
      <c r="FD178" s="93"/>
      <c r="FE178" s="93"/>
      <c r="FF178" s="93"/>
      <c r="FG178" s="93"/>
      <c r="FH178" s="93"/>
      <c r="FI178" s="93"/>
      <c r="FJ178" s="93"/>
      <c r="FK178" s="93"/>
      <c r="FL178" s="93"/>
      <c r="FM178" s="93"/>
      <c r="FN178" s="93"/>
      <c r="FO178" s="93"/>
      <c r="FP178" s="93"/>
      <c r="FQ178" s="93"/>
      <c r="FR178" s="93"/>
      <c r="FS178" s="93"/>
      <c r="FT178" s="93"/>
      <c r="FU178" s="93"/>
      <c r="FV178" s="93"/>
      <c r="FW178" s="93"/>
      <c r="FX178" s="93"/>
      <c r="FY178" s="93"/>
      <c r="FZ178" s="93"/>
      <c r="GA178" s="93"/>
      <c r="GB178" s="93"/>
      <c r="GC178" s="93"/>
      <c r="GD178" s="93"/>
      <c r="GE178" s="93"/>
      <c r="GF178" s="93"/>
      <c r="GG178" s="93"/>
      <c r="GH178" s="93"/>
      <c r="GI178" s="93"/>
      <c r="GJ178" s="93"/>
      <c r="GK178" s="93"/>
      <c r="GL178" s="93"/>
      <c r="GM178" s="93"/>
      <c r="GN178" s="93"/>
      <c r="GO178" s="93"/>
      <c r="GP178" s="93"/>
      <c r="GQ178" s="93"/>
      <c r="GR178" s="93"/>
      <c r="GS178" s="93"/>
      <c r="GT178" s="93"/>
      <c r="GU178" s="93"/>
      <c r="GV178" s="93"/>
      <c r="GW178" s="93"/>
      <c r="GX178" s="93"/>
      <c r="GY178" s="93"/>
      <c r="GZ178" s="93"/>
      <c r="HA178" s="93"/>
      <c r="HB178" s="93"/>
      <c r="HC178" s="93"/>
      <c r="HD178" s="93"/>
      <c r="HE178" s="93"/>
      <c r="HF178" s="93"/>
      <c r="HG178" s="93"/>
    </row>
    <row r="179" spans="14:215" x14ac:dyDescent="0.2">
      <c r="N179" s="93" t="s">
        <v>296</v>
      </c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  <c r="BI179" s="93"/>
      <c r="BJ179" s="93"/>
      <c r="BK179" s="93"/>
      <c r="BL179" s="93"/>
      <c r="BM179" s="93"/>
      <c r="BN179" s="93"/>
      <c r="BO179" s="93"/>
      <c r="BP179" s="93"/>
      <c r="BQ179" s="93"/>
      <c r="BR179" s="93"/>
      <c r="BS179" s="93"/>
      <c r="BT179" s="93"/>
      <c r="BU179" s="93"/>
      <c r="BV179" s="93"/>
      <c r="BW179" s="93"/>
      <c r="BX179" s="93"/>
      <c r="BY179" s="93"/>
      <c r="BZ179" s="93"/>
      <c r="CA179" s="93"/>
      <c r="CB179" s="93"/>
      <c r="CC179" s="93"/>
      <c r="CD179" s="93"/>
      <c r="CE179" s="93">
        <v>0.33169129720853857</v>
      </c>
      <c r="CF179" s="93"/>
      <c r="CG179" s="93"/>
      <c r="CH179" s="93"/>
      <c r="CI179" s="93"/>
      <c r="CJ179" s="93"/>
      <c r="CK179" s="93"/>
      <c r="CL179" s="93"/>
      <c r="CM179" s="93"/>
      <c r="CN179" s="93"/>
      <c r="CO179" s="93"/>
      <c r="CP179" s="93"/>
      <c r="CQ179" s="93"/>
      <c r="CR179" s="93"/>
      <c r="CS179" s="93"/>
      <c r="CT179" s="93"/>
      <c r="CU179" s="93"/>
      <c r="CV179" s="93"/>
      <c r="CW179" s="93"/>
      <c r="CX179" s="93"/>
      <c r="CY179" s="93"/>
      <c r="CZ179" s="93"/>
      <c r="DA179" s="93"/>
      <c r="DB179" s="93"/>
      <c r="DC179" s="93"/>
      <c r="DD179" s="93"/>
      <c r="DE179" s="93"/>
      <c r="DF179" s="93"/>
      <c r="DG179" s="93"/>
      <c r="DH179" s="93"/>
      <c r="DI179" s="93"/>
      <c r="DJ179" s="93"/>
      <c r="DK179" s="93"/>
      <c r="DL179" s="93"/>
      <c r="DM179" s="93"/>
      <c r="DN179" s="93"/>
      <c r="DO179" s="93"/>
      <c r="DP179" s="93"/>
      <c r="DQ179" s="93"/>
      <c r="DR179" s="93"/>
      <c r="DS179" s="93"/>
      <c r="DT179" s="93"/>
      <c r="DU179" s="93"/>
      <c r="DV179" s="93"/>
      <c r="DW179" s="93"/>
      <c r="DX179" s="93"/>
      <c r="DY179" s="93"/>
      <c r="DZ179" s="93"/>
      <c r="EA179" s="93"/>
      <c r="EB179" s="93"/>
      <c r="EC179" s="93"/>
      <c r="ED179" s="93"/>
      <c r="EE179" s="93"/>
      <c r="EF179" s="93"/>
      <c r="EG179" s="93"/>
      <c r="EH179" s="93"/>
      <c r="EI179" s="93"/>
      <c r="EJ179" s="93"/>
      <c r="EK179" s="93"/>
      <c r="EL179" s="93"/>
      <c r="EM179" s="93"/>
      <c r="EN179" s="93"/>
      <c r="EO179" s="93"/>
      <c r="EP179" s="93"/>
      <c r="EQ179" s="93"/>
      <c r="ER179" s="93"/>
      <c r="ES179" s="93"/>
      <c r="ET179" s="93"/>
      <c r="EU179" s="93"/>
      <c r="EV179" s="93"/>
      <c r="EW179" s="93"/>
      <c r="EX179" s="93"/>
      <c r="EY179" s="93"/>
      <c r="EZ179" s="93"/>
      <c r="FA179" s="93"/>
      <c r="FB179" s="93"/>
      <c r="FC179" s="93"/>
      <c r="FD179" s="93"/>
      <c r="FE179" s="93"/>
      <c r="FF179" s="93"/>
      <c r="FG179" s="93"/>
      <c r="FH179" s="93"/>
      <c r="FI179" s="93"/>
      <c r="FJ179" s="93"/>
      <c r="FK179" s="93"/>
      <c r="FL179" s="93"/>
      <c r="FM179" s="93"/>
      <c r="FN179" s="93"/>
      <c r="FO179" s="93"/>
      <c r="FP179" s="93"/>
      <c r="FQ179" s="93"/>
      <c r="FR179" s="93"/>
      <c r="FS179" s="93"/>
      <c r="FT179" s="93"/>
      <c r="FU179" s="93"/>
      <c r="FV179" s="93"/>
      <c r="FW179" s="93"/>
      <c r="FX179" s="93"/>
      <c r="FY179" s="93"/>
      <c r="FZ179" s="93"/>
      <c r="GA179" s="93"/>
      <c r="GB179" s="93"/>
      <c r="GC179" s="93"/>
      <c r="GD179" s="93"/>
      <c r="GE179" s="93"/>
      <c r="GF179" s="93"/>
      <c r="GG179" s="93"/>
      <c r="GH179" s="93"/>
      <c r="GI179" s="93"/>
      <c r="GJ179" s="93"/>
      <c r="GK179" s="93"/>
      <c r="GL179" s="93"/>
      <c r="GM179" s="93"/>
      <c r="GN179" s="93"/>
      <c r="GO179" s="93"/>
      <c r="GP179" s="93"/>
      <c r="GQ179" s="93"/>
      <c r="GR179" s="93"/>
      <c r="GS179" s="93"/>
      <c r="GT179" s="93"/>
      <c r="GU179" s="93"/>
      <c r="GV179" s="93"/>
      <c r="GW179" s="93"/>
      <c r="GX179" s="93"/>
      <c r="GY179" s="93"/>
      <c r="GZ179" s="93"/>
      <c r="HA179" s="93"/>
      <c r="HB179" s="93"/>
      <c r="HC179" s="93"/>
      <c r="HD179" s="93"/>
      <c r="HE179" s="93"/>
      <c r="HF179" s="93"/>
      <c r="HG179" s="93"/>
    </row>
    <row r="180" spans="14:215" x14ac:dyDescent="0.2">
      <c r="N180" s="93" t="s">
        <v>297</v>
      </c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3"/>
      <c r="AW180" s="93"/>
      <c r="AX180" s="93"/>
      <c r="AY180" s="93"/>
      <c r="AZ180" s="93"/>
      <c r="BA180" s="93"/>
      <c r="BB180" s="93"/>
      <c r="BC180" s="93"/>
      <c r="BD180" s="93"/>
      <c r="BE180" s="93"/>
      <c r="BF180" s="93"/>
      <c r="BG180" s="93"/>
      <c r="BH180" s="93"/>
      <c r="BI180" s="93"/>
      <c r="BJ180" s="93"/>
      <c r="BK180" s="93"/>
      <c r="BL180" s="93"/>
      <c r="BM180" s="93"/>
      <c r="BN180" s="93"/>
      <c r="BO180" s="93"/>
      <c r="BP180" s="93"/>
      <c r="BQ180" s="93"/>
      <c r="BR180" s="93"/>
      <c r="BS180" s="93"/>
      <c r="BT180" s="93"/>
      <c r="BU180" s="93"/>
      <c r="BV180" s="93"/>
      <c r="BW180" s="93"/>
      <c r="BX180" s="93"/>
      <c r="BY180" s="93"/>
      <c r="BZ180" s="93"/>
      <c r="CA180" s="93"/>
      <c r="CB180" s="93"/>
      <c r="CC180" s="93"/>
      <c r="CD180" s="93"/>
      <c r="CE180" s="93"/>
      <c r="CF180" s="93">
        <v>0.33171521035598706</v>
      </c>
      <c r="CG180" s="93"/>
      <c r="CH180" s="93"/>
      <c r="CI180" s="93"/>
      <c r="CJ180" s="93"/>
      <c r="CK180" s="93"/>
      <c r="CL180" s="93"/>
      <c r="CM180" s="93"/>
      <c r="CN180" s="93"/>
      <c r="CO180" s="93"/>
      <c r="CP180" s="93"/>
      <c r="CQ180" s="93"/>
      <c r="CR180" s="93"/>
      <c r="CS180" s="93"/>
      <c r="CT180" s="93"/>
      <c r="CU180" s="93"/>
      <c r="CV180" s="93"/>
      <c r="CW180" s="93"/>
      <c r="CX180" s="93"/>
      <c r="CY180" s="93"/>
      <c r="CZ180" s="93"/>
      <c r="DA180" s="93"/>
      <c r="DB180" s="93"/>
      <c r="DC180" s="93"/>
      <c r="DD180" s="93"/>
      <c r="DE180" s="93"/>
      <c r="DF180" s="93"/>
      <c r="DG180" s="93"/>
      <c r="DH180" s="93"/>
      <c r="DI180" s="93"/>
      <c r="DJ180" s="93"/>
      <c r="DK180" s="93"/>
      <c r="DL180" s="93"/>
      <c r="DM180" s="93"/>
      <c r="DN180" s="93"/>
      <c r="DO180" s="93"/>
      <c r="DP180" s="93"/>
      <c r="DQ180" s="93"/>
      <c r="DR180" s="93"/>
      <c r="DS180" s="93"/>
      <c r="DT180" s="93"/>
      <c r="DU180" s="93"/>
      <c r="DV180" s="93"/>
      <c r="DW180" s="93"/>
      <c r="DX180" s="93"/>
      <c r="DY180" s="93"/>
      <c r="DZ180" s="93"/>
      <c r="EA180" s="93"/>
      <c r="EB180" s="93"/>
      <c r="EC180" s="93"/>
      <c r="ED180" s="93"/>
      <c r="EE180" s="93"/>
      <c r="EF180" s="93"/>
      <c r="EG180" s="93"/>
      <c r="EH180" s="93"/>
      <c r="EI180" s="93"/>
      <c r="EJ180" s="93"/>
      <c r="EK180" s="93"/>
      <c r="EL180" s="93"/>
      <c r="EM180" s="93"/>
      <c r="EN180" s="93"/>
      <c r="EO180" s="93"/>
      <c r="EP180" s="93"/>
      <c r="EQ180" s="93"/>
      <c r="ER180" s="93"/>
      <c r="ES180" s="93"/>
      <c r="ET180" s="93"/>
      <c r="EU180" s="93"/>
      <c r="EV180" s="93"/>
      <c r="EW180" s="93"/>
      <c r="EX180" s="93"/>
      <c r="EY180" s="93"/>
      <c r="EZ180" s="93"/>
      <c r="FA180" s="93"/>
      <c r="FB180" s="93"/>
      <c r="FC180" s="93"/>
      <c r="FD180" s="93"/>
      <c r="FE180" s="93"/>
      <c r="FF180" s="93"/>
      <c r="FG180" s="93"/>
      <c r="FH180" s="93"/>
      <c r="FI180" s="93"/>
      <c r="FJ180" s="93"/>
      <c r="FK180" s="93"/>
      <c r="FL180" s="93"/>
      <c r="FM180" s="93"/>
      <c r="FN180" s="93"/>
      <c r="FO180" s="93"/>
      <c r="FP180" s="93"/>
      <c r="FQ180" s="93"/>
      <c r="FR180" s="93"/>
      <c r="FS180" s="93"/>
      <c r="FT180" s="93"/>
      <c r="FU180" s="93"/>
      <c r="FV180" s="93"/>
      <c r="FW180" s="93"/>
      <c r="FX180" s="93"/>
      <c r="FY180" s="93"/>
      <c r="FZ180" s="93"/>
      <c r="GA180" s="93"/>
      <c r="GB180" s="93"/>
      <c r="GC180" s="93"/>
      <c r="GD180" s="93"/>
      <c r="GE180" s="93"/>
      <c r="GF180" s="93"/>
      <c r="GG180" s="93"/>
      <c r="GH180" s="93"/>
      <c r="GI180" s="93"/>
      <c r="GJ180" s="93"/>
      <c r="GK180" s="93"/>
      <c r="GL180" s="93"/>
      <c r="GM180" s="93"/>
      <c r="GN180" s="93"/>
      <c r="GO180" s="93"/>
      <c r="GP180" s="93"/>
      <c r="GQ180" s="93"/>
      <c r="GR180" s="93"/>
      <c r="GS180" s="93"/>
      <c r="GT180" s="93"/>
      <c r="GU180" s="93"/>
      <c r="GV180" s="93"/>
      <c r="GW180" s="93"/>
      <c r="GX180" s="93"/>
      <c r="GY180" s="93"/>
      <c r="GZ180" s="93"/>
      <c r="HA180" s="93"/>
      <c r="HB180" s="93"/>
      <c r="HC180" s="93"/>
      <c r="HD180" s="93"/>
      <c r="HE180" s="93"/>
      <c r="HF180" s="93"/>
      <c r="HG180" s="93"/>
    </row>
    <row r="181" spans="14:215" x14ac:dyDescent="0.2">
      <c r="N181" s="93" t="s">
        <v>298</v>
      </c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  <c r="BI181" s="93"/>
      <c r="BJ181" s="93"/>
      <c r="BK181" s="93"/>
      <c r="BL181" s="93"/>
      <c r="BM181" s="93"/>
      <c r="BN181" s="93"/>
      <c r="BO181" s="93"/>
      <c r="BP181" s="93"/>
      <c r="BQ181" s="93"/>
      <c r="BR181" s="93"/>
      <c r="BS181" s="93"/>
      <c r="BT181" s="93"/>
      <c r="BU181" s="93"/>
      <c r="BV181" s="93"/>
      <c r="BW181" s="93"/>
      <c r="BX181" s="93"/>
      <c r="BY181" s="93"/>
      <c r="BZ181" s="93"/>
      <c r="CA181" s="93"/>
      <c r="CB181" s="93"/>
      <c r="CC181" s="93"/>
      <c r="CD181" s="93"/>
      <c r="CE181" s="93"/>
      <c r="CF181" s="93"/>
      <c r="CG181" s="93">
        <v>0.33173843700159489</v>
      </c>
      <c r="CH181" s="93"/>
      <c r="CI181" s="93"/>
      <c r="CJ181" s="93"/>
      <c r="CK181" s="93"/>
      <c r="CL181" s="93"/>
      <c r="CM181" s="93"/>
      <c r="CN181" s="93"/>
      <c r="CO181" s="93"/>
      <c r="CP181" s="93"/>
      <c r="CQ181" s="93"/>
      <c r="CR181" s="93"/>
      <c r="CS181" s="93"/>
      <c r="CT181" s="93"/>
      <c r="CU181" s="93"/>
      <c r="CV181" s="93"/>
      <c r="CW181" s="93"/>
      <c r="CX181" s="93"/>
      <c r="CY181" s="93"/>
      <c r="CZ181" s="93"/>
      <c r="DA181" s="93"/>
      <c r="DB181" s="93"/>
      <c r="DC181" s="93"/>
      <c r="DD181" s="93"/>
      <c r="DE181" s="93"/>
      <c r="DF181" s="93"/>
      <c r="DG181" s="93"/>
      <c r="DH181" s="93"/>
      <c r="DI181" s="93"/>
      <c r="DJ181" s="93"/>
      <c r="DK181" s="93"/>
      <c r="DL181" s="93"/>
      <c r="DM181" s="93"/>
      <c r="DN181" s="93"/>
      <c r="DO181" s="93"/>
      <c r="DP181" s="93"/>
      <c r="DQ181" s="93"/>
      <c r="DR181" s="93"/>
      <c r="DS181" s="93"/>
      <c r="DT181" s="93"/>
      <c r="DU181" s="93"/>
      <c r="DV181" s="93"/>
      <c r="DW181" s="93"/>
      <c r="DX181" s="93"/>
      <c r="DY181" s="93"/>
      <c r="DZ181" s="93"/>
      <c r="EA181" s="93"/>
      <c r="EB181" s="93"/>
      <c r="EC181" s="93"/>
      <c r="ED181" s="93"/>
      <c r="EE181" s="93"/>
      <c r="EF181" s="93"/>
      <c r="EG181" s="93"/>
      <c r="EH181" s="93"/>
      <c r="EI181" s="93"/>
      <c r="EJ181" s="93"/>
      <c r="EK181" s="93"/>
      <c r="EL181" s="93"/>
      <c r="EM181" s="93"/>
      <c r="EN181" s="93"/>
      <c r="EO181" s="93"/>
      <c r="EP181" s="93"/>
      <c r="EQ181" s="93"/>
      <c r="ER181" s="93"/>
      <c r="ES181" s="93"/>
      <c r="ET181" s="93"/>
      <c r="EU181" s="93"/>
      <c r="EV181" s="93"/>
      <c r="EW181" s="93"/>
      <c r="EX181" s="93"/>
      <c r="EY181" s="93"/>
      <c r="EZ181" s="93"/>
      <c r="FA181" s="93"/>
      <c r="FB181" s="93"/>
      <c r="FC181" s="93"/>
      <c r="FD181" s="93"/>
      <c r="FE181" s="93"/>
      <c r="FF181" s="93"/>
      <c r="FG181" s="93"/>
      <c r="FH181" s="93"/>
      <c r="FI181" s="93"/>
      <c r="FJ181" s="93"/>
      <c r="FK181" s="93"/>
      <c r="FL181" s="93"/>
      <c r="FM181" s="93"/>
      <c r="FN181" s="93"/>
      <c r="FO181" s="93"/>
      <c r="FP181" s="93"/>
      <c r="FQ181" s="93"/>
      <c r="FR181" s="93"/>
      <c r="FS181" s="93"/>
      <c r="FT181" s="93"/>
      <c r="FU181" s="93"/>
      <c r="FV181" s="93"/>
      <c r="FW181" s="93"/>
      <c r="FX181" s="93"/>
      <c r="FY181" s="93"/>
      <c r="FZ181" s="93"/>
      <c r="GA181" s="93"/>
      <c r="GB181" s="93"/>
      <c r="GC181" s="93"/>
      <c r="GD181" s="93"/>
      <c r="GE181" s="93"/>
      <c r="GF181" s="93"/>
      <c r="GG181" s="93"/>
      <c r="GH181" s="93"/>
      <c r="GI181" s="93"/>
      <c r="GJ181" s="93"/>
      <c r="GK181" s="93"/>
      <c r="GL181" s="93"/>
      <c r="GM181" s="93"/>
      <c r="GN181" s="93"/>
      <c r="GO181" s="93"/>
      <c r="GP181" s="93"/>
      <c r="GQ181" s="93"/>
      <c r="GR181" s="93"/>
      <c r="GS181" s="93"/>
      <c r="GT181" s="93"/>
      <c r="GU181" s="93"/>
      <c r="GV181" s="93"/>
      <c r="GW181" s="93"/>
      <c r="GX181" s="93"/>
      <c r="GY181" s="93"/>
      <c r="GZ181" s="93"/>
      <c r="HA181" s="93"/>
      <c r="HB181" s="93"/>
      <c r="HC181" s="93"/>
      <c r="HD181" s="93"/>
      <c r="HE181" s="93"/>
      <c r="HF181" s="93"/>
      <c r="HG181" s="93"/>
    </row>
    <row r="182" spans="14:215" x14ac:dyDescent="0.2">
      <c r="N182" s="93" t="s">
        <v>299</v>
      </c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3"/>
      <c r="AW182" s="93"/>
      <c r="AX182" s="93"/>
      <c r="AY182" s="93"/>
      <c r="AZ182" s="93"/>
      <c r="BA182" s="93"/>
      <c r="BB182" s="93"/>
      <c r="BC182" s="93"/>
      <c r="BD182" s="93"/>
      <c r="BE182" s="93"/>
      <c r="BF182" s="93"/>
      <c r="BG182" s="93"/>
      <c r="BH182" s="93"/>
      <c r="BI182" s="93"/>
      <c r="BJ182" s="93"/>
      <c r="BK182" s="93"/>
      <c r="BL182" s="93"/>
      <c r="BM182" s="93"/>
      <c r="BN182" s="93"/>
      <c r="BO182" s="93"/>
      <c r="BP182" s="93"/>
      <c r="BQ182" s="93"/>
      <c r="BR182" s="93"/>
      <c r="BS182" s="93"/>
      <c r="BT182" s="93"/>
      <c r="BU182" s="93"/>
      <c r="BV182" s="93"/>
      <c r="BW182" s="93"/>
      <c r="BX182" s="93"/>
      <c r="BY182" s="93"/>
      <c r="BZ182" s="93"/>
      <c r="CA182" s="93"/>
      <c r="CB182" s="93"/>
      <c r="CC182" s="93"/>
      <c r="CD182" s="93"/>
      <c r="CE182" s="93"/>
      <c r="CF182" s="93"/>
      <c r="CG182" s="93"/>
      <c r="CH182" s="93">
        <v>0.33176100628930816</v>
      </c>
      <c r="CI182" s="93"/>
      <c r="CJ182" s="93"/>
      <c r="CK182" s="93"/>
      <c r="CL182" s="93"/>
      <c r="CM182" s="93"/>
      <c r="CN182" s="93"/>
      <c r="CO182" s="93"/>
      <c r="CP182" s="93"/>
      <c r="CQ182" s="93"/>
      <c r="CR182" s="93"/>
      <c r="CS182" s="93"/>
      <c r="CT182" s="93"/>
      <c r="CU182" s="93"/>
      <c r="CV182" s="93"/>
      <c r="CW182" s="93"/>
      <c r="CX182" s="93"/>
      <c r="CY182" s="93"/>
      <c r="CZ182" s="93"/>
      <c r="DA182" s="93"/>
      <c r="DB182" s="93"/>
      <c r="DC182" s="93"/>
      <c r="DD182" s="93"/>
      <c r="DE182" s="93"/>
      <c r="DF182" s="93"/>
      <c r="DG182" s="93"/>
      <c r="DH182" s="93"/>
      <c r="DI182" s="93"/>
      <c r="DJ182" s="93"/>
      <c r="DK182" s="93"/>
      <c r="DL182" s="93"/>
      <c r="DM182" s="93"/>
      <c r="DN182" s="93"/>
      <c r="DO182" s="93"/>
      <c r="DP182" s="93"/>
      <c r="DQ182" s="93"/>
      <c r="DR182" s="93"/>
      <c r="DS182" s="93"/>
      <c r="DT182" s="93"/>
      <c r="DU182" s="93"/>
      <c r="DV182" s="93"/>
      <c r="DW182" s="93"/>
      <c r="DX182" s="93"/>
      <c r="DY182" s="93"/>
      <c r="DZ182" s="93"/>
      <c r="EA182" s="93"/>
      <c r="EB182" s="93"/>
      <c r="EC182" s="93"/>
      <c r="ED182" s="93"/>
      <c r="EE182" s="93"/>
      <c r="EF182" s="93"/>
      <c r="EG182" s="93"/>
      <c r="EH182" s="93"/>
      <c r="EI182" s="93"/>
      <c r="EJ182" s="93"/>
      <c r="EK182" s="93"/>
      <c r="EL182" s="93"/>
      <c r="EM182" s="93"/>
      <c r="EN182" s="93"/>
      <c r="EO182" s="93"/>
      <c r="EP182" s="93"/>
      <c r="EQ182" s="93"/>
      <c r="ER182" s="93"/>
      <c r="ES182" s="93"/>
      <c r="ET182" s="93"/>
      <c r="EU182" s="93"/>
      <c r="EV182" s="93"/>
      <c r="EW182" s="93"/>
      <c r="EX182" s="93"/>
      <c r="EY182" s="93"/>
      <c r="EZ182" s="93"/>
      <c r="FA182" s="93"/>
      <c r="FB182" s="93"/>
      <c r="FC182" s="93"/>
      <c r="FD182" s="93"/>
      <c r="FE182" s="93"/>
      <c r="FF182" s="93"/>
      <c r="FG182" s="93"/>
      <c r="FH182" s="93"/>
      <c r="FI182" s="93"/>
      <c r="FJ182" s="93"/>
      <c r="FK182" s="93"/>
      <c r="FL182" s="93"/>
      <c r="FM182" s="93"/>
      <c r="FN182" s="93"/>
      <c r="FO182" s="93"/>
      <c r="FP182" s="93"/>
      <c r="FQ182" s="93"/>
      <c r="FR182" s="93"/>
      <c r="FS182" s="93"/>
      <c r="FT182" s="93"/>
      <c r="FU182" s="93"/>
      <c r="FV182" s="93"/>
      <c r="FW182" s="93"/>
      <c r="FX182" s="93"/>
      <c r="FY182" s="93"/>
      <c r="FZ182" s="93"/>
      <c r="GA182" s="93"/>
      <c r="GB182" s="93"/>
      <c r="GC182" s="93"/>
      <c r="GD182" s="93"/>
      <c r="GE182" s="93"/>
      <c r="GF182" s="93"/>
      <c r="GG182" s="93"/>
      <c r="GH182" s="93"/>
      <c r="GI182" s="93"/>
      <c r="GJ182" s="93"/>
      <c r="GK182" s="93"/>
      <c r="GL182" s="93"/>
      <c r="GM182" s="93"/>
      <c r="GN182" s="93"/>
      <c r="GO182" s="93"/>
      <c r="GP182" s="93"/>
      <c r="GQ182" s="93"/>
      <c r="GR182" s="93"/>
      <c r="GS182" s="93"/>
      <c r="GT182" s="93"/>
      <c r="GU182" s="93"/>
      <c r="GV182" s="93"/>
      <c r="GW182" s="93"/>
      <c r="GX182" s="93"/>
      <c r="GY182" s="93"/>
      <c r="GZ182" s="93"/>
      <c r="HA182" s="93"/>
      <c r="HB182" s="93"/>
      <c r="HC182" s="93"/>
      <c r="HD182" s="93"/>
      <c r="HE182" s="93"/>
      <c r="HF182" s="93"/>
      <c r="HG182" s="93"/>
    </row>
    <row r="183" spans="14:215" x14ac:dyDescent="0.2">
      <c r="N183" s="93" t="s">
        <v>300</v>
      </c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  <c r="BI183" s="93"/>
      <c r="BJ183" s="93"/>
      <c r="BK183" s="93"/>
      <c r="BL183" s="93"/>
      <c r="BM183" s="93"/>
      <c r="BN183" s="93"/>
      <c r="BO183" s="93"/>
      <c r="BP183" s="93"/>
      <c r="BQ183" s="93"/>
      <c r="BR183" s="93"/>
      <c r="BS183" s="93"/>
      <c r="BT183" s="93"/>
      <c r="BU183" s="93"/>
      <c r="BV183" s="93"/>
      <c r="BW183" s="93"/>
      <c r="BX183" s="93"/>
      <c r="BY183" s="93"/>
      <c r="BZ183" s="93"/>
      <c r="CA183" s="93"/>
      <c r="CB183" s="93"/>
      <c r="CC183" s="93"/>
      <c r="CD183" s="93"/>
      <c r="CE183" s="93"/>
      <c r="CF183" s="93"/>
      <c r="CG183" s="93"/>
      <c r="CH183" s="93"/>
      <c r="CI183" s="93">
        <v>0.33178294573643413</v>
      </c>
      <c r="CJ183" s="93"/>
      <c r="CK183" s="93"/>
      <c r="CL183" s="93"/>
      <c r="CM183" s="93"/>
      <c r="CN183" s="93"/>
      <c r="CO183" s="93"/>
      <c r="CP183" s="93"/>
      <c r="CQ183" s="93"/>
      <c r="CR183" s="93"/>
      <c r="CS183" s="93"/>
      <c r="CT183" s="93"/>
      <c r="CU183" s="93"/>
      <c r="CV183" s="93"/>
      <c r="CW183" s="93"/>
      <c r="CX183" s="93"/>
      <c r="CY183" s="93"/>
      <c r="CZ183" s="93"/>
      <c r="DA183" s="93"/>
      <c r="DB183" s="93"/>
      <c r="DC183" s="93"/>
      <c r="DD183" s="93"/>
      <c r="DE183" s="93"/>
      <c r="DF183" s="93"/>
      <c r="DG183" s="93"/>
      <c r="DH183" s="93"/>
      <c r="DI183" s="93"/>
      <c r="DJ183" s="93"/>
      <c r="DK183" s="93"/>
      <c r="DL183" s="93"/>
      <c r="DM183" s="93"/>
      <c r="DN183" s="93"/>
      <c r="DO183" s="93"/>
      <c r="DP183" s="93"/>
      <c r="DQ183" s="93"/>
      <c r="DR183" s="93"/>
      <c r="DS183" s="93"/>
      <c r="DT183" s="93"/>
      <c r="DU183" s="93"/>
      <c r="DV183" s="93"/>
      <c r="DW183" s="93"/>
      <c r="DX183" s="93"/>
      <c r="DY183" s="93"/>
      <c r="DZ183" s="93"/>
      <c r="EA183" s="93"/>
      <c r="EB183" s="93"/>
      <c r="EC183" s="93"/>
      <c r="ED183" s="93"/>
      <c r="EE183" s="93"/>
      <c r="EF183" s="93"/>
      <c r="EG183" s="93"/>
      <c r="EH183" s="93"/>
      <c r="EI183" s="93"/>
      <c r="EJ183" s="93"/>
      <c r="EK183" s="93"/>
      <c r="EL183" s="93"/>
      <c r="EM183" s="93"/>
      <c r="EN183" s="93"/>
      <c r="EO183" s="93"/>
      <c r="EP183" s="93"/>
      <c r="EQ183" s="93"/>
      <c r="ER183" s="93"/>
      <c r="ES183" s="93"/>
      <c r="ET183" s="93"/>
      <c r="EU183" s="93"/>
      <c r="EV183" s="93"/>
      <c r="EW183" s="93"/>
      <c r="EX183" s="93"/>
      <c r="EY183" s="93"/>
      <c r="EZ183" s="93"/>
      <c r="FA183" s="93"/>
      <c r="FB183" s="93"/>
      <c r="FC183" s="93"/>
      <c r="FD183" s="93"/>
      <c r="FE183" s="93"/>
      <c r="FF183" s="93"/>
      <c r="FG183" s="93"/>
      <c r="FH183" s="93"/>
      <c r="FI183" s="93"/>
      <c r="FJ183" s="93"/>
      <c r="FK183" s="93"/>
      <c r="FL183" s="93"/>
      <c r="FM183" s="93"/>
      <c r="FN183" s="93"/>
      <c r="FO183" s="93"/>
      <c r="FP183" s="93"/>
      <c r="FQ183" s="93"/>
      <c r="FR183" s="93"/>
      <c r="FS183" s="93"/>
      <c r="FT183" s="93"/>
      <c r="FU183" s="93"/>
      <c r="FV183" s="93"/>
      <c r="FW183" s="93"/>
      <c r="FX183" s="93"/>
      <c r="FY183" s="93"/>
      <c r="FZ183" s="93"/>
      <c r="GA183" s="93"/>
      <c r="GB183" s="93"/>
      <c r="GC183" s="93"/>
      <c r="GD183" s="93"/>
      <c r="GE183" s="93"/>
      <c r="GF183" s="93"/>
      <c r="GG183" s="93"/>
      <c r="GH183" s="93"/>
      <c r="GI183" s="93"/>
      <c r="GJ183" s="93"/>
      <c r="GK183" s="93"/>
      <c r="GL183" s="93"/>
      <c r="GM183" s="93"/>
      <c r="GN183" s="93"/>
      <c r="GO183" s="93"/>
      <c r="GP183" s="93"/>
      <c r="GQ183" s="93"/>
      <c r="GR183" s="93"/>
      <c r="GS183" s="93"/>
      <c r="GT183" s="93"/>
      <c r="GU183" s="93"/>
      <c r="GV183" s="93"/>
      <c r="GW183" s="93"/>
      <c r="GX183" s="93"/>
      <c r="GY183" s="93"/>
      <c r="GZ183" s="93"/>
      <c r="HA183" s="93"/>
      <c r="HB183" s="93"/>
      <c r="HC183" s="93"/>
      <c r="HD183" s="93"/>
      <c r="HE183" s="93"/>
      <c r="HF183" s="93"/>
      <c r="HG183" s="93"/>
    </row>
    <row r="184" spans="14:215" x14ac:dyDescent="0.2">
      <c r="N184" s="93" t="s">
        <v>301</v>
      </c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93"/>
      <c r="BG184" s="93"/>
      <c r="BH184" s="93"/>
      <c r="BI184" s="93"/>
      <c r="BJ184" s="93"/>
      <c r="BK184" s="93"/>
      <c r="BL184" s="93"/>
      <c r="BM184" s="93"/>
      <c r="BN184" s="93"/>
      <c r="BO184" s="93"/>
      <c r="BP184" s="93"/>
      <c r="BQ184" s="93"/>
      <c r="BR184" s="93"/>
      <c r="BS184" s="93"/>
      <c r="BT184" s="93"/>
      <c r="BU184" s="93"/>
      <c r="BV184" s="93"/>
      <c r="BW184" s="93"/>
      <c r="BX184" s="93"/>
      <c r="BY184" s="93"/>
      <c r="BZ184" s="93"/>
      <c r="CA184" s="93"/>
      <c r="CB184" s="93"/>
      <c r="CC184" s="93"/>
      <c r="CD184" s="93"/>
      <c r="CE184" s="93"/>
      <c r="CF184" s="93"/>
      <c r="CG184" s="93"/>
      <c r="CH184" s="93"/>
      <c r="CI184" s="93"/>
      <c r="CJ184" s="93">
        <v>0.33180428134556578</v>
      </c>
      <c r="CK184" s="93"/>
      <c r="CL184" s="93"/>
      <c r="CM184" s="93"/>
      <c r="CN184" s="93"/>
      <c r="CO184" s="93"/>
      <c r="CP184" s="93"/>
      <c r="CQ184" s="93"/>
      <c r="CR184" s="93"/>
      <c r="CS184" s="93"/>
      <c r="CT184" s="93"/>
      <c r="CU184" s="93"/>
      <c r="CV184" s="93"/>
      <c r="CW184" s="93"/>
      <c r="CX184" s="93"/>
      <c r="CY184" s="93"/>
      <c r="CZ184" s="93"/>
      <c r="DA184" s="93"/>
      <c r="DB184" s="93"/>
      <c r="DC184" s="93"/>
      <c r="DD184" s="93"/>
      <c r="DE184" s="93"/>
      <c r="DF184" s="93"/>
      <c r="DG184" s="93"/>
      <c r="DH184" s="93"/>
      <c r="DI184" s="93"/>
      <c r="DJ184" s="93"/>
      <c r="DK184" s="93"/>
      <c r="DL184" s="93"/>
      <c r="DM184" s="93"/>
      <c r="DN184" s="93"/>
      <c r="DO184" s="93"/>
      <c r="DP184" s="93"/>
      <c r="DQ184" s="93"/>
      <c r="DR184" s="93"/>
      <c r="DS184" s="93"/>
      <c r="DT184" s="93"/>
      <c r="DU184" s="93"/>
      <c r="DV184" s="93"/>
      <c r="DW184" s="93"/>
      <c r="DX184" s="93"/>
      <c r="DY184" s="93"/>
      <c r="DZ184" s="93"/>
      <c r="EA184" s="93"/>
      <c r="EB184" s="93"/>
      <c r="EC184" s="93"/>
      <c r="ED184" s="93"/>
      <c r="EE184" s="93"/>
      <c r="EF184" s="93"/>
      <c r="EG184" s="93"/>
      <c r="EH184" s="93"/>
      <c r="EI184" s="93"/>
      <c r="EJ184" s="93"/>
      <c r="EK184" s="93"/>
      <c r="EL184" s="93"/>
      <c r="EM184" s="93"/>
      <c r="EN184" s="93"/>
      <c r="EO184" s="93"/>
      <c r="EP184" s="93"/>
      <c r="EQ184" s="93"/>
      <c r="ER184" s="93"/>
      <c r="ES184" s="93"/>
      <c r="ET184" s="93"/>
      <c r="EU184" s="93"/>
      <c r="EV184" s="93"/>
      <c r="EW184" s="93"/>
      <c r="EX184" s="93"/>
      <c r="EY184" s="93"/>
      <c r="EZ184" s="93"/>
      <c r="FA184" s="93"/>
      <c r="FB184" s="93"/>
      <c r="FC184" s="93"/>
      <c r="FD184" s="93"/>
      <c r="FE184" s="93"/>
      <c r="FF184" s="93"/>
      <c r="FG184" s="93"/>
      <c r="FH184" s="93"/>
      <c r="FI184" s="93"/>
      <c r="FJ184" s="93"/>
      <c r="FK184" s="93"/>
      <c r="FL184" s="93"/>
      <c r="FM184" s="93"/>
      <c r="FN184" s="93"/>
      <c r="FO184" s="93"/>
      <c r="FP184" s="93"/>
      <c r="FQ184" s="93"/>
      <c r="FR184" s="93"/>
      <c r="FS184" s="93"/>
      <c r="FT184" s="93"/>
      <c r="FU184" s="93"/>
      <c r="FV184" s="93"/>
      <c r="FW184" s="93"/>
      <c r="FX184" s="93"/>
      <c r="FY184" s="93"/>
      <c r="FZ184" s="93"/>
      <c r="GA184" s="93"/>
      <c r="GB184" s="93"/>
      <c r="GC184" s="93"/>
      <c r="GD184" s="93"/>
      <c r="GE184" s="93"/>
      <c r="GF184" s="93"/>
      <c r="GG184" s="93"/>
      <c r="GH184" s="93"/>
      <c r="GI184" s="93"/>
      <c r="GJ184" s="93"/>
      <c r="GK184" s="93"/>
      <c r="GL184" s="93"/>
      <c r="GM184" s="93"/>
      <c r="GN184" s="93"/>
      <c r="GO184" s="93"/>
      <c r="GP184" s="93"/>
      <c r="GQ184" s="93"/>
      <c r="GR184" s="93"/>
      <c r="GS184" s="93"/>
      <c r="GT184" s="93"/>
      <c r="GU184" s="93"/>
      <c r="GV184" s="93"/>
      <c r="GW184" s="93"/>
      <c r="GX184" s="93"/>
      <c r="GY184" s="93"/>
      <c r="GZ184" s="93"/>
      <c r="HA184" s="93"/>
      <c r="HB184" s="93"/>
      <c r="HC184" s="93"/>
      <c r="HD184" s="93"/>
      <c r="HE184" s="93"/>
      <c r="HF184" s="93"/>
      <c r="HG184" s="93"/>
    </row>
    <row r="185" spans="14:215" x14ac:dyDescent="0.2">
      <c r="N185" s="93" t="s">
        <v>302</v>
      </c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  <c r="BI185" s="93"/>
      <c r="BJ185" s="93"/>
      <c r="BK185" s="93"/>
      <c r="BL185" s="93"/>
      <c r="BM185" s="93"/>
      <c r="BN185" s="93"/>
      <c r="BO185" s="93"/>
      <c r="BP185" s="93"/>
      <c r="BQ185" s="93"/>
      <c r="BR185" s="93"/>
      <c r="BS185" s="93"/>
      <c r="BT185" s="93"/>
      <c r="BU185" s="93"/>
      <c r="BV185" s="93"/>
      <c r="BW185" s="93"/>
      <c r="BX185" s="93"/>
      <c r="BY185" s="93"/>
      <c r="BZ185" s="93"/>
      <c r="CA185" s="93"/>
      <c r="CB185" s="93"/>
      <c r="CC185" s="93"/>
      <c r="CD185" s="93"/>
      <c r="CE185" s="93"/>
      <c r="CF185" s="93"/>
      <c r="CG185" s="93"/>
      <c r="CH185" s="93"/>
      <c r="CI185" s="93"/>
      <c r="CJ185" s="93"/>
      <c r="CK185" s="93">
        <v>0.33182503770739064</v>
      </c>
      <c r="CL185" s="93"/>
      <c r="CM185" s="93"/>
      <c r="CN185" s="93"/>
      <c r="CO185" s="93"/>
      <c r="CP185" s="93"/>
      <c r="CQ185" s="93"/>
      <c r="CR185" s="93"/>
      <c r="CS185" s="93"/>
      <c r="CT185" s="93"/>
      <c r="CU185" s="93"/>
      <c r="CV185" s="93"/>
      <c r="CW185" s="93"/>
      <c r="CX185" s="93"/>
      <c r="CY185" s="93"/>
      <c r="CZ185" s="93"/>
      <c r="DA185" s="93"/>
      <c r="DB185" s="93"/>
      <c r="DC185" s="93"/>
      <c r="DD185" s="93"/>
      <c r="DE185" s="93"/>
      <c r="DF185" s="93"/>
      <c r="DG185" s="93"/>
      <c r="DH185" s="93"/>
      <c r="DI185" s="93"/>
      <c r="DJ185" s="93"/>
      <c r="DK185" s="93"/>
      <c r="DL185" s="93"/>
      <c r="DM185" s="93"/>
      <c r="DN185" s="93"/>
      <c r="DO185" s="93"/>
      <c r="DP185" s="93"/>
      <c r="DQ185" s="93"/>
      <c r="DR185" s="93"/>
      <c r="DS185" s="93"/>
      <c r="DT185" s="93"/>
      <c r="DU185" s="93"/>
      <c r="DV185" s="93"/>
      <c r="DW185" s="93"/>
      <c r="DX185" s="93"/>
      <c r="DY185" s="93"/>
      <c r="DZ185" s="93"/>
      <c r="EA185" s="93"/>
      <c r="EB185" s="93"/>
      <c r="EC185" s="93"/>
      <c r="ED185" s="93"/>
      <c r="EE185" s="93"/>
      <c r="EF185" s="93"/>
      <c r="EG185" s="93"/>
      <c r="EH185" s="93"/>
      <c r="EI185" s="93"/>
      <c r="EJ185" s="93"/>
      <c r="EK185" s="93"/>
      <c r="EL185" s="93"/>
      <c r="EM185" s="93"/>
      <c r="EN185" s="93"/>
      <c r="EO185" s="93"/>
      <c r="EP185" s="93"/>
      <c r="EQ185" s="93"/>
      <c r="ER185" s="93"/>
      <c r="ES185" s="93"/>
      <c r="ET185" s="93"/>
      <c r="EU185" s="93"/>
      <c r="EV185" s="93"/>
      <c r="EW185" s="93"/>
      <c r="EX185" s="93"/>
      <c r="EY185" s="93"/>
      <c r="EZ185" s="93"/>
      <c r="FA185" s="93"/>
      <c r="FB185" s="93"/>
      <c r="FC185" s="93"/>
      <c r="FD185" s="93"/>
      <c r="FE185" s="93"/>
      <c r="FF185" s="93"/>
      <c r="FG185" s="93"/>
      <c r="FH185" s="93"/>
      <c r="FI185" s="93"/>
      <c r="FJ185" s="93"/>
      <c r="FK185" s="93"/>
      <c r="FL185" s="93"/>
      <c r="FM185" s="93"/>
      <c r="FN185" s="93"/>
      <c r="FO185" s="93"/>
      <c r="FP185" s="93"/>
      <c r="FQ185" s="93"/>
      <c r="FR185" s="93"/>
      <c r="FS185" s="93"/>
      <c r="FT185" s="93"/>
      <c r="FU185" s="93"/>
      <c r="FV185" s="93"/>
      <c r="FW185" s="93"/>
      <c r="FX185" s="93"/>
      <c r="FY185" s="93"/>
      <c r="FZ185" s="93"/>
      <c r="GA185" s="93"/>
      <c r="GB185" s="93"/>
      <c r="GC185" s="93"/>
      <c r="GD185" s="93"/>
      <c r="GE185" s="93"/>
      <c r="GF185" s="93"/>
      <c r="GG185" s="93"/>
      <c r="GH185" s="93"/>
      <c r="GI185" s="93"/>
      <c r="GJ185" s="93"/>
      <c r="GK185" s="93"/>
      <c r="GL185" s="93"/>
      <c r="GM185" s="93"/>
      <c r="GN185" s="93"/>
      <c r="GO185" s="93"/>
      <c r="GP185" s="93"/>
      <c r="GQ185" s="93"/>
      <c r="GR185" s="93"/>
      <c r="GS185" s="93"/>
      <c r="GT185" s="93"/>
      <c r="GU185" s="93"/>
      <c r="GV185" s="93"/>
      <c r="GW185" s="93"/>
      <c r="GX185" s="93"/>
      <c r="GY185" s="93"/>
      <c r="GZ185" s="93"/>
      <c r="HA185" s="93"/>
      <c r="HB185" s="93"/>
      <c r="HC185" s="93"/>
      <c r="HD185" s="93"/>
      <c r="HE185" s="93"/>
      <c r="HF185" s="93"/>
      <c r="HG185" s="93"/>
    </row>
    <row r="186" spans="14:215" x14ac:dyDescent="0.2">
      <c r="N186" s="93" t="s">
        <v>303</v>
      </c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>
        <v>0.33184523809523808</v>
      </c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  <c r="DV186" s="93"/>
      <c r="DW186" s="93"/>
      <c r="DX186" s="93"/>
      <c r="DY186" s="93"/>
      <c r="DZ186" s="93"/>
      <c r="EA186" s="93"/>
      <c r="EB186" s="93"/>
      <c r="EC186" s="93"/>
      <c r="ED186" s="93"/>
      <c r="EE186" s="93"/>
      <c r="EF186" s="93"/>
      <c r="EG186" s="93"/>
      <c r="EH186" s="93"/>
      <c r="EI186" s="93"/>
      <c r="EJ186" s="93"/>
      <c r="EK186" s="93"/>
      <c r="EL186" s="93"/>
      <c r="EM186" s="93"/>
      <c r="EN186" s="93"/>
      <c r="EO186" s="93"/>
      <c r="EP186" s="93"/>
      <c r="EQ186" s="93"/>
      <c r="ER186" s="93"/>
      <c r="ES186" s="93"/>
      <c r="ET186" s="93"/>
      <c r="EU186" s="93"/>
      <c r="EV186" s="93"/>
      <c r="EW186" s="93"/>
      <c r="EX186" s="93"/>
      <c r="EY186" s="93"/>
      <c r="EZ186" s="93"/>
      <c r="FA186" s="93"/>
      <c r="FB186" s="93"/>
      <c r="FC186" s="93"/>
      <c r="FD186" s="93"/>
      <c r="FE186" s="93"/>
      <c r="FF186" s="93"/>
      <c r="FG186" s="93"/>
      <c r="FH186" s="93"/>
      <c r="FI186" s="93"/>
      <c r="FJ186" s="93"/>
      <c r="FK186" s="93"/>
      <c r="FL186" s="93"/>
      <c r="FM186" s="93"/>
      <c r="FN186" s="93"/>
      <c r="FO186" s="93"/>
      <c r="FP186" s="93"/>
      <c r="FQ186" s="93"/>
      <c r="FR186" s="93"/>
      <c r="FS186" s="93"/>
      <c r="FT186" s="93"/>
      <c r="FU186" s="93"/>
      <c r="FV186" s="93"/>
      <c r="FW186" s="93"/>
      <c r="FX186" s="93"/>
      <c r="FY186" s="93"/>
      <c r="FZ186" s="93"/>
      <c r="GA186" s="93"/>
      <c r="GB186" s="93"/>
      <c r="GC186" s="93"/>
      <c r="GD186" s="93"/>
      <c r="GE186" s="93"/>
      <c r="GF186" s="93"/>
      <c r="GG186" s="93"/>
      <c r="GH186" s="93"/>
      <c r="GI186" s="93"/>
      <c r="GJ186" s="93"/>
      <c r="GK186" s="93"/>
      <c r="GL186" s="93"/>
      <c r="GM186" s="93"/>
      <c r="GN186" s="93"/>
      <c r="GO186" s="93"/>
      <c r="GP186" s="93"/>
      <c r="GQ186" s="93"/>
      <c r="GR186" s="93"/>
      <c r="GS186" s="93"/>
      <c r="GT186" s="93"/>
      <c r="GU186" s="93"/>
      <c r="GV186" s="93"/>
      <c r="GW186" s="93"/>
      <c r="GX186" s="93"/>
      <c r="GY186" s="93"/>
      <c r="GZ186" s="93"/>
      <c r="HA186" s="93"/>
      <c r="HB186" s="93"/>
      <c r="HC186" s="93"/>
      <c r="HD186" s="93"/>
      <c r="HE186" s="93"/>
      <c r="HF186" s="93"/>
      <c r="HG186" s="93"/>
    </row>
    <row r="187" spans="14:215" x14ac:dyDescent="0.2">
      <c r="N187" s="93" t="s">
        <v>304</v>
      </c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  <c r="BI187" s="93"/>
      <c r="BJ187" s="93"/>
      <c r="BK187" s="93"/>
      <c r="BL187" s="93"/>
      <c r="BM187" s="93"/>
      <c r="BN187" s="93"/>
      <c r="BO187" s="93"/>
      <c r="BP187" s="93"/>
      <c r="BQ187" s="93"/>
      <c r="BR187" s="93"/>
      <c r="BS187" s="93"/>
      <c r="BT187" s="93"/>
      <c r="BU187" s="93"/>
      <c r="BV187" s="93"/>
      <c r="BW187" s="93"/>
      <c r="BX187" s="93"/>
      <c r="BY187" s="93"/>
      <c r="BZ187" s="93"/>
      <c r="CA187" s="93"/>
      <c r="CB187" s="93"/>
      <c r="CC187" s="93"/>
      <c r="CD187" s="93"/>
      <c r="CE187" s="93"/>
      <c r="CF187" s="93"/>
      <c r="CG187" s="93"/>
      <c r="CH187" s="93"/>
      <c r="CI187" s="93"/>
      <c r="CJ187" s="93"/>
      <c r="CK187" s="93"/>
      <c r="CL187" s="93"/>
      <c r="CM187" s="93">
        <v>0.33186490455212925</v>
      </c>
      <c r="CN187" s="93"/>
      <c r="CO187" s="93"/>
      <c r="CP187" s="93"/>
      <c r="CQ187" s="93"/>
      <c r="CR187" s="93"/>
      <c r="CS187" s="93"/>
      <c r="CT187" s="93"/>
      <c r="CU187" s="93"/>
      <c r="CV187" s="93"/>
      <c r="CW187" s="93"/>
      <c r="CX187" s="93"/>
      <c r="CY187" s="93"/>
      <c r="CZ187" s="93"/>
      <c r="DA187" s="93"/>
      <c r="DB187" s="93"/>
      <c r="DC187" s="93"/>
      <c r="DD187" s="93"/>
      <c r="DE187" s="93"/>
      <c r="DF187" s="93"/>
      <c r="DG187" s="93"/>
      <c r="DH187" s="93"/>
      <c r="DI187" s="93"/>
      <c r="DJ187" s="93"/>
      <c r="DK187" s="93"/>
      <c r="DL187" s="93"/>
      <c r="DM187" s="93"/>
      <c r="DN187" s="93"/>
      <c r="DO187" s="93"/>
      <c r="DP187" s="93"/>
      <c r="DQ187" s="93"/>
      <c r="DR187" s="93"/>
      <c r="DS187" s="93"/>
      <c r="DT187" s="93"/>
      <c r="DU187" s="93"/>
      <c r="DV187" s="93"/>
      <c r="DW187" s="93"/>
      <c r="DX187" s="93"/>
      <c r="DY187" s="93"/>
      <c r="DZ187" s="93"/>
      <c r="EA187" s="93"/>
      <c r="EB187" s="93"/>
      <c r="EC187" s="93"/>
      <c r="ED187" s="93"/>
      <c r="EE187" s="93"/>
      <c r="EF187" s="93"/>
      <c r="EG187" s="93"/>
      <c r="EH187" s="93"/>
      <c r="EI187" s="93"/>
      <c r="EJ187" s="93"/>
      <c r="EK187" s="93"/>
      <c r="EL187" s="93"/>
      <c r="EM187" s="93"/>
      <c r="EN187" s="93"/>
      <c r="EO187" s="93"/>
      <c r="EP187" s="93"/>
      <c r="EQ187" s="93"/>
      <c r="ER187" s="93"/>
      <c r="ES187" s="93"/>
      <c r="ET187" s="93"/>
      <c r="EU187" s="93"/>
      <c r="EV187" s="93"/>
      <c r="EW187" s="93"/>
      <c r="EX187" s="93"/>
      <c r="EY187" s="93"/>
      <c r="EZ187" s="93"/>
      <c r="FA187" s="93"/>
      <c r="FB187" s="93"/>
      <c r="FC187" s="93"/>
      <c r="FD187" s="93"/>
      <c r="FE187" s="93"/>
      <c r="FF187" s="93"/>
      <c r="FG187" s="93"/>
      <c r="FH187" s="93"/>
      <c r="FI187" s="93"/>
      <c r="FJ187" s="93"/>
      <c r="FK187" s="93"/>
      <c r="FL187" s="93"/>
      <c r="FM187" s="93"/>
      <c r="FN187" s="93"/>
      <c r="FO187" s="93"/>
      <c r="FP187" s="93"/>
      <c r="FQ187" s="93"/>
      <c r="FR187" s="93"/>
      <c r="FS187" s="93"/>
      <c r="FT187" s="93"/>
      <c r="FU187" s="93"/>
      <c r="FV187" s="93"/>
      <c r="FW187" s="93"/>
      <c r="FX187" s="93"/>
      <c r="FY187" s="93"/>
      <c r="FZ187" s="93"/>
      <c r="GA187" s="93"/>
      <c r="GB187" s="93"/>
      <c r="GC187" s="93"/>
      <c r="GD187" s="93"/>
      <c r="GE187" s="93"/>
      <c r="GF187" s="93"/>
      <c r="GG187" s="93"/>
      <c r="GH187" s="93"/>
      <c r="GI187" s="93"/>
      <c r="GJ187" s="93"/>
      <c r="GK187" s="93"/>
      <c r="GL187" s="93"/>
      <c r="GM187" s="93"/>
      <c r="GN187" s="93"/>
      <c r="GO187" s="93"/>
      <c r="GP187" s="93"/>
      <c r="GQ187" s="93"/>
      <c r="GR187" s="93"/>
      <c r="GS187" s="93"/>
      <c r="GT187" s="93"/>
      <c r="GU187" s="93"/>
      <c r="GV187" s="93"/>
      <c r="GW187" s="93"/>
      <c r="GX187" s="93"/>
      <c r="GY187" s="93"/>
      <c r="GZ187" s="93"/>
      <c r="HA187" s="93"/>
      <c r="HB187" s="93"/>
      <c r="HC187" s="93"/>
      <c r="HD187" s="93"/>
      <c r="HE187" s="93"/>
      <c r="HF187" s="93"/>
      <c r="HG187" s="93"/>
    </row>
    <row r="188" spans="14:215" x14ac:dyDescent="0.2">
      <c r="N188" s="93" t="s">
        <v>305</v>
      </c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>
        <v>0.3318840579710145</v>
      </c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</row>
    <row r="189" spans="14:215" x14ac:dyDescent="0.2">
      <c r="N189" s="93" t="s">
        <v>306</v>
      </c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  <c r="BI189" s="93"/>
      <c r="BJ189" s="93"/>
      <c r="BK189" s="93"/>
      <c r="BL189" s="93"/>
      <c r="BM189" s="93"/>
      <c r="BN189" s="93"/>
      <c r="BO189" s="93"/>
      <c r="BP189" s="93"/>
      <c r="BQ189" s="93"/>
      <c r="BR189" s="93"/>
      <c r="BS189" s="93"/>
      <c r="BT189" s="93"/>
      <c r="BU189" s="93"/>
      <c r="BV189" s="93"/>
      <c r="BW189" s="93"/>
      <c r="BX189" s="93"/>
      <c r="BY189" s="93"/>
      <c r="BZ189" s="93"/>
      <c r="CA189" s="93"/>
      <c r="CB189" s="93"/>
      <c r="CC189" s="93"/>
      <c r="CD189" s="93"/>
      <c r="CE189" s="93"/>
      <c r="CF189" s="93"/>
      <c r="CG189" s="93"/>
      <c r="CH189" s="93"/>
      <c r="CI189" s="93"/>
      <c r="CJ189" s="93"/>
      <c r="CK189" s="93"/>
      <c r="CL189" s="93"/>
      <c r="CM189" s="93"/>
      <c r="CN189" s="93"/>
      <c r="CO189" s="93">
        <v>0.33190271816881262</v>
      </c>
      <c r="CP189" s="93"/>
      <c r="CQ189" s="93"/>
      <c r="CR189" s="93"/>
      <c r="CS189" s="93"/>
      <c r="CT189" s="93"/>
      <c r="CU189" s="93"/>
      <c r="CV189" s="93"/>
      <c r="CW189" s="93"/>
      <c r="CX189" s="93"/>
      <c r="CY189" s="93"/>
      <c r="CZ189" s="93"/>
      <c r="DA189" s="93"/>
      <c r="DB189" s="93"/>
      <c r="DC189" s="93"/>
      <c r="DD189" s="93"/>
      <c r="DE189" s="93"/>
      <c r="DF189" s="93"/>
      <c r="DG189" s="93"/>
      <c r="DH189" s="93"/>
      <c r="DI189" s="93"/>
      <c r="DJ189" s="93"/>
      <c r="DK189" s="93"/>
      <c r="DL189" s="93"/>
      <c r="DM189" s="93"/>
      <c r="DN189" s="93"/>
      <c r="DO189" s="93"/>
      <c r="DP189" s="93"/>
      <c r="DQ189" s="93"/>
      <c r="DR189" s="93"/>
      <c r="DS189" s="93"/>
      <c r="DT189" s="93"/>
      <c r="DU189" s="93"/>
      <c r="DV189" s="93"/>
      <c r="DW189" s="93"/>
      <c r="DX189" s="93"/>
      <c r="DY189" s="93"/>
      <c r="DZ189" s="93"/>
      <c r="EA189" s="93"/>
      <c r="EB189" s="93"/>
      <c r="EC189" s="93"/>
      <c r="ED189" s="93"/>
      <c r="EE189" s="93"/>
      <c r="EF189" s="93"/>
      <c r="EG189" s="93"/>
      <c r="EH189" s="93"/>
      <c r="EI189" s="93"/>
      <c r="EJ189" s="93"/>
      <c r="EK189" s="93"/>
      <c r="EL189" s="93"/>
      <c r="EM189" s="93"/>
      <c r="EN189" s="93"/>
      <c r="EO189" s="93"/>
      <c r="EP189" s="93"/>
      <c r="EQ189" s="93"/>
      <c r="ER189" s="93"/>
      <c r="ES189" s="93"/>
      <c r="ET189" s="93"/>
      <c r="EU189" s="93"/>
      <c r="EV189" s="93"/>
      <c r="EW189" s="93"/>
      <c r="EX189" s="93"/>
      <c r="EY189" s="93"/>
      <c r="EZ189" s="93"/>
      <c r="FA189" s="93"/>
      <c r="FB189" s="93"/>
      <c r="FC189" s="93"/>
      <c r="FD189" s="93"/>
      <c r="FE189" s="93"/>
      <c r="FF189" s="93"/>
      <c r="FG189" s="93"/>
      <c r="FH189" s="93"/>
      <c r="FI189" s="93"/>
      <c r="FJ189" s="93"/>
      <c r="FK189" s="93"/>
      <c r="FL189" s="93"/>
      <c r="FM189" s="93"/>
      <c r="FN189" s="93"/>
      <c r="FO189" s="93"/>
      <c r="FP189" s="93"/>
      <c r="FQ189" s="93"/>
      <c r="FR189" s="93"/>
      <c r="FS189" s="93"/>
      <c r="FT189" s="93"/>
      <c r="FU189" s="93"/>
      <c r="FV189" s="93"/>
      <c r="FW189" s="93"/>
      <c r="FX189" s="93"/>
      <c r="FY189" s="93"/>
      <c r="FZ189" s="93"/>
      <c r="GA189" s="93"/>
      <c r="GB189" s="93"/>
      <c r="GC189" s="93"/>
      <c r="GD189" s="93"/>
      <c r="GE189" s="93"/>
      <c r="GF189" s="93"/>
      <c r="GG189" s="93"/>
      <c r="GH189" s="93"/>
      <c r="GI189" s="93"/>
      <c r="GJ189" s="93"/>
      <c r="GK189" s="93"/>
      <c r="GL189" s="93"/>
      <c r="GM189" s="93"/>
      <c r="GN189" s="93"/>
      <c r="GO189" s="93"/>
      <c r="GP189" s="93"/>
      <c r="GQ189" s="93"/>
      <c r="GR189" s="93"/>
      <c r="GS189" s="93"/>
      <c r="GT189" s="93"/>
      <c r="GU189" s="93"/>
      <c r="GV189" s="93"/>
      <c r="GW189" s="93"/>
      <c r="GX189" s="93"/>
      <c r="GY189" s="93"/>
      <c r="GZ189" s="93"/>
      <c r="HA189" s="93"/>
      <c r="HB189" s="93"/>
      <c r="HC189" s="93"/>
      <c r="HD189" s="93"/>
      <c r="HE189" s="93"/>
      <c r="HF189" s="93"/>
      <c r="HG189" s="93"/>
    </row>
    <row r="190" spans="14:215" x14ac:dyDescent="0.2">
      <c r="N190" s="93" t="s">
        <v>307</v>
      </c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3"/>
      <c r="AW190" s="93"/>
      <c r="AX190" s="93"/>
      <c r="AY190" s="93"/>
      <c r="AZ190" s="93"/>
      <c r="BA190" s="93"/>
      <c r="BB190" s="93"/>
      <c r="BC190" s="93"/>
      <c r="BD190" s="93"/>
      <c r="BE190" s="93"/>
      <c r="BF190" s="93"/>
      <c r="BG190" s="93"/>
      <c r="BH190" s="93"/>
      <c r="BI190" s="93"/>
      <c r="BJ190" s="93"/>
      <c r="BK190" s="93"/>
      <c r="BL190" s="93"/>
      <c r="BM190" s="93"/>
      <c r="BN190" s="93"/>
      <c r="BO190" s="93"/>
      <c r="BP190" s="93"/>
      <c r="BQ190" s="93"/>
      <c r="BR190" s="93"/>
      <c r="BS190" s="93"/>
      <c r="BT190" s="93"/>
      <c r="BU190" s="93"/>
      <c r="BV190" s="93"/>
      <c r="BW190" s="93"/>
      <c r="BX190" s="93"/>
      <c r="BY190" s="93"/>
      <c r="BZ190" s="93"/>
      <c r="CA190" s="93"/>
      <c r="CB190" s="93"/>
      <c r="CC190" s="93"/>
      <c r="CD190" s="93"/>
      <c r="CE190" s="93"/>
      <c r="CF190" s="93"/>
      <c r="CG190" s="93"/>
      <c r="CH190" s="93"/>
      <c r="CI190" s="93"/>
      <c r="CJ190" s="93"/>
      <c r="CK190" s="93"/>
      <c r="CL190" s="93"/>
      <c r="CM190" s="93"/>
      <c r="CN190" s="93"/>
      <c r="CO190" s="93"/>
      <c r="CP190" s="93">
        <v>0.33192090395480228</v>
      </c>
      <c r="CQ190" s="93"/>
      <c r="CR190" s="93"/>
      <c r="CS190" s="93"/>
      <c r="CT190" s="93"/>
      <c r="CU190" s="93"/>
      <c r="CV190" s="93"/>
      <c r="CW190" s="93"/>
      <c r="CX190" s="93"/>
      <c r="CY190" s="93"/>
      <c r="CZ190" s="93"/>
      <c r="DA190" s="93"/>
      <c r="DB190" s="93"/>
      <c r="DC190" s="93"/>
      <c r="DD190" s="93"/>
      <c r="DE190" s="93"/>
      <c r="DF190" s="93"/>
      <c r="DG190" s="93"/>
      <c r="DH190" s="93"/>
      <c r="DI190" s="93"/>
      <c r="DJ190" s="93"/>
      <c r="DK190" s="93"/>
      <c r="DL190" s="93"/>
      <c r="DM190" s="93"/>
      <c r="DN190" s="93"/>
      <c r="DO190" s="93"/>
      <c r="DP190" s="93"/>
      <c r="DQ190" s="93"/>
      <c r="DR190" s="93"/>
      <c r="DS190" s="93"/>
      <c r="DT190" s="93"/>
      <c r="DU190" s="93"/>
      <c r="DV190" s="93"/>
      <c r="DW190" s="93"/>
      <c r="DX190" s="93"/>
      <c r="DY190" s="93"/>
      <c r="DZ190" s="93"/>
      <c r="EA190" s="93"/>
      <c r="EB190" s="93"/>
      <c r="EC190" s="93"/>
      <c r="ED190" s="93"/>
      <c r="EE190" s="93"/>
      <c r="EF190" s="93"/>
      <c r="EG190" s="93"/>
      <c r="EH190" s="93"/>
      <c r="EI190" s="93"/>
      <c r="EJ190" s="93"/>
      <c r="EK190" s="93"/>
      <c r="EL190" s="93"/>
      <c r="EM190" s="93"/>
      <c r="EN190" s="93"/>
      <c r="EO190" s="93"/>
      <c r="EP190" s="93"/>
      <c r="EQ190" s="93"/>
      <c r="ER190" s="93"/>
      <c r="ES190" s="93"/>
      <c r="ET190" s="93"/>
      <c r="EU190" s="93"/>
      <c r="EV190" s="93"/>
      <c r="EW190" s="93"/>
      <c r="EX190" s="93"/>
      <c r="EY190" s="93"/>
      <c r="EZ190" s="93"/>
      <c r="FA190" s="93"/>
      <c r="FB190" s="93"/>
      <c r="FC190" s="93"/>
      <c r="FD190" s="93"/>
      <c r="FE190" s="93"/>
      <c r="FF190" s="93"/>
      <c r="FG190" s="93"/>
      <c r="FH190" s="93"/>
      <c r="FI190" s="93"/>
      <c r="FJ190" s="93"/>
      <c r="FK190" s="93"/>
      <c r="FL190" s="93"/>
      <c r="FM190" s="93"/>
      <c r="FN190" s="93"/>
      <c r="FO190" s="93"/>
      <c r="FP190" s="93"/>
      <c r="FQ190" s="93"/>
      <c r="FR190" s="93"/>
      <c r="FS190" s="93"/>
      <c r="FT190" s="93"/>
      <c r="FU190" s="93"/>
      <c r="FV190" s="93"/>
      <c r="FW190" s="93"/>
      <c r="FX190" s="93"/>
      <c r="FY190" s="93"/>
      <c r="FZ190" s="93"/>
      <c r="GA190" s="93"/>
      <c r="GB190" s="93"/>
      <c r="GC190" s="93"/>
      <c r="GD190" s="93"/>
      <c r="GE190" s="93"/>
      <c r="GF190" s="93"/>
      <c r="GG190" s="93"/>
      <c r="GH190" s="93"/>
      <c r="GI190" s="93"/>
      <c r="GJ190" s="93"/>
      <c r="GK190" s="93"/>
      <c r="GL190" s="93"/>
      <c r="GM190" s="93"/>
      <c r="GN190" s="93"/>
      <c r="GO190" s="93"/>
      <c r="GP190" s="93"/>
      <c r="GQ190" s="93"/>
      <c r="GR190" s="93"/>
      <c r="GS190" s="93"/>
      <c r="GT190" s="93"/>
      <c r="GU190" s="93"/>
      <c r="GV190" s="93"/>
      <c r="GW190" s="93"/>
      <c r="GX190" s="93"/>
      <c r="GY190" s="93"/>
      <c r="GZ190" s="93"/>
      <c r="HA190" s="93"/>
      <c r="HB190" s="93"/>
      <c r="HC190" s="93"/>
      <c r="HD190" s="93"/>
      <c r="HE190" s="93"/>
      <c r="HF190" s="93"/>
      <c r="HG190" s="93"/>
    </row>
    <row r="191" spans="14:215" x14ac:dyDescent="0.2">
      <c r="N191" s="93" t="s">
        <v>308</v>
      </c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  <c r="BI191" s="93"/>
      <c r="BJ191" s="93"/>
      <c r="BK191" s="93"/>
      <c r="BL191" s="93"/>
      <c r="BM191" s="93"/>
      <c r="BN191" s="93"/>
      <c r="BO191" s="93"/>
      <c r="BP191" s="93"/>
      <c r="BQ191" s="93"/>
      <c r="BR191" s="93"/>
      <c r="BS191" s="93"/>
      <c r="BT191" s="93"/>
      <c r="BU191" s="93"/>
      <c r="BV191" s="93"/>
      <c r="BW191" s="93"/>
      <c r="BX191" s="93"/>
      <c r="BY191" s="93"/>
      <c r="BZ191" s="93"/>
      <c r="CA191" s="93"/>
      <c r="CB191" s="93"/>
      <c r="CC191" s="93"/>
      <c r="CD191" s="93"/>
      <c r="CE191" s="93"/>
      <c r="CF191" s="93"/>
      <c r="CG191" s="93"/>
      <c r="CH191" s="93"/>
      <c r="CI191" s="93"/>
      <c r="CJ191" s="93"/>
      <c r="CK191" s="93"/>
      <c r="CL191" s="93"/>
      <c r="CM191" s="93"/>
      <c r="CN191" s="93"/>
      <c r="CO191" s="93"/>
      <c r="CP191" s="93"/>
      <c r="CQ191" s="93">
        <v>0.3319386331938633</v>
      </c>
      <c r="CR191" s="93"/>
      <c r="CS191" s="93"/>
      <c r="CT191" s="93"/>
      <c r="CU191" s="93"/>
      <c r="CV191" s="93"/>
      <c r="CW191" s="93"/>
      <c r="CX191" s="93"/>
      <c r="CY191" s="93"/>
      <c r="CZ191" s="93"/>
      <c r="DA191" s="93"/>
      <c r="DB191" s="93"/>
      <c r="DC191" s="93"/>
      <c r="DD191" s="93"/>
      <c r="DE191" s="93"/>
      <c r="DF191" s="93"/>
      <c r="DG191" s="93"/>
      <c r="DH191" s="93"/>
      <c r="DI191" s="93"/>
      <c r="DJ191" s="93"/>
      <c r="DK191" s="93"/>
      <c r="DL191" s="93"/>
      <c r="DM191" s="93"/>
      <c r="DN191" s="93"/>
      <c r="DO191" s="93"/>
      <c r="DP191" s="93"/>
      <c r="DQ191" s="93"/>
      <c r="DR191" s="93"/>
      <c r="DS191" s="93"/>
      <c r="DT191" s="93"/>
      <c r="DU191" s="93"/>
      <c r="DV191" s="93"/>
      <c r="DW191" s="93"/>
      <c r="DX191" s="93"/>
      <c r="DY191" s="93"/>
      <c r="DZ191" s="93"/>
      <c r="EA191" s="93"/>
      <c r="EB191" s="93"/>
      <c r="EC191" s="93"/>
      <c r="ED191" s="93"/>
      <c r="EE191" s="93"/>
      <c r="EF191" s="93"/>
      <c r="EG191" s="93"/>
      <c r="EH191" s="93"/>
      <c r="EI191" s="93"/>
      <c r="EJ191" s="93"/>
      <c r="EK191" s="93"/>
      <c r="EL191" s="93"/>
      <c r="EM191" s="93"/>
      <c r="EN191" s="93"/>
      <c r="EO191" s="93"/>
      <c r="EP191" s="93"/>
      <c r="EQ191" s="93"/>
      <c r="ER191" s="93"/>
      <c r="ES191" s="93"/>
      <c r="ET191" s="93"/>
      <c r="EU191" s="93"/>
      <c r="EV191" s="93"/>
      <c r="EW191" s="93"/>
      <c r="EX191" s="93"/>
      <c r="EY191" s="93"/>
      <c r="EZ191" s="93"/>
      <c r="FA191" s="93"/>
      <c r="FB191" s="93"/>
      <c r="FC191" s="93"/>
      <c r="FD191" s="93"/>
      <c r="FE191" s="93"/>
      <c r="FF191" s="93"/>
      <c r="FG191" s="93"/>
      <c r="FH191" s="93"/>
      <c r="FI191" s="93"/>
      <c r="FJ191" s="93"/>
      <c r="FK191" s="93"/>
      <c r="FL191" s="93"/>
      <c r="FM191" s="93"/>
      <c r="FN191" s="93"/>
      <c r="FO191" s="93"/>
      <c r="FP191" s="93"/>
      <c r="FQ191" s="93"/>
      <c r="FR191" s="93"/>
      <c r="FS191" s="93"/>
      <c r="FT191" s="93"/>
      <c r="FU191" s="93"/>
      <c r="FV191" s="93"/>
      <c r="FW191" s="93"/>
      <c r="FX191" s="93"/>
      <c r="FY191" s="93"/>
      <c r="FZ191" s="93"/>
      <c r="GA191" s="93"/>
      <c r="GB191" s="93"/>
      <c r="GC191" s="93"/>
      <c r="GD191" s="93"/>
      <c r="GE191" s="93"/>
      <c r="GF191" s="93"/>
      <c r="GG191" s="93"/>
      <c r="GH191" s="93"/>
      <c r="GI191" s="93"/>
      <c r="GJ191" s="93"/>
      <c r="GK191" s="93"/>
      <c r="GL191" s="93"/>
      <c r="GM191" s="93"/>
      <c r="GN191" s="93"/>
      <c r="GO191" s="93"/>
      <c r="GP191" s="93"/>
      <c r="GQ191" s="93"/>
      <c r="GR191" s="93"/>
      <c r="GS191" s="93"/>
      <c r="GT191" s="93"/>
      <c r="GU191" s="93"/>
      <c r="GV191" s="93"/>
      <c r="GW191" s="93"/>
      <c r="GX191" s="93"/>
      <c r="GY191" s="93"/>
      <c r="GZ191" s="93"/>
      <c r="HA191" s="93"/>
      <c r="HB191" s="93"/>
      <c r="HC191" s="93"/>
      <c r="HD191" s="93"/>
      <c r="HE191" s="93"/>
      <c r="HF191" s="93"/>
      <c r="HG191" s="93"/>
    </row>
    <row r="192" spans="14:215" x14ac:dyDescent="0.2">
      <c r="N192" s="93" t="s">
        <v>309</v>
      </c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3"/>
      <c r="AW192" s="93"/>
      <c r="AX192" s="93"/>
      <c r="AY192" s="93"/>
      <c r="AZ192" s="93"/>
      <c r="BA192" s="93"/>
      <c r="BB192" s="93"/>
      <c r="BC192" s="93"/>
      <c r="BD192" s="93"/>
      <c r="BE192" s="93"/>
      <c r="BF192" s="93"/>
      <c r="BG192" s="93"/>
      <c r="BH192" s="93"/>
      <c r="BI192" s="93"/>
      <c r="BJ192" s="93"/>
      <c r="BK192" s="93"/>
      <c r="BL192" s="93"/>
      <c r="BM192" s="93"/>
      <c r="BN192" s="93"/>
      <c r="BO192" s="93"/>
      <c r="BP192" s="93"/>
      <c r="BQ192" s="93"/>
      <c r="BR192" s="93"/>
      <c r="BS192" s="93"/>
      <c r="BT192" s="93"/>
      <c r="BU192" s="93"/>
      <c r="BV192" s="93"/>
      <c r="BW192" s="93"/>
      <c r="BX192" s="93"/>
      <c r="BY192" s="93"/>
      <c r="BZ192" s="93"/>
      <c r="CA192" s="93"/>
      <c r="CB192" s="93"/>
      <c r="CC192" s="93"/>
      <c r="CD192" s="93"/>
      <c r="CE192" s="93"/>
      <c r="CF192" s="93"/>
      <c r="CG192" s="93"/>
      <c r="CH192" s="93"/>
      <c r="CI192" s="93"/>
      <c r="CJ192" s="93"/>
      <c r="CK192" s="93"/>
      <c r="CL192" s="93"/>
      <c r="CM192" s="93"/>
      <c r="CN192" s="93"/>
      <c r="CO192" s="93"/>
      <c r="CP192" s="93"/>
      <c r="CQ192" s="93"/>
      <c r="CR192" s="93">
        <v>0.3319559228650138</v>
      </c>
      <c r="CS192" s="93"/>
      <c r="CT192" s="93"/>
      <c r="CU192" s="93"/>
      <c r="CV192" s="93"/>
      <c r="CW192" s="93"/>
      <c r="CX192" s="93"/>
      <c r="CY192" s="93"/>
      <c r="CZ192" s="93"/>
      <c r="DA192" s="93"/>
      <c r="DB192" s="93"/>
      <c r="DC192" s="93"/>
      <c r="DD192" s="93"/>
      <c r="DE192" s="93"/>
      <c r="DF192" s="93"/>
      <c r="DG192" s="93"/>
      <c r="DH192" s="93"/>
      <c r="DI192" s="93"/>
      <c r="DJ192" s="93"/>
      <c r="DK192" s="93"/>
      <c r="DL192" s="93"/>
      <c r="DM192" s="93"/>
      <c r="DN192" s="93"/>
      <c r="DO192" s="93"/>
      <c r="DP192" s="93"/>
      <c r="DQ192" s="93"/>
      <c r="DR192" s="93"/>
      <c r="DS192" s="93"/>
      <c r="DT192" s="93"/>
      <c r="DU192" s="93"/>
      <c r="DV192" s="93"/>
      <c r="DW192" s="93"/>
      <c r="DX192" s="93"/>
      <c r="DY192" s="93"/>
      <c r="DZ192" s="93"/>
      <c r="EA192" s="93"/>
      <c r="EB192" s="93"/>
      <c r="EC192" s="93"/>
      <c r="ED192" s="93"/>
      <c r="EE192" s="93"/>
      <c r="EF192" s="93"/>
      <c r="EG192" s="93"/>
      <c r="EH192" s="93"/>
      <c r="EI192" s="93"/>
      <c r="EJ192" s="93"/>
      <c r="EK192" s="93"/>
      <c r="EL192" s="93"/>
      <c r="EM192" s="93"/>
      <c r="EN192" s="93"/>
      <c r="EO192" s="93"/>
      <c r="EP192" s="93"/>
      <c r="EQ192" s="93"/>
      <c r="ER192" s="93"/>
      <c r="ES192" s="93"/>
      <c r="ET192" s="93"/>
      <c r="EU192" s="93"/>
      <c r="EV192" s="93"/>
      <c r="EW192" s="93"/>
      <c r="EX192" s="93"/>
      <c r="EY192" s="93"/>
      <c r="EZ192" s="93"/>
      <c r="FA192" s="93"/>
      <c r="FB192" s="93"/>
      <c r="FC192" s="93"/>
      <c r="FD192" s="93"/>
      <c r="FE192" s="93"/>
      <c r="FF192" s="93"/>
      <c r="FG192" s="93"/>
      <c r="FH192" s="93"/>
      <c r="FI192" s="93"/>
      <c r="FJ192" s="93"/>
      <c r="FK192" s="93"/>
      <c r="FL192" s="93"/>
      <c r="FM192" s="93"/>
      <c r="FN192" s="93"/>
      <c r="FO192" s="93"/>
      <c r="FP192" s="93"/>
      <c r="FQ192" s="93"/>
      <c r="FR192" s="93"/>
      <c r="FS192" s="93"/>
      <c r="FT192" s="93"/>
      <c r="FU192" s="93"/>
      <c r="FV192" s="93"/>
      <c r="FW192" s="93"/>
      <c r="FX192" s="93"/>
      <c r="FY192" s="93"/>
      <c r="FZ192" s="93"/>
      <c r="GA192" s="93"/>
      <c r="GB192" s="93"/>
      <c r="GC192" s="93"/>
      <c r="GD192" s="93"/>
      <c r="GE192" s="93"/>
      <c r="GF192" s="93"/>
      <c r="GG192" s="93"/>
      <c r="GH192" s="93"/>
      <c r="GI192" s="93"/>
      <c r="GJ192" s="93"/>
      <c r="GK192" s="93"/>
      <c r="GL192" s="93"/>
      <c r="GM192" s="93"/>
      <c r="GN192" s="93"/>
      <c r="GO192" s="93"/>
      <c r="GP192" s="93"/>
      <c r="GQ192" s="93"/>
      <c r="GR192" s="93"/>
      <c r="GS192" s="93"/>
      <c r="GT192" s="93"/>
      <c r="GU192" s="93"/>
      <c r="GV192" s="93"/>
      <c r="GW192" s="93"/>
      <c r="GX192" s="93"/>
      <c r="GY192" s="93"/>
      <c r="GZ192" s="93"/>
      <c r="HA192" s="93"/>
      <c r="HB192" s="93"/>
      <c r="HC192" s="93"/>
      <c r="HD192" s="93"/>
      <c r="HE192" s="93"/>
      <c r="HF192" s="93"/>
      <c r="HG192" s="93"/>
    </row>
    <row r="193" spans="14:215" x14ac:dyDescent="0.2">
      <c r="N193" s="93" t="s">
        <v>310</v>
      </c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  <c r="BI193" s="93"/>
      <c r="BJ193" s="93"/>
      <c r="BK193" s="93"/>
      <c r="BL193" s="93"/>
      <c r="BM193" s="93"/>
      <c r="BN193" s="93"/>
      <c r="BO193" s="93"/>
      <c r="BP193" s="93"/>
      <c r="BQ193" s="93"/>
      <c r="BR193" s="93"/>
      <c r="BS193" s="93"/>
      <c r="BT193" s="93"/>
      <c r="BU193" s="93"/>
      <c r="BV193" s="93"/>
      <c r="BW193" s="93"/>
      <c r="BX193" s="93"/>
      <c r="BY193" s="93"/>
      <c r="BZ193" s="93"/>
      <c r="CA193" s="93"/>
      <c r="CB193" s="93"/>
      <c r="CC193" s="93"/>
      <c r="CD193" s="93"/>
      <c r="CE193" s="93"/>
      <c r="CF193" s="93"/>
      <c r="CG193" s="93"/>
      <c r="CH193" s="93"/>
      <c r="CI193" s="93"/>
      <c r="CJ193" s="93"/>
      <c r="CK193" s="93"/>
      <c r="CL193" s="93"/>
      <c r="CM193" s="93"/>
      <c r="CN193" s="93"/>
      <c r="CO193" s="93"/>
      <c r="CP193" s="93"/>
      <c r="CQ193" s="93"/>
      <c r="CR193" s="93"/>
      <c r="CS193" s="93">
        <v>0.33197278911564626</v>
      </c>
      <c r="CT193" s="93"/>
      <c r="CU193" s="93"/>
      <c r="CV193" s="93"/>
      <c r="CW193" s="93"/>
      <c r="CX193" s="93"/>
      <c r="CY193" s="93"/>
      <c r="CZ193" s="93"/>
      <c r="DA193" s="93"/>
      <c r="DB193" s="93"/>
      <c r="DC193" s="93"/>
      <c r="DD193" s="93"/>
      <c r="DE193" s="93"/>
      <c r="DF193" s="93"/>
      <c r="DG193" s="93"/>
      <c r="DH193" s="93"/>
      <c r="DI193" s="93"/>
      <c r="DJ193" s="93"/>
      <c r="DK193" s="93"/>
      <c r="DL193" s="93"/>
      <c r="DM193" s="93"/>
      <c r="DN193" s="93"/>
      <c r="DO193" s="93"/>
      <c r="DP193" s="93"/>
      <c r="DQ193" s="93"/>
      <c r="DR193" s="93"/>
      <c r="DS193" s="93"/>
      <c r="DT193" s="93"/>
      <c r="DU193" s="93"/>
      <c r="DV193" s="93"/>
      <c r="DW193" s="93"/>
      <c r="DX193" s="93"/>
      <c r="DY193" s="93"/>
      <c r="DZ193" s="93"/>
      <c r="EA193" s="93"/>
      <c r="EB193" s="93"/>
      <c r="EC193" s="93"/>
      <c r="ED193" s="93"/>
      <c r="EE193" s="93"/>
      <c r="EF193" s="93"/>
      <c r="EG193" s="93"/>
      <c r="EH193" s="93"/>
      <c r="EI193" s="93"/>
      <c r="EJ193" s="93"/>
      <c r="EK193" s="93"/>
      <c r="EL193" s="93"/>
      <c r="EM193" s="93"/>
      <c r="EN193" s="93"/>
      <c r="EO193" s="93"/>
      <c r="EP193" s="93"/>
      <c r="EQ193" s="93"/>
      <c r="ER193" s="93"/>
      <c r="ES193" s="93"/>
      <c r="ET193" s="93"/>
      <c r="EU193" s="93"/>
      <c r="EV193" s="93"/>
      <c r="EW193" s="93"/>
      <c r="EX193" s="93"/>
      <c r="EY193" s="93"/>
      <c r="EZ193" s="93"/>
      <c r="FA193" s="93"/>
      <c r="FB193" s="93"/>
      <c r="FC193" s="93"/>
      <c r="FD193" s="93"/>
      <c r="FE193" s="93"/>
      <c r="FF193" s="93"/>
      <c r="FG193" s="93"/>
      <c r="FH193" s="93"/>
      <c r="FI193" s="93"/>
      <c r="FJ193" s="93"/>
      <c r="FK193" s="93"/>
      <c r="FL193" s="93"/>
      <c r="FM193" s="93"/>
      <c r="FN193" s="93"/>
      <c r="FO193" s="93"/>
      <c r="FP193" s="93"/>
      <c r="FQ193" s="93"/>
      <c r="FR193" s="93"/>
      <c r="FS193" s="93"/>
      <c r="FT193" s="93"/>
      <c r="FU193" s="93"/>
      <c r="FV193" s="93"/>
      <c r="FW193" s="93"/>
      <c r="FX193" s="93"/>
      <c r="FY193" s="93"/>
      <c r="FZ193" s="93"/>
      <c r="GA193" s="93"/>
      <c r="GB193" s="93"/>
      <c r="GC193" s="93"/>
      <c r="GD193" s="93"/>
      <c r="GE193" s="93"/>
      <c r="GF193" s="93"/>
      <c r="GG193" s="93"/>
      <c r="GH193" s="93"/>
      <c r="GI193" s="93"/>
      <c r="GJ193" s="93"/>
      <c r="GK193" s="93"/>
      <c r="GL193" s="93"/>
      <c r="GM193" s="93"/>
      <c r="GN193" s="93"/>
      <c r="GO193" s="93"/>
      <c r="GP193" s="93"/>
      <c r="GQ193" s="93"/>
      <c r="GR193" s="93"/>
      <c r="GS193" s="93"/>
      <c r="GT193" s="93"/>
      <c r="GU193" s="93"/>
      <c r="GV193" s="93"/>
      <c r="GW193" s="93"/>
      <c r="GX193" s="93"/>
      <c r="GY193" s="93"/>
      <c r="GZ193" s="93"/>
      <c r="HA193" s="93"/>
      <c r="HB193" s="93"/>
      <c r="HC193" s="93"/>
      <c r="HD193" s="93"/>
      <c r="HE193" s="93"/>
      <c r="HF193" s="93"/>
      <c r="HG193" s="93"/>
    </row>
    <row r="194" spans="14:215" x14ac:dyDescent="0.2">
      <c r="N194" s="93" t="s">
        <v>311</v>
      </c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3"/>
      <c r="AW194" s="93"/>
      <c r="AX194" s="93"/>
      <c r="AY194" s="93"/>
      <c r="AZ194" s="93"/>
      <c r="BA194" s="93"/>
      <c r="BB194" s="93"/>
      <c r="BC194" s="93"/>
      <c r="BD194" s="93"/>
      <c r="BE194" s="93"/>
      <c r="BF194" s="93"/>
      <c r="BG194" s="93"/>
      <c r="BH194" s="93"/>
      <c r="BI194" s="93"/>
      <c r="BJ194" s="93"/>
      <c r="BK194" s="93"/>
      <c r="BL194" s="93"/>
      <c r="BM194" s="93"/>
      <c r="BN194" s="93"/>
      <c r="BO194" s="93"/>
      <c r="BP194" s="93"/>
      <c r="BQ194" s="93"/>
      <c r="BR194" s="93"/>
      <c r="BS194" s="93"/>
      <c r="BT194" s="93"/>
      <c r="BU194" s="93"/>
      <c r="BV194" s="93"/>
      <c r="BW194" s="93"/>
      <c r="BX194" s="93"/>
      <c r="BY194" s="93"/>
      <c r="BZ194" s="93"/>
      <c r="CA194" s="93"/>
      <c r="CB194" s="93"/>
      <c r="CC194" s="93"/>
      <c r="CD194" s="93"/>
      <c r="CE194" s="93"/>
      <c r="CF194" s="93"/>
      <c r="CG194" s="93"/>
      <c r="CH194" s="93"/>
      <c r="CI194" s="93"/>
      <c r="CJ194" s="93"/>
      <c r="CK194" s="93"/>
      <c r="CL194" s="93"/>
      <c r="CM194" s="93"/>
      <c r="CN194" s="93"/>
      <c r="CO194" s="93"/>
      <c r="CP194" s="93"/>
      <c r="CQ194" s="93"/>
      <c r="CR194" s="93"/>
      <c r="CS194" s="93"/>
      <c r="CT194" s="93">
        <v>0.33198924731182794</v>
      </c>
      <c r="CU194" s="93"/>
      <c r="CV194" s="93"/>
      <c r="CW194" s="93"/>
      <c r="CX194" s="93"/>
      <c r="CY194" s="93"/>
      <c r="CZ194" s="93"/>
      <c r="DA194" s="93"/>
      <c r="DB194" s="93"/>
      <c r="DC194" s="93"/>
      <c r="DD194" s="93"/>
      <c r="DE194" s="93"/>
      <c r="DF194" s="93"/>
      <c r="DG194" s="93"/>
      <c r="DH194" s="93"/>
      <c r="DI194" s="93"/>
      <c r="DJ194" s="93"/>
      <c r="DK194" s="93"/>
      <c r="DL194" s="93"/>
      <c r="DM194" s="93"/>
      <c r="DN194" s="93"/>
      <c r="DO194" s="93"/>
      <c r="DP194" s="93"/>
      <c r="DQ194" s="93"/>
      <c r="DR194" s="93"/>
      <c r="DS194" s="93"/>
      <c r="DT194" s="93"/>
      <c r="DU194" s="93"/>
      <c r="DV194" s="93"/>
      <c r="DW194" s="93"/>
      <c r="DX194" s="93"/>
      <c r="DY194" s="93"/>
      <c r="DZ194" s="93"/>
      <c r="EA194" s="93"/>
      <c r="EB194" s="93"/>
      <c r="EC194" s="93"/>
      <c r="ED194" s="93"/>
      <c r="EE194" s="93"/>
      <c r="EF194" s="93"/>
      <c r="EG194" s="93"/>
      <c r="EH194" s="93"/>
      <c r="EI194" s="93"/>
      <c r="EJ194" s="93"/>
      <c r="EK194" s="93"/>
      <c r="EL194" s="93"/>
      <c r="EM194" s="93"/>
      <c r="EN194" s="93"/>
      <c r="EO194" s="93"/>
      <c r="EP194" s="93"/>
      <c r="EQ194" s="93"/>
      <c r="ER194" s="93"/>
      <c r="ES194" s="93"/>
      <c r="ET194" s="93"/>
      <c r="EU194" s="93"/>
      <c r="EV194" s="93"/>
      <c r="EW194" s="93"/>
      <c r="EX194" s="93"/>
      <c r="EY194" s="93"/>
      <c r="EZ194" s="93"/>
      <c r="FA194" s="93"/>
      <c r="FB194" s="93"/>
      <c r="FC194" s="93"/>
      <c r="FD194" s="93"/>
      <c r="FE194" s="93"/>
      <c r="FF194" s="93"/>
      <c r="FG194" s="93"/>
      <c r="FH194" s="93"/>
      <c r="FI194" s="93"/>
      <c r="FJ194" s="93"/>
      <c r="FK194" s="93"/>
      <c r="FL194" s="93"/>
      <c r="FM194" s="93"/>
      <c r="FN194" s="93"/>
      <c r="FO194" s="93"/>
      <c r="FP194" s="93"/>
      <c r="FQ194" s="93"/>
      <c r="FR194" s="93"/>
      <c r="FS194" s="93"/>
      <c r="FT194" s="93"/>
      <c r="FU194" s="93"/>
      <c r="FV194" s="93"/>
      <c r="FW194" s="93"/>
      <c r="FX194" s="93"/>
      <c r="FY194" s="93"/>
      <c r="FZ194" s="93"/>
      <c r="GA194" s="93"/>
      <c r="GB194" s="93"/>
      <c r="GC194" s="93"/>
      <c r="GD194" s="93"/>
      <c r="GE194" s="93"/>
      <c r="GF194" s="93"/>
      <c r="GG194" s="93"/>
      <c r="GH194" s="93"/>
      <c r="GI194" s="93"/>
      <c r="GJ194" s="93"/>
      <c r="GK194" s="93"/>
      <c r="GL194" s="93"/>
      <c r="GM194" s="93"/>
      <c r="GN194" s="93"/>
      <c r="GO194" s="93"/>
      <c r="GP194" s="93"/>
      <c r="GQ194" s="93"/>
      <c r="GR194" s="93"/>
      <c r="GS194" s="93"/>
      <c r="GT194" s="93"/>
      <c r="GU194" s="93"/>
      <c r="GV194" s="93"/>
      <c r="GW194" s="93"/>
      <c r="GX194" s="93"/>
      <c r="GY194" s="93"/>
      <c r="GZ194" s="93"/>
      <c r="HA194" s="93"/>
      <c r="HB194" s="93"/>
      <c r="HC194" s="93"/>
      <c r="HD194" s="93"/>
      <c r="HE194" s="93"/>
      <c r="HF194" s="93"/>
      <c r="HG194" s="93"/>
    </row>
    <row r="195" spans="14:215" x14ac:dyDescent="0.2">
      <c r="N195" s="93" t="s">
        <v>312</v>
      </c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  <c r="BI195" s="93"/>
      <c r="BJ195" s="93"/>
      <c r="BK195" s="93"/>
      <c r="BL195" s="93"/>
      <c r="BM195" s="93"/>
      <c r="BN195" s="93"/>
      <c r="BO195" s="93"/>
      <c r="BP195" s="93"/>
      <c r="BQ195" s="93"/>
      <c r="BR195" s="93"/>
      <c r="BS195" s="93"/>
      <c r="BT195" s="93"/>
      <c r="BU195" s="93"/>
      <c r="BV195" s="93"/>
      <c r="BW195" s="93"/>
      <c r="BX195" s="93"/>
      <c r="BY195" s="93"/>
      <c r="BZ195" s="93"/>
      <c r="CA195" s="93"/>
      <c r="CB195" s="93"/>
      <c r="CC195" s="93"/>
      <c r="CD195" s="93"/>
      <c r="CE195" s="93"/>
      <c r="CF195" s="93"/>
      <c r="CG195" s="93"/>
      <c r="CH195" s="93"/>
      <c r="CI195" s="93"/>
      <c r="CJ195" s="93"/>
      <c r="CK195" s="93"/>
      <c r="CL195" s="93"/>
      <c r="CM195" s="93"/>
      <c r="CN195" s="93"/>
      <c r="CO195" s="93"/>
      <c r="CP195" s="93"/>
      <c r="CQ195" s="93"/>
      <c r="CR195" s="93"/>
      <c r="CS195" s="93"/>
      <c r="CT195" s="93"/>
      <c r="CU195" s="93">
        <v>0.33200531208499334</v>
      </c>
      <c r="CV195" s="93"/>
      <c r="CW195" s="93"/>
      <c r="CX195" s="93"/>
      <c r="CY195" s="93"/>
      <c r="CZ195" s="93"/>
      <c r="DA195" s="93"/>
      <c r="DB195" s="93"/>
      <c r="DC195" s="93"/>
      <c r="DD195" s="93"/>
      <c r="DE195" s="93"/>
      <c r="DF195" s="93"/>
      <c r="DG195" s="93"/>
      <c r="DH195" s="93"/>
      <c r="DI195" s="93"/>
      <c r="DJ195" s="93"/>
      <c r="DK195" s="93"/>
      <c r="DL195" s="93"/>
      <c r="DM195" s="93"/>
      <c r="DN195" s="93"/>
      <c r="DO195" s="93"/>
      <c r="DP195" s="93"/>
      <c r="DQ195" s="93"/>
      <c r="DR195" s="93"/>
      <c r="DS195" s="93"/>
      <c r="DT195" s="93"/>
      <c r="DU195" s="93"/>
      <c r="DV195" s="93"/>
      <c r="DW195" s="93"/>
      <c r="DX195" s="93"/>
      <c r="DY195" s="93"/>
      <c r="DZ195" s="93"/>
      <c r="EA195" s="93"/>
      <c r="EB195" s="93"/>
      <c r="EC195" s="93"/>
      <c r="ED195" s="93"/>
      <c r="EE195" s="93"/>
      <c r="EF195" s="93"/>
      <c r="EG195" s="93"/>
      <c r="EH195" s="93"/>
      <c r="EI195" s="93"/>
      <c r="EJ195" s="93"/>
      <c r="EK195" s="93"/>
      <c r="EL195" s="93"/>
      <c r="EM195" s="93"/>
      <c r="EN195" s="93"/>
      <c r="EO195" s="93"/>
      <c r="EP195" s="93"/>
      <c r="EQ195" s="93"/>
      <c r="ER195" s="93"/>
      <c r="ES195" s="93"/>
      <c r="ET195" s="93"/>
      <c r="EU195" s="93"/>
      <c r="EV195" s="93"/>
      <c r="EW195" s="93"/>
      <c r="EX195" s="93"/>
      <c r="EY195" s="93"/>
      <c r="EZ195" s="93"/>
      <c r="FA195" s="93"/>
      <c r="FB195" s="93"/>
      <c r="FC195" s="93"/>
      <c r="FD195" s="93"/>
      <c r="FE195" s="93"/>
      <c r="FF195" s="93"/>
      <c r="FG195" s="93"/>
      <c r="FH195" s="93"/>
      <c r="FI195" s="93"/>
      <c r="FJ195" s="93"/>
      <c r="FK195" s="93"/>
      <c r="FL195" s="93"/>
      <c r="FM195" s="93"/>
      <c r="FN195" s="93"/>
      <c r="FO195" s="93"/>
      <c r="FP195" s="93"/>
      <c r="FQ195" s="93"/>
      <c r="FR195" s="93"/>
      <c r="FS195" s="93"/>
      <c r="FT195" s="93"/>
      <c r="FU195" s="93"/>
      <c r="FV195" s="93"/>
      <c r="FW195" s="93"/>
      <c r="FX195" s="93"/>
      <c r="FY195" s="93"/>
      <c r="FZ195" s="93"/>
      <c r="GA195" s="93"/>
      <c r="GB195" s="93"/>
      <c r="GC195" s="93"/>
      <c r="GD195" s="93"/>
      <c r="GE195" s="93"/>
      <c r="GF195" s="93"/>
      <c r="GG195" s="93"/>
      <c r="GH195" s="93"/>
      <c r="GI195" s="93"/>
      <c r="GJ195" s="93"/>
      <c r="GK195" s="93"/>
      <c r="GL195" s="93"/>
      <c r="GM195" s="93"/>
      <c r="GN195" s="93"/>
      <c r="GO195" s="93"/>
      <c r="GP195" s="93"/>
      <c r="GQ195" s="93"/>
      <c r="GR195" s="93"/>
      <c r="GS195" s="93"/>
      <c r="GT195" s="93"/>
      <c r="GU195" s="93"/>
      <c r="GV195" s="93"/>
      <c r="GW195" s="93"/>
      <c r="GX195" s="93"/>
      <c r="GY195" s="93"/>
      <c r="GZ195" s="93"/>
      <c r="HA195" s="93"/>
      <c r="HB195" s="93"/>
      <c r="HC195" s="93"/>
      <c r="HD195" s="93"/>
      <c r="HE195" s="93"/>
      <c r="HF195" s="93"/>
      <c r="HG195" s="93"/>
    </row>
    <row r="196" spans="14:215" x14ac:dyDescent="0.2">
      <c r="N196" s="93" t="s">
        <v>313</v>
      </c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3"/>
      <c r="AW196" s="93"/>
      <c r="AX196" s="93"/>
      <c r="AY196" s="93"/>
      <c r="AZ196" s="93"/>
      <c r="BA196" s="93"/>
      <c r="BB196" s="93"/>
      <c r="BC196" s="93"/>
      <c r="BD196" s="93"/>
      <c r="BE196" s="93"/>
      <c r="BF196" s="93"/>
      <c r="BG196" s="93"/>
      <c r="BH196" s="93"/>
      <c r="BI196" s="93"/>
      <c r="BJ196" s="93"/>
      <c r="BK196" s="93"/>
      <c r="BL196" s="93"/>
      <c r="BM196" s="93"/>
      <c r="BN196" s="93"/>
      <c r="BO196" s="93"/>
      <c r="BP196" s="93"/>
      <c r="BQ196" s="93"/>
      <c r="BR196" s="93"/>
      <c r="BS196" s="93"/>
      <c r="BT196" s="93"/>
      <c r="BU196" s="93"/>
      <c r="BV196" s="93"/>
      <c r="BW196" s="93"/>
      <c r="BX196" s="93"/>
      <c r="BY196" s="93"/>
      <c r="BZ196" s="93"/>
      <c r="CA196" s="93"/>
      <c r="CB196" s="93"/>
      <c r="CC196" s="93"/>
      <c r="CD196" s="93"/>
      <c r="CE196" s="93"/>
      <c r="CF196" s="93"/>
      <c r="CG196" s="93"/>
      <c r="CH196" s="93"/>
      <c r="CI196" s="93"/>
      <c r="CJ196" s="93"/>
      <c r="CK196" s="93"/>
      <c r="CL196" s="93"/>
      <c r="CM196" s="93"/>
      <c r="CN196" s="93"/>
      <c r="CO196" s="93"/>
      <c r="CP196" s="93"/>
      <c r="CQ196" s="93"/>
      <c r="CR196" s="93"/>
      <c r="CS196" s="93"/>
      <c r="CT196" s="93"/>
      <c r="CU196" s="93"/>
      <c r="CV196" s="93">
        <v>0.33202099737532809</v>
      </c>
      <c r="CW196" s="93"/>
      <c r="CX196" s="93"/>
      <c r="CY196" s="93"/>
      <c r="CZ196" s="93"/>
      <c r="DA196" s="93"/>
      <c r="DB196" s="93"/>
      <c r="DC196" s="93"/>
      <c r="DD196" s="93"/>
      <c r="DE196" s="93"/>
      <c r="DF196" s="93"/>
      <c r="DG196" s="93"/>
      <c r="DH196" s="93"/>
      <c r="DI196" s="93"/>
      <c r="DJ196" s="93"/>
      <c r="DK196" s="93"/>
      <c r="DL196" s="93"/>
      <c r="DM196" s="93"/>
      <c r="DN196" s="93"/>
      <c r="DO196" s="93"/>
      <c r="DP196" s="93"/>
      <c r="DQ196" s="93"/>
      <c r="DR196" s="93"/>
      <c r="DS196" s="93"/>
      <c r="DT196" s="93"/>
      <c r="DU196" s="93"/>
      <c r="DV196" s="93"/>
      <c r="DW196" s="93"/>
      <c r="DX196" s="93"/>
      <c r="DY196" s="93"/>
      <c r="DZ196" s="93"/>
      <c r="EA196" s="93"/>
      <c r="EB196" s="93"/>
      <c r="EC196" s="93"/>
      <c r="ED196" s="93"/>
      <c r="EE196" s="93"/>
      <c r="EF196" s="93"/>
      <c r="EG196" s="93"/>
      <c r="EH196" s="93"/>
      <c r="EI196" s="93"/>
      <c r="EJ196" s="93"/>
      <c r="EK196" s="93"/>
      <c r="EL196" s="93"/>
      <c r="EM196" s="93"/>
      <c r="EN196" s="93"/>
      <c r="EO196" s="93"/>
      <c r="EP196" s="93"/>
      <c r="EQ196" s="93"/>
      <c r="ER196" s="93"/>
      <c r="ES196" s="93"/>
      <c r="ET196" s="93"/>
      <c r="EU196" s="93"/>
      <c r="EV196" s="93"/>
      <c r="EW196" s="93"/>
      <c r="EX196" s="93"/>
      <c r="EY196" s="93"/>
      <c r="EZ196" s="93"/>
      <c r="FA196" s="93"/>
      <c r="FB196" s="93"/>
      <c r="FC196" s="93"/>
      <c r="FD196" s="93"/>
      <c r="FE196" s="93"/>
      <c r="FF196" s="93"/>
      <c r="FG196" s="93"/>
      <c r="FH196" s="93"/>
      <c r="FI196" s="93"/>
      <c r="FJ196" s="93"/>
      <c r="FK196" s="93"/>
      <c r="FL196" s="93"/>
      <c r="FM196" s="93"/>
      <c r="FN196" s="93"/>
      <c r="FO196" s="93"/>
      <c r="FP196" s="93"/>
      <c r="FQ196" s="93"/>
      <c r="FR196" s="93"/>
      <c r="FS196" s="93"/>
      <c r="FT196" s="93"/>
      <c r="FU196" s="93"/>
      <c r="FV196" s="93"/>
      <c r="FW196" s="93"/>
      <c r="FX196" s="93"/>
      <c r="FY196" s="93"/>
      <c r="FZ196" s="93"/>
      <c r="GA196" s="93"/>
      <c r="GB196" s="93"/>
      <c r="GC196" s="93"/>
      <c r="GD196" s="93"/>
      <c r="GE196" s="93"/>
      <c r="GF196" s="93"/>
      <c r="GG196" s="93"/>
      <c r="GH196" s="93"/>
      <c r="GI196" s="93"/>
      <c r="GJ196" s="93"/>
      <c r="GK196" s="93"/>
      <c r="GL196" s="93"/>
      <c r="GM196" s="93"/>
      <c r="GN196" s="93"/>
      <c r="GO196" s="93"/>
      <c r="GP196" s="93"/>
      <c r="GQ196" s="93"/>
      <c r="GR196" s="93"/>
      <c r="GS196" s="93"/>
      <c r="GT196" s="93"/>
      <c r="GU196" s="93"/>
      <c r="GV196" s="93"/>
      <c r="GW196" s="93"/>
      <c r="GX196" s="93"/>
      <c r="GY196" s="93"/>
      <c r="GZ196" s="93"/>
      <c r="HA196" s="93"/>
      <c r="HB196" s="93"/>
      <c r="HC196" s="93"/>
      <c r="HD196" s="93"/>
      <c r="HE196" s="93"/>
      <c r="HF196" s="93"/>
      <c r="HG196" s="93"/>
    </row>
    <row r="197" spans="14:215" x14ac:dyDescent="0.2">
      <c r="N197" s="93" t="s">
        <v>314</v>
      </c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  <c r="BI197" s="93"/>
      <c r="BJ197" s="93"/>
      <c r="BK197" s="93"/>
      <c r="BL197" s="93"/>
      <c r="BM197" s="93"/>
      <c r="BN197" s="93"/>
      <c r="BO197" s="93"/>
      <c r="BP197" s="93"/>
      <c r="BQ197" s="93"/>
      <c r="BR197" s="93"/>
      <c r="BS197" s="93"/>
      <c r="BT197" s="93"/>
      <c r="BU197" s="93"/>
      <c r="BV197" s="93"/>
      <c r="BW197" s="93"/>
      <c r="BX197" s="93"/>
      <c r="BY197" s="93"/>
      <c r="BZ197" s="93"/>
      <c r="CA197" s="93"/>
      <c r="CB197" s="93"/>
      <c r="CC197" s="93"/>
      <c r="CD197" s="93"/>
      <c r="CE197" s="93"/>
      <c r="CF197" s="93"/>
      <c r="CG197" s="93"/>
      <c r="CH197" s="93"/>
      <c r="CI197" s="93"/>
      <c r="CJ197" s="93"/>
      <c r="CK197" s="93"/>
      <c r="CL197" s="93"/>
      <c r="CM197" s="93"/>
      <c r="CN197" s="93"/>
      <c r="CO197" s="93"/>
      <c r="CP197" s="93"/>
      <c r="CQ197" s="93"/>
      <c r="CR197" s="93"/>
      <c r="CS197" s="93"/>
      <c r="CT197" s="93"/>
      <c r="CU197" s="93"/>
      <c r="CV197" s="93"/>
      <c r="CW197" s="93">
        <v>0.33203631647211412</v>
      </c>
      <c r="CX197" s="93"/>
      <c r="CY197" s="93"/>
      <c r="CZ197" s="93"/>
      <c r="DA197" s="93"/>
      <c r="DB197" s="93"/>
      <c r="DC197" s="93"/>
      <c r="DD197" s="93"/>
      <c r="DE197" s="93"/>
      <c r="DF197" s="93"/>
      <c r="DG197" s="93"/>
      <c r="DH197" s="93"/>
      <c r="DI197" s="93"/>
      <c r="DJ197" s="93"/>
      <c r="DK197" s="93"/>
      <c r="DL197" s="93"/>
      <c r="DM197" s="93"/>
      <c r="DN197" s="93"/>
      <c r="DO197" s="93"/>
      <c r="DP197" s="93"/>
      <c r="DQ197" s="93"/>
      <c r="DR197" s="93"/>
      <c r="DS197" s="93"/>
      <c r="DT197" s="93"/>
      <c r="DU197" s="93"/>
      <c r="DV197" s="93"/>
      <c r="DW197" s="93"/>
      <c r="DX197" s="93"/>
      <c r="DY197" s="93"/>
      <c r="DZ197" s="93"/>
      <c r="EA197" s="93"/>
      <c r="EB197" s="93"/>
      <c r="EC197" s="93"/>
      <c r="ED197" s="93"/>
      <c r="EE197" s="93"/>
      <c r="EF197" s="93"/>
      <c r="EG197" s="93"/>
      <c r="EH197" s="93"/>
      <c r="EI197" s="93"/>
      <c r="EJ197" s="93"/>
      <c r="EK197" s="93"/>
      <c r="EL197" s="93"/>
      <c r="EM197" s="93"/>
      <c r="EN197" s="93"/>
      <c r="EO197" s="93"/>
      <c r="EP197" s="93"/>
      <c r="EQ197" s="93"/>
      <c r="ER197" s="93"/>
      <c r="ES197" s="93"/>
      <c r="ET197" s="93"/>
      <c r="EU197" s="93"/>
      <c r="EV197" s="93"/>
      <c r="EW197" s="93"/>
      <c r="EX197" s="93"/>
      <c r="EY197" s="93"/>
      <c r="EZ197" s="93"/>
      <c r="FA197" s="93"/>
      <c r="FB197" s="93"/>
      <c r="FC197" s="93"/>
      <c r="FD197" s="93"/>
      <c r="FE197" s="93"/>
      <c r="FF197" s="93"/>
      <c r="FG197" s="93"/>
      <c r="FH197" s="93"/>
      <c r="FI197" s="93"/>
      <c r="FJ197" s="93"/>
      <c r="FK197" s="93"/>
      <c r="FL197" s="93"/>
      <c r="FM197" s="93"/>
      <c r="FN197" s="93"/>
      <c r="FO197" s="93"/>
      <c r="FP197" s="93"/>
      <c r="FQ197" s="93"/>
      <c r="FR197" s="93"/>
      <c r="FS197" s="93"/>
      <c r="FT197" s="93"/>
      <c r="FU197" s="93"/>
      <c r="FV197" s="93"/>
      <c r="FW197" s="93"/>
      <c r="FX197" s="93"/>
      <c r="FY197" s="93"/>
      <c r="FZ197" s="93"/>
      <c r="GA197" s="93"/>
      <c r="GB197" s="93"/>
      <c r="GC197" s="93"/>
      <c r="GD197" s="93"/>
      <c r="GE197" s="93"/>
      <c r="GF197" s="93"/>
      <c r="GG197" s="93"/>
      <c r="GH197" s="93"/>
      <c r="GI197" s="93"/>
      <c r="GJ197" s="93"/>
      <c r="GK197" s="93"/>
      <c r="GL197" s="93"/>
      <c r="GM197" s="93"/>
      <c r="GN197" s="93"/>
      <c r="GO197" s="93"/>
      <c r="GP197" s="93"/>
      <c r="GQ197" s="93"/>
      <c r="GR197" s="93"/>
      <c r="GS197" s="93"/>
      <c r="GT197" s="93"/>
      <c r="GU197" s="93"/>
      <c r="GV197" s="93"/>
      <c r="GW197" s="93"/>
      <c r="GX197" s="93"/>
      <c r="GY197" s="93"/>
      <c r="GZ197" s="93"/>
      <c r="HA197" s="93"/>
      <c r="HB197" s="93"/>
      <c r="HC197" s="93"/>
      <c r="HD197" s="93"/>
      <c r="HE197" s="93"/>
      <c r="HF197" s="93"/>
      <c r="HG197" s="93"/>
    </row>
    <row r="198" spans="14:215" x14ac:dyDescent="0.2">
      <c r="N198" s="93" t="s">
        <v>315</v>
      </c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3"/>
      <c r="AW198" s="93"/>
      <c r="AX198" s="93"/>
      <c r="AY198" s="93"/>
      <c r="AZ198" s="93"/>
      <c r="BA198" s="93"/>
      <c r="BB198" s="93"/>
      <c r="BC198" s="93"/>
      <c r="BD198" s="93"/>
      <c r="BE198" s="93"/>
      <c r="BF198" s="93"/>
      <c r="BG198" s="93"/>
      <c r="BH198" s="93"/>
      <c r="BI198" s="93"/>
      <c r="BJ198" s="93"/>
      <c r="BK198" s="93"/>
      <c r="BL198" s="93"/>
      <c r="BM198" s="93"/>
      <c r="BN198" s="93"/>
      <c r="BO198" s="93"/>
      <c r="BP198" s="93"/>
      <c r="BQ198" s="93"/>
      <c r="BR198" s="93"/>
      <c r="BS198" s="93"/>
      <c r="BT198" s="93"/>
      <c r="BU198" s="93"/>
      <c r="BV198" s="93"/>
      <c r="BW198" s="93"/>
      <c r="BX198" s="93"/>
      <c r="BY198" s="93"/>
      <c r="BZ198" s="93"/>
      <c r="CA198" s="93"/>
      <c r="CB198" s="93"/>
      <c r="CC198" s="93"/>
      <c r="CD198" s="93"/>
      <c r="CE198" s="93"/>
      <c r="CF198" s="93"/>
      <c r="CG198" s="93"/>
      <c r="CH198" s="93"/>
      <c r="CI198" s="93"/>
      <c r="CJ198" s="93"/>
      <c r="CK198" s="93"/>
      <c r="CL198" s="93"/>
      <c r="CM198" s="93"/>
      <c r="CN198" s="93"/>
      <c r="CO198" s="93"/>
      <c r="CP198" s="93"/>
      <c r="CQ198" s="93"/>
      <c r="CR198" s="93"/>
      <c r="CS198" s="93"/>
      <c r="CT198" s="93"/>
      <c r="CU198" s="93"/>
      <c r="CV198" s="93"/>
      <c r="CW198" s="93"/>
      <c r="CX198" s="93">
        <v>0.33205128205128204</v>
      </c>
      <c r="CY198" s="93"/>
      <c r="CZ198" s="93"/>
      <c r="DA198" s="93"/>
      <c r="DB198" s="93"/>
      <c r="DC198" s="93"/>
      <c r="DD198" s="93"/>
      <c r="DE198" s="93"/>
      <c r="DF198" s="93"/>
      <c r="DG198" s="93"/>
      <c r="DH198" s="93"/>
      <c r="DI198" s="93"/>
      <c r="DJ198" s="93"/>
      <c r="DK198" s="93"/>
      <c r="DL198" s="93"/>
      <c r="DM198" s="93"/>
      <c r="DN198" s="93"/>
      <c r="DO198" s="93"/>
      <c r="DP198" s="93"/>
      <c r="DQ198" s="93"/>
      <c r="DR198" s="93"/>
      <c r="DS198" s="93"/>
      <c r="DT198" s="93"/>
      <c r="DU198" s="93"/>
      <c r="DV198" s="93"/>
      <c r="DW198" s="93"/>
      <c r="DX198" s="93"/>
      <c r="DY198" s="93"/>
      <c r="DZ198" s="93"/>
      <c r="EA198" s="93"/>
      <c r="EB198" s="93"/>
      <c r="EC198" s="93"/>
      <c r="ED198" s="93"/>
      <c r="EE198" s="93"/>
      <c r="EF198" s="93"/>
      <c r="EG198" s="93"/>
      <c r="EH198" s="93"/>
      <c r="EI198" s="93"/>
      <c r="EJ198" s="93"/>
      <c r="EK198" s="93"/>
      <c r="EL198" s="93"/>
      <c r="EM198" s="93"/>
      <c r="EN198" s="93"/>
      <c r="EO198" s="93"/>
      <c r="EP198" s="93"/>
      <c r="EQ198" s="93"/>
      <c r="ER198" s="93"/>
      <c r="ES198" s="93"/>
      <c r="ET198" s="93"/>
      <c r="EU198" s="93"/>
      <c r="EV198" s="93"/>
      <c r="EW198" s="93"/>
      <c r="EX198" s="93"/>
      <c r="EY198" s="93"/>
      <c r="EZ198" s="93"/>
      <c r="FA198" s="93"/>
      <c r="FB198" s="93"/>
      <c r="FC198" s="93"/>
      <c r="FD198" s="93"/>
      <c r="FE198" s="93"/>
      <c r="FF198" s="93"/>
      <c r="FG198" s="93"/>
      <c r="FH198" s="93"/>
      <c r="FI198" s="93"/>
      <c r="FJ198" s="93"/>
      <c r="FK198" s="93"/>
      <c r="FL198" s="93"/>
      <c r="FM198" s="93"/>
      <c r="FN198" s="93"/>
      <c r="FO198" s="93"/>
      <c r="FP198" s="93"/>
      <c r="FQ198" s="93"/>
      <c r="FR198" s="93"/>
      <c r="FS198" s="93"/>
      <c r="FT198" s="93"/>
      <c r="FU198" s="93"/>
      <c r="FV198" s="93"/>
      <c r="FW198" s="93"/>
      <c r="FX198" s="93"/>
      <c r="FY198" s="93"/>
      <c r="FZ198" s="93"/>
      <c r="GA198" s="93"/>
      <c r="GB198" s="93"/>
      <c r="GC198" s="93"/>
      <c r="GD198" s="93"/>
      <c r="GE198" s="93"/>
      <c r="GF198" s="93"/>
      <c r="GG198" s="93"/>
      <c r="GH198" s="93"/>
      <c r="GI198" s="93"/>
      <c r="GJ198" s="93"/>
      <c r="GK198" s="93"/>
      <c r="GL198" s="93"/>
      <c r="GM198" s="93"/>
      <c r="GN198" s="93"/>
      <c r="GO198" s="93"/>
      <c r="GP198" s="93"/>
      <c r="GQ198" s="93"/>
      <c r="GR198" s="93"/>
      <c r="GS198" s="93"/>
      <c r="GT198" s="93"/>
      <c r="GU198" s="93"/>
      <c r="GV198" s="93"/>
      <c r="GW198" s="93"/>
      <c r="GX198" s="93"/>
      <c r="GY198" s="93"/>
      <c r="GZ198" s="93"/>
      <c r="HA198" s="93"/>
      <c r="HB198" s="93"/>
      <c r="HC198" s="93"/>
      <c r="HD198" s="93"/>
      <c r="HE198" s="93"/>
      <c r="HF198" s="93"/>
      <c r="HG198" s="93"/>
    </row>
    <row r="199" spans="14:215" x14ac:dyDescent="0.2">
      <c r="N199" s="93" t="s">
        <v>316</v>
      </c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  <c r="BI199" s="93"/>
      <c r="BJ199" s="93"/>
      <c r="BK199" s="93"/>
      <c r="BL199" s="93"/>
      <c r="BM199" s="93"/>
      <c r="BN199" s="93"/>
      <c r="BO199" s="93"/>
      <c r="BP199" s="93"/>
      <c r="BQ199" s="93"/>
      <c r="BR199" s="93"/>
      <c r="BS199" s="93"/>
      <c r="BT199" s="93"/>
      <c r="BU199" s="93"/>
      <c r="BV199" s="93"/>
      <c r="BW199" s="93"/>
      <c r="BX199" s="93"/>
      <c r="BY199" s="93"/>
      <c r="BZ199" s="93"/>
      <c r="CA199" s="93"/>
      <c r="CB199" s="93"/>
      <c r="CC199" s="93"/>
      <c r="CD199" s="93"/>
      <c r="CE199" s="93"/>
      <c r="CF199" s="93"/>
      <c r="CG199" s="93"/>
      <c r="CH199" s="93"/>
      <c r="CI199" s="93"/>
      <c r="CJ199" s="93"/>
      <c r="CK199" s="93"/>
      <c r="CL199" s="93"/>
      <c r="CM199" s="93"/>
      <c r="CN199" s="93"/>
      <c r="CO199" s="93"/>
      <c r="CP199" s="93"/>
      <c r="CQ199" s="93"/>
      <c r="CR199" s="93"/>
      <c r="CS199" s="93"/>
      <c r="CT199" s="93"/>
      <c r="CU199" s="93"/>
      <c r="CV199" s="93"/>
      <c r="CW199" s="93"/>
      <c r="CX199" s="93"/>
      <c r="CY199" s="93">
        <v>0.33206590621039289</v>
      </c>
      <c r="CZ199" s="93"/>
      <c r="DA199" s="93"/>
      <c r="DB199" s="93"/>
      <c r="DC199" s="93"/>
      <c r="DD199" s="93"/>
      <c r="DE199" s="93"/>
      <c r="DF199" s="93"/>
      <c r="DG199" s="93"/>
      <c r="DH199" s="93"/>
      <c r="DI199" s="93"/>
      <c r="DJ199" s="93"/>
      <c r="DK199" s="93"/>
      <c r="DL199" s="93"/>
      <c r="DM199" s="93"/>
      <c r="DN199" s="93"/>
      <c r="DO199" s="93"/>
      <c r="DP199" s="93"/>
      <c r="DQ199" s="93"/>
      <c r="DR199" s="93"/>
      <c r="DS199" s="93"/>
      <c r="DT199" s="93"/>
      <c r="DU199" s="93"/>
      <c r="DV199" s="93"/>
      <c r="DW199" s="93"/>
      <c r="DX199" s="93"/>
      <c r="DY199" s="93"/>
      <c r="DZ199" s="93"/>
      <c r="EA199" s="93"/>
      <c r="EB199" s="93"/>
      <c r="EC199" s="93"/>
      <c r="ED199" s="93"/>
      <c r="EE199" s="93"/>
      <c r="EF199" s="93"/>
      <c r="EG199" s="93"/>
      <c r="EH199" s="93"/>
      <c r="EI199" s="93"/>
      <c r="EJ199" s="93"/>
      <c r="EK199" s="93"/>
      <c r="EL199" s="93"/>
      <c r="EM199" s="93"/>
      <c r="EN199" s="93"/>
      <c r="EO199" s="93"/>
      <c r="EP199" s="93"/>
      <c r="EQ199" s="93"/>
      <c r="ER199" s="93"/>
      <c r="ES199" s="93"/>
      <c r="ET199" s="93"/>
      <c r="EU199" s="93"/>
      <c r="EV199" s="93"/>
      <c r="EW199" s="93"/>
      <c r="EX199" s="93"/>
      <c r="EY199" s="93"/>
      <c r="EZ199" s="93"/>
      <c r="FA199" s="93"/>
      <c r="FB199" s="93"/>
      <c r="FC199" s="93"/>
      <c r="FD199" s="93"/>
      <c r="FE199" s="93"/>
      <c r="FF199" s="93"/>
      <c r="FG199" s="93"/>
      <c r="FH199" s="93"/>
      <c r="FI199" s="93"/>
      <c r="FJ199" s="93"/>
      <c r="FK199" s="93"/>
      <c r="FL199" s="93"/>
      <c r="FM199" s="93"/>
      <c r="FN199" s="93"/>
      <c r="FO199" s="93"/>
      <c r="FP199" s="93"/>
      <c r="FQ199" s="93"/>
      <c r="FR199" s="93"/>
      <c r="FS199" s="93"/>
      <c r="FT199" s="93"/>
      <c r="FU199" s="93"/>
      <c r="FV199" s="93"/>
      <c r="FW199" s="93"/>
      <c r="FX199" s="93"/>
      <c r="FY199" s="93"/>
      <c r="FZ199" s="93"/>
      <c r="GA199" s="93"/>
      <c r="GB199" s="93"/>
      <c r="GC199" s="93"/>
      <c r="GD199" s="93"/>
      <c r="GE199" s="93"/>
      <c r="GF199" s="93"/>
      <c r="GG199" s="93"/>
      <c r="GH199" s="93"/>
      <c r="GI199" s="93"/>
      <c r="GJ199" s="93"/>
      <c r="GK199" s="93"/>
      <c r="GL199" s="93"/>
      <c r="GM199" s="93"/>
      <c r="GN199" s="93"/>
      <c r="GO199" s="93"/>
      <c r="GP199" s="93"/>
      <c r="GQ199" s="93"/>
      <c r="GR199" s="93"/>
      <c r="GS199" s="93"/>
      <c r="GT199" s="93"/>
      <c r="GU199" s="93"/>
      <c r="GV199" s="93"/>
      <c r="GW199" s="93"/>
      <c r="GX199" s="93"/>
      <c r="GY199" s="93"/>
      <c r="GZ199" s="93"/>
      <c r="HA199" s="93"/>
      <c r="HB199" s="93"/>
      <c r="HC199" s="93"/>
      <c r="HD199" s="93"/>
      <c r="HE199" s="93"/>
      <c r="HF199" s="93"/>
      <c r="HG199" s="93"/>
    </row>
    <row r="200" spans="14:215" x14ac:dyDescent="0.2">
      <c r="N200" s="93" t="s">
        <v>317</v>
      </c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3"/>
      <c r="AW200" s="93"/>
      <c r="AX200" s="93"/>
      <c r="AY200" s="93"/>
      <c r="AZ200" s="93"/>
      <c r="BA200" s="93"/>
      <c r="BB200" s="93"/>
      <c r="BC200" s="93"/>
      <c r="BD200" s="93"/>
      <c r="BE200" s="93"/>
      <c r="BF200" s="93"/>
      <c r="BG200" s="93"/>
      <c r="BH200" s="93"/>
      <c r="BI200" s="93"/>
      <c r="BJ200" s="93"/>
      <c r="BK200" s="93"/>
      <c r="BL200" s="93"/>
      <c r="BM200" s="93"/>
      <c r="BN200" s="93"/>
      <c r="BO200" s="93"/>
      <c r="BP200" s="93"/>
      <c r="BQ200" s="93"/>
      <c r="BR200" s="93"/>
      <c r="BS200" s="93"/>
      <c r="BT200" s="93"/>
      <c r="BU200" s="93"/>
      <c r="BV200" s="93"/>
      <c r="BW200" s="93"/>
      <c r="BX200" s="93"/>
      <c r="BY200" s="93"/>
      <c r="BZ200" s="93"/>
      <c r="CA200" s="93"/>
      <c r="CB200" s="93"/>
      <c r="CC200" s="93"/>
      <c r="CD200" s="93"/>
      <c r="CE200" s="93"/>
      <c r="CF200" s="93"/>
      <c r="CG200" s="93"/>
      <c r="CH200" s="93"/>
      <c r="CI200" s="93"/>
      <c r="CJ200" s="93"/>
      <c r="CK200" s="93"/>
      <c r="CL200" s="93"/>
      <c r="CM200" s="93"/>
      <c r="CN200" s="93"/>
      <c r="CO200" s="93"/>
      <c r="CP200" s="93"/>
      <c r="CQ200" s="93"/>
      <c r="CR200" s="93"/>
      <c r="CS200" s="93"/>
      <c r="CT200" s="93"/>
      <c r="CU200" s="93"/>
      <c r="CV200" s="93"/>
      <c r="CW200" s="93"/>
      <c r="CX200" s="93"/>
      <c r="CY200" s="93"/>
      <c r="CZ200" s="93">
        <v>0.33208020050125314</v>
      </c>
      <c r="DA200" s="93"/>
      <c r="DB200" s="93"/>
      <c r="DC200" s="93"/>
      <c r="DD200" s="93"/>
      <c r="DE200" s="93"/>
      <c r="DF200" s="93"/>
      <c r="DG200" s="93"/>
      <c r="DH200" s="93"/>
      <c r="DI200" s="93"/>
      <c r="DJ200" s="93"/>
      <c r="DK200" s="93"/>
      <c r="DL200" s="93"/>
      <c r="DM200" s="93"/>
      <c r="DN200" s="93"/>
      <c r="DO200" s="93"/>
      <c r="DP200" s="93"/>
      <c r="DQ200" s="93"/>
      <c r="DR200" s="93"/>
      <c r="DS200" s="93"/>
      <c r="DT200" s="93"/>
      <c r="DU200" s="93"/>
      <c r="DV200" s="93"/>
      <c r="DW200" s="93"/>
      <c r="DX200" s="93"/>
      <c r="DY200" s="93"/>
      <c r="DZ200" s="93"/>
      <c r="EA200" s="93"/>
      <c r="EB200" s="93"/>
      <c r="EC200" s="93"/>
      <c r="ED200" s="93"/>
      <c r="EE200" s="93"/>
      <c r="EF200" s="93"/>
      <c r="EG200" s="93"/>
      <c r="EH200" s="93"/>
      <c r="EI200" s="93"/>
      <c r="EJ200" s="93"/>
      <c r="EK200" s="93"/>
      <c r="EL200" s="93"/>
      <c r="EM200" s="93"/>
      <c r="EN200" s="93"/>
      <c r="EO200" s="93"/>
      <c r="EP200" s="93"/>
      <c r="EQ200" s="93"/>
      <c r="ER200" s="93"/>
      <c r="ES200" s="93"/>
      <c r="ET200" s="93"/>
      <c r="EU200" s="93"/>
      <c r="EV200" s="93"/>
      <c r="EW200" s="93"/>
      <c r="EX200" s="93"/>
      <c r="EY200" s="93"/>
      <c r="EZ200" s="93"/>
      <c r="FA200" s="93"/>
      <c r="FB200" s="93"/>
      <c r="FC200" s="93"/>
      <c r="FD200" s="93"/>
      <c r="FE200" s="93"/>
      <c r="FF200" s="93"/>
      <c r="FG200" s="93"/>
      <c r="FH200" s="93"/>
      <c r="FI200" s="93"/>
      <c r="FJ200" s="93"/>
      <c r="FK200" s="93"/>
      <c r="FL200" s="93"/>
      <c r="FM200" s="93"/>
      <c r="FN200" s="93"/>
      <c r="FO200" s="93"/>
      <c r="FP200" s="93"/>
      <c r="FQ200" s="93"/>
      <c r="FR200" s="93"/>
      <c r="FS200" s="93"/>
      <c r="FT200" s="93"/>
      <c r="FU200" s="93"/>
      <c r="FV200" s="93"/>
      <c r="FW200" s="93"/>
      <c r="FX200" s="93"/>
      <c r="FY200" s="93"/>
      <c r="FZ200" s="93"/>
      <c r="GA200" s="93"/>
      <c r="GB200" s="93"/>
      <c r="GC200" s="93"/>
      <c r="GD200" s="93"/>
      <c r="GE200" s="93"/>
      <c r="GF200" s="93"/>
      <c r="GG200" s="93"/>
      <c r="GH200" s="93"/>
      <c r="GI200" s="93"/>
      <c r="GJ200" s="93"/>
      <c r="GK200" s="93"/>
      <c r="GL200" s="93"/>
      <c r="GM200" s="93"/>
      <c r="GN200" s="93"/>
      <c r="GO200" s="93"/>
      <c r="GP200" s="93"/>
      <c r="GQ200" s="93"/>
      <c r="GR200" s="93"/>
      <c r="GS200" s="93"/>
      <c r="GT200" s="93"/>
      <c r="GU200" s="93"/>
      <c r="GV200" s="93"/>
      <c r="GW200" s="93"/>
      <c r="GX200" s="93"/>
      <c r="GY200" s="93"/>
      <c r="GZ200" s="93"/>
      <c r="HA200" s="93"/>
      <c r="HB200" s="93"/>
      <c r="HC200" s="93"/>
      <c r="HD200" s="93"/>
      <c r="HE200" s="93"/>
      <c r="HF200" s="93"/>
      <c r="HG200" s="93"/>
    </row>
    <row r="201" spans="14:215" x14ac:dyDescent="0.2">
      <c r="N201" s="93" t="s">
        <v>318</v>
      </c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  <c r="BI201" s="93"/>
      <c r="BJ201" s="93"/>
      <c r="BK201" s="93"/>
      <c r="BL201" s="93"/>
      <c r="BM201" s="93"/>
      <c r="BN201" s="93"/>
      <c r="BO201" s="93"/>
      <c r="BP201" s="93"/>
      <c r="BQ201" s="93"/>
      <c r="BR201" s="93"/>
      <c r="BS201" s="93"/>
      <c r="BT201" s="93"/>
      <c r="BU201" s="93"/>
      <c r="BV201" s="93"/>
      <c r="BW201" s="93"/>
      <c r="BX201" s="93"/>
      <c r="BY201" s="93"/>
      <c r="BZ201" s="93"/>
      <c r="CA201" s="93"/>
      <c r="CB201" s="93"/>
      <c r="CC201" s="93"/>
      <c r="CD201" s="93"/>
      <c r="CE201" s="93"/>
      <c r="CF201" s="93"/>
      <c r="CG201" s="93"/>
      <c r="CH201" s="93"/>
      <c r="CI201" s="93"/>
      <c r="CJ201" s="93"/>
      <c r="CK201" s="93"/>
      <c r="CL201" s="93"/>
      <c r="CM201" s="93"/>
      <c r="CN201" s="93"/>
      <c r="CO201" s="93"/>
      <c r="CP201" s="93"/>
      <c r="CQ201" s="93"/>
      <c r="CR201" s="93"/>
      <c r="CS201" s="93"/>
      <c r="CT201" s="93"/>
      <c r="CU201" s="93"/>
      <c r="CV201" s="93"/>
      <c r="CW201" s="93"/>
      <c r="CX201" s="93"/>
      <c r="CY201" s="93"/>
      <c r="CZ201" s="93"/>
      <c r="DA201" s="93">
        <v>0.33209417596034696</v>
      </c>
      <c r="DB201" s="93"/>
      <c r="DC201" s="93"/>
      <c r="DD201" s="93"/>
      <c r="DE201" s="93"/>
      <c r="DF201" s="93"/>
      <c r="DG201" s="93"/>
      <c r="DH201" s="93"/>
      <c r="DI201" s="93"/>
      <c r="DJ201" s="93"/>
      <c r="DK201" s="93"/>
      <c r="DL201" s="93"/>
      <c r="DM201" s="93"/>
      <c r="DN201" s="93"/>
      <c r="DO201" s="93"/>
      <c r="DP201" s="93"/>
      <c r="DQ201" s="93"/>
      <c r="DR201" s="93"/>
      <c r="DS201" s="93"/>
      <c r="DT201" s="93"/>
      <c r="DU201" s="93"/>
      <c r="DV201" s="93"/>
      <c r="DW201" s="93"/>
      <c r="DX201" s="93"/>
      <c r="DY201" s="93"/>
      <c r="DZ201" s="93"/>
      <c r="EA201" s="93"/>
      <c r="EB201" s="93"/>
      <c r="EC201" s="93"/>
      <c r="ED201" s="93"/>
      <c r="EE201" s="93"/>
      <c r="EF201" s="93"/>
      <c r="EG201" s="93"/>
      <c r="EH201" s="93"/>
      <c r="EI201" s="93"/>
      <c r="EJ201" s="93"/>
      <c r="EK201" s="93"/>
      <c r="EL201" s="93"/>
      <c r="EM201" s="93"/>
      <c r="EN201" s="93"/>
      <c r="EO201" s="93"/>
      <c r="EP201" s="93"/>
      <c r="EQ201" s="93"/>
      <c r="ER201" s="93"/>
      <c r="ES201" s="93"/>
      <c r="ET201" s="93"/>
      <c r="EU201" s="93"/>
      <c r="EV201" s="93"/>
      <c r="EW201" s="93"/>
      <c r="EX201" s="93"/>
      <c r="EY201" s="93"/>
      <c r="EZ201" s="93"/>
      <c r="FA201" s="93"/>
      <c r="FB201" s="93"/>
      <c r="FC201" s="93"/>
      <c r="FD201" s="93"/>
      <c r="FE201" s="93"/>
      <c r="FF201" s="93"/>
      <c r="FG201" s="93"/>
      <c r="FH201" s="93"/>
      <c r="FI201" s="93"/>
      <c r="FJ201" s="93"/>
      <c r="FK201" s="93"/>
      <c r="FL201" s="93"/>
      <c r="FM201" s="93"/>
      <c r="FN201" s="93"/>
      <c r="FO201" s="93"/>
      <c r="FP201" s="93"/>
      <c r="FQ201" s="93"/>
      <c r="FR201" s="93"/>
      <c r="FS201" s="93"/>
      <c r="FT201" s="93"/>
      <c r="FU201" s="93"/>
      <c r="FV201" s="93"/>
      <c r="FW201" s="93"/>
      <c r="FX201" s="93"/>
      <c r="FY201" s="93"/>
      <c r="FZ201" s="93"/>
      <c r="GA201" s="93"/>
      <c r="GB201" s="93"/>
      <c r="GC201" s="93"/>
      <c r="GD201" s="93"/>
      <c r="GE201" s="93"/>
      <c r="GF201" s="93"/>
      <c r="GG201" s="93"/>
      <c r="GH201" s="93"/>
      <c r="GI201" s="93"/>
      <c r="GJ201" s="93"/>
      <c r="GK201" s="93"/>
      <c r="GL201" s="93"/>
      <c r="GM201" s="93"/>
      <c r="GN201" s="93"/>
      <c r="GO201" s="93"/>
      <c r="GP201" s="93"/>
      <c r="GQ201" s="93"/>
      <c r="GR201" s="93"/>
      <c r="GS201" s="93"/>
      <c r="GT201" s="93"/>
      <c r="GU201" s="93"/>
      <c r="GV201" s="93"/>
      <c r="GW201" s="93"/>
      <c r="GX201" s="93"/>
      <c r="GY201" s="93"/>
      <c r="GZ201" s="93"/>
      <c r="HA201" s="93"/>
      <c r="HB201" s="93"/>
      <c r="HC201" s="93"/>
      <c r="HD201" s="93"/>
      <c r="HE201" s="93"/>
      <c r="HF201" s="93"/>
      <c r="HG201" s="93"/>
    </row>
    <row r="202" spans="14:215" x14ac:dyDescent="0.2">
      <c r="N202" s="93" t="s">
        <v>319</v>
      </c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3"/>
      <c r="AW202" s="93"/>
      <c r="AX202" s="93"/>
      <c r="AY202" s="93"/>
      <c r="AZ202" s="93"/>
      <c r="BA202" s="93"/>
      <c r="BB202" s="93"/>
      <c r="BC202" s="93"/>
      <c r="BD202" s="93"/>
      <c r="BE202" s="93"/>
      <c r="BF202" s="93"/>
      <c r="BG202" s="93"/>
      <c r="BH202" s="93"/>
      <c r="BI202" s="93"/>
      <c r="BJ202" s="93"/>
      <c r="BK202" s="93"/>
      <c r="BL202" s="93"/>
      <c r="BM202" s="93"/>
      <c r="BN202" s="93"/>
      <c r="BO202" s="93"/>
      <c r="BP202" s="93"/>
      <c r="BQ202" s="93"/>
      <c r="BR202" s="93"/>
      <c r="BS202" s="93"/>
      <c r="BT202" s="93"/>
      <c r="BU202" s="93"/>
      <c r="BV202" s="93"/>
      <c r="BW202" s="93"/>
      <c r="BX202" s="93"/>
      <c r="BY202" s="93"/>
      <c r="BZ202" s="93"/>
      <c r="CA202" s="93"/>
      <c r="CB202" s="93"/>
      <c r="CC202" s="93"/>
      <c r="CD202" s="93"/>
      <c r="CE202" s="93"/>
      <c r="CF202" s="93"/>
      <c r="CG202" s="93"/>
      <c r="CH202" s="93"/>
      <c r="CI202" s="93"/>
      <c r="CJ202" s="93"/>
      <c r="CK202" s="93"/>
      <c r="CL202" s="93"/>
      <c r="CM202" s="93"/>
      <c r="CN202" s="93"/>
      <c r="CO202" s="93"/>
      <c r="CP202" s="93"/>
      <c r="CQ202" s="93"/>
      <c r="CR202" s="93"/>
      <c r="CS202" s="93"/>
      <c r="CT202" s="93"/>
      <c r="CU202" s="93"/>
      <c r="CV202" s="93"/>
      <c r="CW202" s="93"/>
      <c r="CX202" s="93"/>
      <c r="CY202" s="93"/>
      <c r="CZ202" s="93"/>
      <c r="DA202" s="93"/>
      <c r="DB202" s="93">
        <v>0.33210784313725489</v>
      </c>
      <c r="DC202" s="93"/>
      <c r="DD202" s="93"/>
      <c r="DE202" s="93"/>
      <c r="DF202" s="93"/>
      <c r="DG202" s="93"/>
      <c r="DH202" s="93"/>
      <c r="DI202" s="93"/>
      <c r="DJ202" s="93"/>
      <c r="DK202" s="93"/>
      <c r="DL202" s="93"/>
      <c r="DM202" s="93"/>
      <c r="DN202" s="93"/>
      <c r="DO202" s="93"/>
      <c r="DP202" s="93"/>
      <c r="DQ202" s="93"/>
      <c r="DR202" s="93"/>
      <c r="DS202" s="93"/>
      <c r="DT202" s="93"/>
      <c r="DU202" s="93"/>
      <c r="DV202" s="93"/>
      <c r="DW202" s="93"/>
      <c r="DX202" s="93"/>
      <c r="DY202" s="93"/>
      <c r="DZ202" s="93"/>
      <c r="EA202" s="93"/>
      <c r="EB202" s="93"/>
      <c r="EC202" s="93"/>
      <c r="ED202" s="93"/>
      <c r="EE202" s="93"/>
      <c r="EF202" s="93"/>
      <c r="EG202" s="93"/>
      <c r="EH202" s="93"/>
      <c r="EI202" s="93"/>
      <c r="EJ202" s="93"/>
      <c r="EK202" s="93"/>
      <c r="EL202" s="93"/>
      <c r="EM202" s="93"/>
      <c r="EN202" s="93"/>
      <c r="EO202" s="93"/>
      <c r="EP202" s="93"/>
      <c r="EQ202" s="93"/>
      <c r="ER202" s="93"/>
      <c r="ES202" s="93"/>
      <c r="ET202" s="93"/>
      <c r="EU202" s="93"/>
      <c r="EV202" s="93"/>
      <c r="EW202" s="93"/>
      <c r="EX202" s="93"/>
      <c r="EY202" s="93"/>
      <c r="EZ202" s="93"/>
      <c r="FA202" s="93"/>
      <c r="FB202" s="93"/>
      <c r="FC202" s="93"/>
      <c r="FD202" s="93"/>
      <c r="FE202" s="93"/>
      <c r="FF202" s="93"/>
      <c r="FG202" s="93"/>
      <c r="FH202" s="93"/>
      <c r="FI202" s="93"/>
      <c r="FJ202" s="93"/>
      <c r="FK202" s="93"/>
      <c r="FL202" s="93"/>
      <c r="FM202" s="93"/>
      <c r="FN202" s="93"/>
      <c r="FO202" s="93"/>
      <c r="FP202" s="93"/>
      <c r="FQ202" s="93"/>
      <c r="FR202" s="93"/>
      <c r="FS202" s="93"/>
      <c r="FT202" s="93"/>
      <c r="FU202" s="93"/>
      <c r="FV202" s="93"/>
      <c r="FW202" s="93"/>
      <c r="FX202" s="93"/>
      <c r="FY202" s="93"/>
      <c r="FZ202" s="93"/>
      <c r="GA202" s="93"/>
      <c r="GB202" s="93"/>
      <c r="GC202" s="93"/>
      <c r="GD202" s="93"/>
      <c r="GE202" s="93"/>
      <c r="GF202" s="93"/>
      <c r="GG202" s="93"/>
      <c r="GH202" s="93"/>
      <c r="GI202" s="93"/>
      <c r="GJ202" s="93"/>
      <c r="GK202" s="93"/>
      <c r="GL202" s="93"/>
      <c r="GM202" s="93"/>
      <c r="GN202" s="93"/>
      <c r="GO202" s="93"/>
      <c r="GP202" s="93"/>
      <c r="GQ202" s="93"/>
      <c r="GR202" s="93"/>
      <c r="GS202" s="93"/>
      <c r="GT202" s="93"/>
      <c r="GU202" s="93"/>
      <c r="GV202" s="93"/>
      <c r="GW202" s="93"/>
      <c r="GX202" s="93"/>
      <c r="GY202" s="93"/>
      <c r="GZ202" s="93"/>
      <c r="HA202" s="93"/>
      <c r="HB202" s="93"/>
      <c r="HC202" s="93"/>
      <c r="HD202" s="93"/>
      <c r="HE202" s="93"/>
      <c r="HF202" s="93"/>
      <c r="HG202" s="93"/>
    </row>
    <row r="203" spans="14:215" x14ac:dyDescent="0.2">
      <c r="N203" s="93" t="s">
        <v>320</v>
      </c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  <c r="BI203" s="93"/>
      <c r="BJ203" s="93"/>
      <c r="BK203" s="93"/>
      <c r="BL203" s="93"/>
      <c r="BM203" s="93"/>
      <c r="BN203" s="93"/>
      <c r="BO203" s="93"/>
      <c r="BP203" s="93"/>
      <c r="BQ203" s="93"/>
      <c r="BR203" s="93"/>
      <c r="BS203" s="93"/>
      <c r="BT203" s="93"/>
      <c r="BU203" s="93"/>
      <c r="BV203" s="93"/>
      <c r="BW203" s="93"/>
      <c r="BX203" s="93"/>
      <c r="BY203" s="93"/>
      <c r="BZ203" s="93"/>
      <c r="CA203" s="93"/>
      <c r="CB203" s="93"/>
      <c r="CC203" s="93"/>
      <c r="CD203" s="93"/>
      <c r="CE203" s="93"/>
      <c r="CF203" s="93"/>
      <c r="CG203" s="93"/>
      <c r="CH203" s="93"/>
      <c r="CI203" s="93"/>
      <c r="CJ203" s="93"/>
      <c r="CK203" s="93"/>
      <c r="CL203" s="93"/>
      <c r="CM203" s="93"/>
      <c r="CN203" s="93"/>
      <c r="CO203" s="93"/>
      <c r="CP203" s="93"/>
      <c r="CQ203" s="93"/>
      <c r="CR203" s="93"/>
      <c r="CS203" s="93"/>
      <c r="CT203" s="93"/>
      <c r="CU203" s="93"/>
      <c r="CV203" s="93"/>
      <c r="CW203" s="93"/>
      <c r="CX203" s="93"/>
      <c r="CY203" s="93"/>
      <c r="CZ203" s="93"/>
      <c r="DA203" s="93"/>
      <c r="DB203" s="93"/>
      <c r="DC203" s="93">
        <v>0.33212121212121209</v>
      </c>
      <c r="DD203" s="93"/>
      <c r="DE203" s="93"/>
      <c r="DF203" s="93"/>
      <c r="DG203" s="93"/>
      <c r="DH203" s="93"/>
      <c r="DI203" s="93"/>
      <c r="DJ203" s="93"/>
      <c r="DK203" s="93"/>
      <c r="DL203" s="93"/>
      <c r="DM203" s="93"/>
      <c r="DN203" s="93"/>
      <c r="DO203" s="93"/>
      <c r="DP203" s="93"/>
      <c r="DQ203" s="93"/>
      <c r="DR203" s="93"/>
      <c r="DS203" s="93"/>
      <c r="DT203" s="93"/>
      <c r="DU203" s="93"/>
      <c r="DV203" s="93"/>
      <c r="DW203" s="93"/>
      <c r="DX203" s="93"/>
      <c r="DY203" s="93"/>
      <c r="DZ203" s="93"/>
      <c r="EA203" s="93"/>
      <c r="EB203" s="93"/>
      <c r="EC203" s="93"/>
      <c r="ED203" s="93"/>
      <c r="EE203" s="93"/>
      <c r="EF203" s="93"/>
      <c r="EG203" s="93"/>
      <c r="EH203" s="93"/>
      <c r="EI203" s="93"/>
      <c r="EJ203" s="93"/>
      <c r="EK203" s="93"/>
      <c r="EL203" s="93"/>
      <c r="EM203" s="93"/>
      <c r="EN203" s="93"/>
      <c r="EO203" s="93"/>
      <c r="EP203" s="93"/>
      <c r="EQ203" s="93"/>
      <c r="ER203" s="93"/>
      <c r="ES203" s="93"/>
      <c r="ET203" s="93"/>
      <c r="EU203" s="93"/>
      <c r="EV203" s="93"/>
      <c r="EW203" s="93"/>
      <c r="EX203" s="93"/>
      <c r="EY203" s="93"/>
      <c r="EZ203" s="93"/>
      <c r="FA203" s="93"/>
      <c r="FB203" s="93"/>
      <c r="FC203" s="93"/>
      <c r="FD203" s="93"/>
      <c r="FE203" s="93"/>
      <c r="FF203" s="93"/>
      <c r="FG203" s="93"/>
      <c r="FH203" s="93"/>
      <c r="FI203" s="93"/>
      <c r="FJ203" s="93"/>
      <c r="FK203" s="93"/>
      <c r="FL203" s="93"/>
      <c r="FM203" s="93"/>
      <c r="FN203" s="93"/>
      <c r="FO203" s="93"/>
      <c r="FP203" s="93"/>
      <c r="FQ203" s="93"/>
      <c r="FR203" s="93"/>
      <c r="FS203" s="93"/>
      <c r="FT203" s="93"/>
      <c r="FU203" s="93"/>
      <c r="FV203" s="93"/>
      <c r="FW203" s="93"/>
      <c r="FX203" s="93"/>
      <c r="FY203" s="93"/>
      <c r="FZ203" s="93"/>
      <c r="GA203" s="93"/>
      <c r="GB203" s="93"/>
      <c r="GC203" s="93"/>
      <c r="GD203" s="93"/>
      <c r="GE203" s="93"/>
      <c r="GF203" s="93"/>
      <c r="GG203" s="93"/>
      <c r="GH203" s="93"/>
      <c r="GI203" s="93"/>
      <c r="GJ203" s="93"/>
      <c r="GK203" s="93"/>
      <c r="GL203" s="93"/>
      <c r="GM203" s="93"/>
      <c r="GN203" s="93"/>
      <c r="GO203" s="93"/>
      <c r="GP203" s="93"/>
      <c r="GQ203" s="93"/>
      <c r="GR203" s="93"/>
      <c r="GS203" s="93"/>
      <c r="GT203" s="93"/>
      <c r="GU203" s="93"/>
      <c r="GV203" s="93"/>
      <c r="GW203" s="93"/>
      <c r="GX203" s="93"/>
      <c r="GY203" s="93"/>
      <c r="GZ203" s="93"/>
      <c r="HA203" s="93"/>
      <c r="HB203" s="93"/>
      <c r="HC203" s="93"/>
      <c r="HD203" s="93"/>
      <c r="HE203" s="93"/>
      <c r="HF203" s="93"/>
      <c r="HG203" s="93"/>
    </row>
    <row r="204" spans="14:215" x14ac:dyDescent="0.2">
      <c r="N204" s="93" t="s">
        <v>321</v>
      </c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3"/>
      <c r="BG204" s="93"/>
      <c r="BH204" s="93"/>
      <c r="BI204" s="93"/>
      <c r="BJ204" s="93"/>
      <c r="BK204" s="93"/>
      <c r="BL204" s="93"/>
      <c r="BM204" s="93"/>
      <c r="BN204" s="93"/>
      <c r="BO204" s="93"/>
      <c r="BP204" s="93"/>
      <c r="BQ204" s="93"/>
      <c r="BR204" s="93"/>
      <c r="BS204" s="93"/>
      <c r="BT204" s="93"/>
      <c r="BU204" s="93"/>
      <c r="BV204" s="93"/>
      <c r="BW204" s="93"/>
      <c r="BX204" s="93"/>
      <c r="BY204" s="93"/>
      <c r="BZ204" s="93"/>
      <c r="CA204" s="93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3"/>
      <c r="CM204" s="93"/>
      <c r="CN204" s="93"/>
      <c r="CO204" s="93"/>
      <c r="CP204" s="93"/>
      <c r="CQ204" s="93"/>
      <c r="CR204" s="93"/>
      <c r="CS204" s="93"/>
      <c r="CT204" s="93"/>
      <c r="CU204" s="93"/>
      <c r="CV204" s="93"/>
      <c r="CW204" s="93"/>
      <c r="CX204" s="93"/>
      <c r="CY204" s="93"/>
      <c r="CZ204" s="93"/>
      <c r="DA204" s="93"/>
      <c r="DB204" s="93"/>
      <c r="DC204" s="93"/>
      <c r="DD204" s="93">
        <v>0.33213429256594723</v>
      </c>
      <c r="DE204" s="93"/>
      <c r="DF204" s="93"/>
      <c r="DG204" s="93"/>
      <c r="DH204" s="93"/>
      <c r="DI204" s="93"/>
      <c r="DJ204" s="93"/>
      <c r="DK204" s="93"/>
      <c r="DL204" s="93"/>
      <c r="DM204" s="93"/>
      <c r="DN204" s="93"/>
      <c r="DO204" s="93"/>
      <c r="DP204" s="93"/>
      <c r="DQ204" s="93"/>
      <c r="DR204" s="93"/>
      <c r="DS204" s="93"/>
      <c r="DT204" s="93"/>
      <c r="DU204" s="93"/>
      <c r="DV204" s="93"/>
      <c r="DW204" s="93"/>
      <c r="DX204" s="93"/>
      <c r="DY204" s="93"/>
      <c r="DZ204" s="93"/>
      <c r="EA204" s="93"/>
      <c r="EB204" s="93"/>
      <c r="EC204" s="93"/>
      <c r="ED204" s="93"/>
      <c r="EE204" s="93"/>
      <c r="EF204" s="93"/>
      <c r="EG204" s="93"/>
      <c r="EH204" s="93"/>
      <c r="EI204" s="93"/>
      <c r="EJ204" s="93"/>
      <c r="EK204" s="93"/>
      <c r="EL204" s="93"/>
      <c r="EM204" s="93"/>
      <c r="EN204" s="93"/>
      <c r="EO204" s="93"/>
      <c r="EP204" s="93"/>
      <c r="EQ204" s="93"/>
      <c r="ER204" s="93"/>
      <c r="ES204" s="93"/>
      <c r="ET204" s="93"/>
      <c r="EU204" s="93"/>
      <c r="EV204" s="93"/>
      <c r="EW204" s="93"/>
      <c r="EX204" s="93"/>
      <c r="EY204" s="93"/>
      <c r="EZ204" s="93"/>
      <c r="FA204" s="93"/>
      <c r="FB204" s="93"/>
      <c r="FC204" s="93"/>
      <c r="FD204" s="93"/>
      <c r="FE204" s="93"/>
      <c r="FF204" s="93"/>
      <c r="FG204" s="93"/>
      <c r="FH204" s="93"/>
      <c r="FI204" s="93"/>
      <c r="FJ204" s="93"/>
      <c r="FK204" s="93"/>
      <c r="FL204" s="93"/>
      <c r="FM204" s="93"/>
      <c r="FN204" s="93"/>
      <c r="FO204" s="93"/>
      <c r="FP204" s="93"/>
      <c r="FQ204" s="93"/>
      <c r="FR204" s="93"/>
      <c r="FS204" s="93"/>
      <c r="FT204" s="93"/>
      <c r="FU204" s="93"/>
      <c r="FV204" s="93"/>
      <c r="FW204" s="93"/>
      <c r="FX204" s="93"/>
      <c r="FY204" s="93"/>
      <c r="FZ204" s="93"/>
      <c r="GA204" s="93"/>
      <c r="GB204" s="93"/>
      <c r="GC204" s="93"/>
      <c r="GD204" s="93"/>
      <c r="GE204" s="93"/>
      <c r="GF204" s="93"/>
      <c r="GG204" s="93"/>
      <c r="GH204" s="93"/>
      <c r="GI204" s="93"/>
      <c r="GJ204" s="93"/>
      <c r="GK204" s="93"/>
      <c r="GL204" s="93"/>
      <c r="GM204" s="93"/>
      <c r="GN204" s="93"/>
      <c r="GO204" s="93"/>
      <c r="GP204" s="93"/>
      <c r="GQ204" s="93"/>
      <c r="GR204" s="93"/>
      <c r="GS204" s="93"/>
      <c r="GT204" s="93"/>
      <c r="GU204" s="93"/>
      <c r="GV204" s="93"/>
      <c r="GW204" s="93"/>
      <c r="GX204" s="93"/>
      <c r="GY204" s="93"/>
      <c r="GZ204" s="93"/>
      <c r="HA204" s="93"/>
      <c r="HB204" s="93"/>
      <c r="HC204" s="93"/>
      <c r="HD204" s="93"/>
      <c r="HE204" s="93"/>
      <c r="HF204" s="93"/>
      <c r="HG204" s="93"/>
    </row>
    <row r="205" spans="14:215" x14ac:dyDescent="0.2">
      <c r="N205" s="93" t="s">
        <v>322</v>
      </c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  <c r="BI205" s="93"/>
      <c r="BJ205" s="93"/>
      <c r="BK205" s="93"/>
      <c r="BL205" s="93"/>
      <c r="BM205" s="93"/>
      <c r="BN205" s="93"/>
      <c r="BO205" s="93"/>
      <c r="BP205" s="93"/>
      <c r="BQ205" s="93"/>
      <c r="BR205" s="93"/>
      <c r="BS205" s="93"/>
      <c r="BT205" s="93"/>
      <c r="BU205" s="93"/>
      <c r="BV205" s="93"/>
      <c r="BW205" s="93"/>
      <c r="BX205" s="93"/>
      <c r="BY205" s="93"/>
      <c r="BZ205" s="93"/>
      <c r="CA205" s="93"/>
      <c r="CB205" s="93"/>
      <c r="CC205" s="93"/>
      <c r="CD205" s="93"/>
      <c r="CE205" s="93"/>
      <c r="CF205" s="93"/>
      <c r="CG205" s="93"/>
      <c r="CH205" s="93"/>
      <c r="CI205" s="93"/>
      <c r="CJ205" s="93"/>
      <c r="CK205" s="93"/>
      <c r="CL205" s="93"/>
      <c r="CM205" s="93"/>
      <c r="CN205" s="93"/>
      <c r="CO205" s="93"/>
      <c r="CP205" s="93"/>
      <c r="CQ205" s="93"/>
      <c r="CR205" s="93"/>
      <c r="CS205" s="93"/>
      <c r="CT205" s="93"/>
      <c r="CU205" s="93"/>
      <c r="CV205" s="93"/>
      <c r="CW205" s="93"/>
      <c r="CX205" s="93"/>
      <c r="CY205" s="93"/>
      <c r="CZ205" s="93"/>
      <c r="DA205" s="93"/>
      <c r="DB205" s="93"/>
      <c r="DC205" s="93"/>
      <c r="DD205" s="93"/>
      <c r="DE205" s="93">
        <v>0.33214709371293</v>
      </c>
      <c r="DF205" s="93"/>
      <c r="DG205" s="93"/>
      <c r="DH205" s="93"/>
      <c r="DI205" s="93"/>
      <c r="DJ205" s="93"/>
      <c r="DK205" s="93"/>
      <c r="DL205" s="93"/>
      <c r="DM205" s="93"/>
      <c r="DN205" s="93"/>
      <c r="DO205" s="93"/>
      <c r="DP205" s="93"/>
      <c r="DQ205" s="93"/>
      <c r="DR205" s="93"/>
      <c r="DS205" s="93"/>
      <c r="DT205" s="93"/>
      <c r="DU205" s="93"/>
      <c r="DV205" s="93"/>
      <c r="DW205" s="93"/>
      <c r="DX205" s="93"/>
      <c r="DY205" s="93"/>
      <c r="DZ205" s="93"/>
      <c r="EA205" s="93"/>
      <c r="EB205" s="93"/>
      <c r="EC205" s="93"/>
      <c r="ED205" s="93"/>
      <c r="EE205" s="93"/>
      <c r="EF205" s="93"/>
      <c r="EG205" s="93"/>
      <c r="EH205" s="93"/>
      <c r="EI205" s="93"/>
      <c r="EJ205" s="93"/>
      <c r="EK205" s="93"/>
      <c r="EL205" s="93"/>
      <c r="EM205" s="93"/>
      <c r="EN205" s="93"/>
      <c r="EO205" s="93"/>
      <c r="EP205" s="93"/>
      <c r="EQ205" s="93"/>
      <c r="ER205" s="93"/>
      <c r="ES205" s="93"/>
      <c r="ET205" s="93"/>
      <c r="EU205" s="93"/>
      <c r="EV205" s="93"/>
      <c r="EW205" s="93"/>
      <c r="EX205" s="93"/>
      <c r="EY205" s="93"/>
      <c r="EZ205" s="93"/>
      <c r="FA205" s="93"/>
      <c r="FB205" s="93"/>
      <c r="FC205" s="93"/>
      <c r="FD205" s="93"/>
      <c r="FE205" s="93"/>
      <c r="FF205" s="93"/>
      <c r="FG205" s="93"/>
      <c r="FH205" s="93"/>
      <c r="FI205" s="93"/>
      <c r="FJ205" s="93"/>
      <c r="FK205" s="93"/>
      <c r="FL205" s="93"/>
      <c r="FM205" s="93"/>
      <c r="FN205" s="93"/>
      <c r="FO205" s="93"/>
      <c r="FP205" s="93"/>
      <c r="FQ205" s="93"/>
      <c r="FR205" s="93"/>
      <c r="FS205" s="93"/>
      <c r="FT205" s="93"/>
      <c r="FU205" s="93"/>
      <c r="FV205" s="93"/>
      <c r="FW205" s="93"/>
      <c r="FX205" s="93"/>
      <c r="FY205" s="93"/>
      <c r="FZ205" s="93"/>
      <c r="GA205" s="93"/>
      <c r="GB205" s="93"/>
      <c r="GC205" s="93"/>
      <c r="GD205" s="93"/>
      <c r="GE205" s="93"/>
      <c r="GF205" s="93"/>
      <c r="GG205" s="93"/>
      <c r="GH205" s="93"/>
      <c r="GI205" s="93"/>
      <c r="GJ205" s="93"/>
      <c r="GK205" s="93"/>
      <c r="GL205" s="93"/>
      <c r="GM205" s="93"/>
      <c r="GN205" s="93"/>
      <c r="GO205" s="93"/>
      <c r="GP205" s="93"/>
      <c r="GQ205" s="93"/>
      <c r="GR205" s="93"/>
      <c r="GS205" s="93"/>
      <c r="GT205" s="93"/>
      <c r="GU205" s="93"/>
      <c r="GV205" s="93"/>
      <c r="GW205" s="93"/>
      <c r="GX205" s="93"/>
      <c r="GY205" s="93"/>
      <c r="GZ205" s="93"/>
      <c r="HA205" s="93"/>
      <c r="HB205" s="93"/>
      <c r="HC205" s="93"/>
      <c r="HD205" s="93"/>
      <c r="HE205" s="93"/>
      <c r="HF205" s="93"/>
      <c r="HG205" s="93"/>
    </row>
    <row r="206" spans="14:215" x14ac:dyDescent="0.2">
      <c r="N206" s="93" t="s">
        <v>323</v>
      </c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3"/>
      <c r="AW206" s="93"/>
      <c r="AX206" s="93"/>
      <c r="AY206" s="93"/>
      <c r="AZ206" s="93"/>
      <c r="BA206" s="93"/>
      <c r="BB206" s="93"/>
      <c r="BC206" s="93"/>
      <c r="BD206" s="93"/>
      <c r="BE206" s="93"/>
      <c r="BF206" s="93"/>
      <c r="BG206" s="93"/>
      <c r="BH206" s="93"/>
      <c r="BI206" s="93"/>
      <c r="BJ206" s="93"/>
      <c r="BK206" s="93"/>
      <c r="BL206" s="93"/>
      <c r="BM206" s="93"/>
      <c r="BN206" s="93"/>
      <c r="BO206" s="93"/>
      <c r="BP206" s="93"/>
      <c r="BQ206" s="93"/>
      <c r="BR206" s="93"/>
      <c r="BS206" s="93"/>
      <c r="BT206" s="93"/>
      <c r="BU206" s="93"/>
      <c r="BV206" s="93"/>
      <c r="BW206" s="93"/>
      <c r="BX206" s="93"/>
      <c r="BY206" s="93"/>
      <c r="BZ206" s="93"/>
      <c r="CA206" s="93"/>
      <c r="CB206" s="93"/>
      <c r="CC206" s="93"/>
      <c r="CD206" s="93"/>
      <c r="CE206" s="93"/>
      <c r="CF206" s="93"/>
      <c r="CG206" s="93"/>
      <c r="CH206" s="93"/>
      <c r="CI206" s="93"/>
      <c r="CJ206" s="93"/>
      <c r="CK206" s="93"/>
      <c r="CL206" s="93"/>
      <c r="CM206" s="93"/>
      <c r="CN206" s="93"/>
      <c r="CO206" s="93"/>
      <c r="CP206" s="93"/>
      <c r="CQ206" s="93"/>
      <c r="CR206" s="93"/>
      <c r="CS206" s="93"/>
      <c r="CT206" s="93"/>
      <c r="CU206" s="93"/>
      <c r="CV206" s="93"/>
      <c r="CW206" s="93"/>
      <c r="CX206" s="93"/>
      <c r="CY206" s="93"/>
      <c r="CZ206" s="93"/>
      <c r="DA206" s="93"/>
      <c r="DB206" s="93"/>
      <c r="DC206" s="93"/>
      <c r="DD206" s="93"/>
      <c r="DE206" s="93"/>
      <c r="DF206" s="93">
        <v>0.33215962441314556</v>
      </c>
      <c r="DG206" s="93"/>
      <c r="DH206" s="93"/>
      <c r="DI206" s="93"/>
      <c r="DJ206" s="93"/>
      <c r="DK206" s="93"/>
      <c r="DL206" s="93"/>
      <c r="DM206" s="93"/>
      <c r="DN206" s="93"/>
      <c r="DO206" s="93"/>
      <c r="DP206" s="93"/>
      <c r="DQ206" s="93"/>
      <c r="DR206" s="93"/>
      <c r="DS206" s="93"/>
      <c r="DT206" s="93"/>
      <c r="DU206" s="93"/>
      <c r="DV206" s="93"/>
      <c r="DW206" s="93"/>
      <c r="DX206" s="93"/>
      <c r="DY206" s="93"/>
      <c r="DZ206" s="93"/>
      <c r="EA206" s="93"/>
      <c r="EB206" s="93"/>
      <c r="EC206" s="93"/>
      <c r="ED206" s="93"/>
      <c r="EE206" s="93"/>
      <c r="EF206" s="93"/>
      <c r="EG206" s="93"/>
      <c r="EH206" s="93"/>
      <c r="EI206" s="93"/>
      <c r="EJ206" s="93"/>
      <c r="EK206" s="93"/>
      <c r="EL206" s="93"/>
      <c r="EM206" s="93"/>
      <c r="EN206" s="93"/>
      <c r="EO206" s="93"/>
      <c r="EP206" s="93"/>
      <c r="EQ206" s="93"/>
      <c r="ER206" s="93"/>
      <c r="ES206" s="93"/>
      <c r="ET206" s="93"/>
      <c r="EU206" s="93"/>
      <c r="EV206" s="93"/>
      <c r="EW206" s="93"/>
      <c r="EX206" s="93"/>
      <c r="EY206" s="93"/>
      <c r="EZ206" s="93"/>
      <c r="FA206" s="93"/>
      <c r="FB206" s="93"/>
      <c r="FC206" s="93"/>
      <c r="FD206" s="93"/>
      <c r="FE206" s="93"/>
      <c r="FF206" s="93"/>
      <c r="FG206" s="93"/>
      <c r="FH206" s="93"/>
      <c r="FI206" s="93"/>
      <c r="FJ206" s="93"/>
      <c r="FK206" s="93"/>
      <c r="FL206" s="93"/>
      <c r="FM206" s="93"/>
      <c r="FN206" s="93"/>
      <c r="FO206" s="93"/>
      <c r="FP206" s="93"/>
      <c r="FQ206" s="93"/>
      <c r="FR206" s="93"/>
      <c r="FS206" s="93"/>
      <c r="FT206" s="93"/>
      <c r="FU206" s="93"/>
      <c r="FV206" s="93"/>
      <c r="FW206" s="93"/>
      <c r="FX206" s="93"/>
      <c r="FY206" s="93"/>
      <c r="FZ206" s="93"/>
      <c r="GA206" s="93"/>
      <c r="GB206" s="93"/>
      <c r="GC206" s="93"/>
      <c r="GD206" s="93"/>
      <c r="GE206" s="93"/>
      <c r="GF206" s="93"/>
      <c r="GG206" s="93"/>
      <c r="GH206" s="93"/>
      <c r="GI206" s="93"/>
      <c r="GJ206" s="93"/>
      <c r="GK206" s="93"/>
      <c r="GL206" s="93"/>
      <c r="GM206" s="93"/>
      <c r="GN206" s="93"/>
      <c r="GO206" s="93"/>
      <c r="GP206" s="93"/>
      <c r="GQ206" s="93"/>
      <c r="GR206" s="93"/>
      <c r="GS206" s="93"/>
      <c r="GT206" s="93"/>
      <c r="GU206" s="93"/>
      <c r="GV206" s="93"/>
      <c r="GW206" s="93"/>
      <c r="GX206" s="93"/>
      <c r="GY206" s="93"/>
      <c r="GZ206" s="93"/>
      <c r="HA206" s="93"/>
      <c r="HB206" s="93"/>
      <c r="HC206" s="93"/>
      <c r="HD206" s="93"/>
      <c r="HE206" s="93"/>
      <c r="HF206" s="93"/>
      <c r="HG206" s="93"/>
    </row>
    <row r="207" spans="14:215" x14ac:dyDescent="0.2">
      <c r="N207" s="93" t="s">
        <v>324</v>
      </c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  <c r="BI207" s="93"/>
      <c r="BJ207" s="93"/>
      <c r="BK207" s="93"/>
      <c r="BL207" s="93"/>
      <c r="BM207" s="93"/>
      <c r="BN207" s="93"/>
      <c r="BO207" s="93"/>
      <c r="BP207" s="93"/>
      <c r="BQ207" s="93"/>
      <c r="BR207" s="93"/>
      <c r="BS207" s="93"/>
      <c r="BT207" s="93"/>
      <c r="BU207" s="93"/>
      <c r="BV207" s="93"/>
      <c r="BW207" s="93"/>
      <c r="BX207" s="93"/>
      <c r="BY207" s="93"/>
      <c r="BZ207" s="93"/>
      <c r="CA207" s="93"/>
      <c r="CB207" s="93"/>
      <c r="CC207" s="93"/>
      <c r="CD207" s="93"/>
      <c r="CE207" s="93"/>
      <c r="CF207" s="93"/>
      <c r="CG207" s="93"/>
      <c r="CH207" s="93"/>
      <c r="CI207" s="93"/>
      <c r="CJ207" s="93"/>
      <c r="CK207" s="93"/>
      <c r="CL207" s="93"/>
      <c r="CM207" s="93"/>
      <c r="CN207" s="93"/>
      <c r="CO207" s="93"/>
      <c r="CP207" s="93"/>
      <c r="CQ207" s="93"/>
      <c r="CR207" s="93"/>
      <c r="CS207" s="93"/>
      <c r="CT207" s="93"/>
      <c r="CU207" s="93"/>
      <c r="CV207" s="93"/>
      <c r="CW207" s="93"/>
      <c r="CX207" s="93"/>
      <c r="CY207" s="93"/>
      <c r="CZ207" s="93"/>
      <c r="DA207" s="93"/>
      <c r="DB207" s="93"/>
      <c r="DC207" s="93"/>
      <c r="DD207" s="93"/>
      <c r="DE207" s="93"/>
      <c r="DF207" s="93"/>
      <c r="DG207" s="93">
        <v>0.33217189314750289</v>
      </c>
      <c r="DH207" s="93"/>
      <c r="DI207" s="93"/>
      <c r="DJ207" s="93"/>
      <c r="DK207" s="93"/>
      <c r="DL207" s="93"/>
      <c r="DM207" s="93"/>
      <c r="DN207" s="93"/>
      <c r="DO207" s="93"/>
      <c r="DP207" s="93"/>
      <c r="DQ207" s="93"/>
      <c r="DR207" s="93"/>
      <c r="DS207" s="93"/>
      <c r="DT207" s="93"/>
      <c r="DU207" s="93"/>
      <c r="DV207" s="93"/>
      <c r="DW207" s="93"/>
      <c r="DX207" s="93"/>
      <c r="DY207" s="93"/>
      <c r="DZ207" s="93"/>
      <c r="EA207" s="93"/>
      <c r="EB207" s="93"/>
      <c r="EC207" s="93"/>
      <c r="ED207" s="93"/>
      <c r="EE207" s="93"/>
      <c r="EF207" s="93"/>
      <c r="EG207" s="93"/>
      <c r="EH207" s="93"/>
      <c r="EI207" s="93"/>
      <c r="EJ207" s="93"/>
      <c r="EK207" s="93"/>
      <c r="EL207" s="93"/>
      <c r="EM207" s="93"/>
      <c r="EN207" s="93"/>
      <c r="EO207" s="93"/>
      <c r="EP207" s="93"/>
      <c r="EQ207" s="93"/>
      <c r="ER207" s="93"/>
      <c r="ES207" s="93"/>
      <c r="ET207" s="93"/>
      <c r="EU207" s="93"/>
      <c r="EV207" s="93"/>
      <c r="EW207" s="93"/>
      <c r="EX207" s="93"/>
      <c r="EY207" s="93"/>
      <c r="EZ207" s="93"/>
      <c r="FA207" s="93"/>
      <c r="FB207" s="93"/>
      <c r="FC207" s="93"/>
      <c r="FD207" s="93"/>
      <c r="FE207" s="93"/>
      <c r="FF207" s="93"/>
      <c r="FG207" s="93"/>
      <c r="FH207" s="93"/>
      <c r="FI207" s="93"/>
      <c r="FJ207" s="93"/>
      <c r="FK207" s="93"/>
      <c r="FL207" s="93"/>
      <c r="FM207" s="93"/>
      <c r="FN207" s="93"/>
      <c r="FO207" s="93"/>
      <c r="FP207" s="93"/>
      <c r="FQ207" s="93"/>
      <c r="FR207" s="93"/>
      <c r="FS207" s="93"/>
      <c r="FT207" s="93"/>
      <c r="FU207" s="93"/>
      <c r="FV207" s="93"/>
      <c r="FW207" s="93"/>
      <c r="FX207" s="93"/>
      <c r="FY207" s="93"/>
      <c r="FZ207" s="93"/>
      <c r="GA207" s="93"/>
      <c r="GB207" s="93"/>
      <c r="GC207" s="93"/>
      <c r="GD207" s="93"/>
      <c r="GE207" s="93"/>
      <c r="GF207" s="93"/>
      <c r="GG207" s="93"/>
      <c r="GH207" s="93"/>
      <c r="GI207" s="93"/>
      <c r="GJ207" s="93"/>
      <c r="GK207" s="93"/>
      <c r="GL207" s="93"/>
      <c r="GM207" s="93"/>
      <c r="GN207" s="93"/>
      <c r="GO207" s="93"/>
      <c r="GP207" s="93"/>
      <c r="GQ207" s="93"/>
      <c r="GR207" s="93"/>
      <c r="GS207" s="93"/>
      <c r="GT207" s="93"/>
      <c r="GU207" s="93"/>
      <c r="GV207" s="93"/>
      <c r="GW207" s="93"/>
      <c r="GX207" s="93"/>
      <c r="GY207" s="93"/>
      <c r="GZ207" s="93"/>
      <c r="HA207" s="93"/>
      <c r="HB207" s="93"/>
      <c r="HC207" s="93"/>
      <c r="HD207" s="93"/>
      <c r="HE207" s="93"/>
      <c r="HF207" s="93"/>
      <c r="HG207" s="93"/>
    </row>
    <row r="208" spans="14:215" x14ac:dyDescent="0.2">
      <c r="N208" s="93" t="s">
        <v>325</v>
      </c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3"/>
      <c r="AW208" s="93"/>
      <c r="AX208" s="93"/>
      <c r="AY208" s="93"/>
      <c r="AZ208" s="93"/>
      <c r="BA208" s="93"/>
      <c r="BB208" s="93"/>
      <c r="BC208" s="93"/>
      <c r="BD208" s="93"/>
      <c r="BE208" s="93"/>
      <c r="BF208" s="93"/>
      <c r="BG208" s="93"/>
      <c r="BH208" s="93"/>
      <c r="BI208" s="93"/>
      <c r="BJ208" s="93"/>
      <c r="BK208" s="93"/>
      <c r="BL208" s="93"/>
      <c r="BM208" s="93"/>
      <c r="BN208" s="93"/>
      <c r="BO208" s="93"/>
      <c r="BP208" s="93"/>
      <c r="BQ208" s="93"/>
      <c r="BR208" s="93"/>
      <c r="BS208" s="93"/>
      <c r="BT208" s="93"/>
      <c r="BU208" s="93"/>
      <c r="BV208" s="93"/>
      <c r="BW208" s="93"/>
      <c r="BX208" s="93"/>
      <c r="BY208" s="93"/>
      <c r="BZ208" s="93"/>
      <c r="CA208" s="93"/>
      <c r="CB208" s="93"/>
      <c r="CC208" s="93"/>
      <c r="CD208" s="93"/>
      <c r="CE208" s="93"/>
      <c r="CF208" s="93"/>
      <c r="CG208" s="93"/>
      <c r="CH208" s="93"/>
      <c r="CI208" s="93"/>
      <c r="CJ208" s="93"/>
      <c r="CK208" s="93"/>
      <c r="CL208" s="93"/>
      <c r="CM208" s="93"/>
      <c r="CN208" s="93"/>
      <c r="CO208" s="93"/>
      <c r="CP208" s="93"/>
      <c r="CQ208" s="93"/>
      <c r="CR208" s="93"/>
      <c r="CS208" s="93"/>
      <c r="CT208" s="93"/>
      <c r="CU208" s="93"/>
      <c r="CV208" s="93"/>
      <c r="CW208" s="93"/>
      <c r="CX208" s="93"/>
      <c r="CY208" s="93"/>
      <c r="CZ208" s="93"/>
      <c r="DA208" s="93"/>
      <c r="DB208" s="93"/>
      <c r="DC208" s="93"/>
      <c r="DD208" s="93"/>
      <c r="DE208" s="93"/>
      <c r="DF208" s="93"/>
      <c r="DG208" s="93"/>
      <c r="DH208" s="93">
        <v>0.33218390804597703</v>
      </c>
      <c r="DI208" s="93"/>
      <c r="DJ208" s="93"/>
      <c r="DK208" s="93"/>
      <c r="DL208" s="93"/>
      <c r="DM208" s="93"/>
      <c r="DN208" s="93"/>
      <c r="DO208" s="93"/>
      <c r="DP208" s="93"/>
      <c r="DQ208" s="93"/>
      <c r="DR208" s="93"/>
      <c r="DS208" s="93"/>
      <c r="DT208" s="93"/>
      <c r="DU208" s="93"/>
      <c r="DV208" s="93"/>
      <c r="DW208" s="93"/>
      <c r="DX208" s="93"/>
      <c r="DY208" s="93"/>
      <c r="DZ208" s="93"/>
      <c r="EA208" s="93"/>
      <c r="EB208" s="93"/>
      <c r="EC208" s="93"/>
      <c r="ED208" s="93"/>
      <c r="EE208" s="93"/>
      <c r="EF208" s="93"/>
      <c r="EG208" s="93"/>
      <c r="EH208" s="93"/>
      <c r="EI208" s="93"/>
      <c r="EJ208" s="93"/>
      <c r="EK208" s="93"/>
      <c r="EL208" s="93"/>
      <c r="EM208" s="93"/>
      <c r="EN208" s="93"/>
      <c r="EO208" s="93"/>
      <c r="EP208" s="93"/>
      <c r="EQ208" s="93"/>
      <c r="ER208" s="93"/>
      <c r="ES208" s="93"/>
      <c r="ET208" s="93"/>
      <c r="EU208" s="93"/>
      <c r="EV208" s="93"/>
      <c r="EW208" s="93"/>
      <c r="EX208" s="93"/>
      <c r="EY208" s="93"/>
      <c r="EZ208" s="93"/>
      <c r="FA208" s="93"/>
      <c r="FB208" s="93"/>
      <c r="FC208" s="93"/>
      <c r="FD208" s="93"/>
      <c r="FE208" s="93"/>
      <c r="FF208" s="93"/>
      <c r="FG208" s="93"/>
      <c r="FH208" s="93"/>
      <c r="FI208" s="93"/>
      <c r="FJ208" s="93"/>
      <c r="FK208" s="93"/>
      <c r="FL208" s="93"/>
      <c r="FM208" s="93"/>
      <c r="FN208" s="93"/>
      <c r="FO208" s="93"/>
      <c r="FP208" s="93"/>
      <c r="FQ208" s="93"/>
      <c r="FR208" s="93"/>
      <c r="FS208" s="93"/>
      <c r="FT208" s="93"/>
      <c r="FU208" s="93"/>
      <c r="FV208" s="93"/>
      <c r="FW208" s="93"/>
      <c r="FX208" s="93"/>
      <c r="FY208" s="93"/>
      <c r="FZ208" s="93"/>
      <c r="GA208" s="93"/>
      <c r="GB208" s="93"/>
      <c r="GC208" s="93"/>
      <c r="GD208" s="93"/>
      <c r="GE208" s="93"/>
      <c r="GF208" s="93"/>
      <c r="GG208" s="93"/>
      <c r="GH208" s="93"/>
      <c r="GI208" s="93"/>
      <c r="GJ208" s="93"/>
      <c r="GK208" s="93"/>
      <c r="GL208" s="93"/>
      <c r="GM208" s="93"/>
      <c r="GN208" s="93"/>
      <c r="GO208" s="93"/>
      <c r="GP208" s="93"/>
      <c r="GQ208" s="93"/>
      <c r="GR208" s="93"/>
      <c r="GS208" s="93"/>
      <c r="GT208" s="93"/>
      <c r="GU208" s="93"/>
      <c r="GV208" s="93"/>
      <c r="GW208" s="93"/>
      <c r="GX208" s="93"/>
      <c r="GY208" s="93"/>
      <c r="GZ208" s="93"/>
      <c r="HA208" s="93"/>
      <c r="HB208" s="93"/>
      <c r="HC208" s="93"/>
      <c r="HD208" s="93"/>
      <c r="HE208" s="93"/>
      <c r="HF208" s="93"/>
      <c r="HG208" s="93"/>
    </row>
    <row r="209" spans="14:215" x14ac:dyDescent="0.2">
      <c r="N209" s="93" t="s">
        <v>326</v>
      </c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  <c r="BI209" s="93"/>
      <c r="BJ209" s="93"/>
      <c r="BK209" s="93"/>
      <c r="BL209" s="93"/>
      <c r="BM209" s="93"/>
      <c r="BN209" s="93"/>
      <c r="BO209" s="93"/>
      <c r="BP209" s="93"/>
      <c r="BQ209" s="93"/>
      <c r="BR209" s="93"/>
      <c r="BS209" s="93"/>
      <c r="BT209" s="93"/>
      <c r="BU209" s="93"/>
      <c r="BV209" s="93"/>
      <c r="BW209" s="93"/>
      <c r="BX209" s="93"/>
      <c r="BY209" s="93"/>
      <c r="BZ209" s="93"/>
      <c r="CA209" s="93"/>
      <c r="CB209" s="93"/>
      <c r="CC209" s="93"/>
      <c r="CD209" s="93"/>
      <c r="CE209" s="93"/>
      <c r="CF209" s="93"/>
      <c r="CG209" s="93"/>
      <c r="CH209" s="93"/>
      <c r="CI209" s="93"/>
      <c r="CJ209" s="93"/>
      <c r="CK209" s="93"/>
      <c r="CL209" s="93"/>
      <c r="CM209" s="93"/>
      <c r="CN209" s="93"/>
      <c r="CO209" s="93"/>
      <c r="CP209" s="93"/>
      <c r="CQ209" s="93"/>
      <c r="CR209" s="93"/>
      <c r="CS209" s="93"/>
      <c r="CT209" s="93"/>
      <c r="CU209" s="93"/>
      <c r="CV209" s="93"/>
      <c r="CW209" s="93"/>
      <c r="CX209" s="93"/>
      <c r="CY209" s="93"/>
      <c r="CZ209" s="93"/>
      <c r="DA209" s="93"/>
      <c r="DB209" s="93"/>
      <c r="DC209" s="93"/>
      <c r="DD209" s="93"/>
      <c r="DE209" s="93"/>
      <c r="DF209" s="93"/>
      <c r="DG209" s="93"/>
      <c r="DH209" s="93"/>
      <c r="DI209" s="93">
        <v>0.3321956769055745</v>
      </c>
      <c r="DJ209" s="93"/>
      <c r="DK209" s="93"/>
      <c r="DL209" s="93"/>
      <c r="DM209" s="93"/>
      <c r="DN209" s="93"/>
      <c r="DO209" s="93"/>
      <c r="DP209" s="93"/>
      <c r="DQ209" s="93"/>
      <c r="DR209" s="93"/>
      <c r="DS209" s="93"/>
      <c r="DT209" s="93"/>
      <c r="DU209" s="93"/>
      <c r="DV209" s="93"/>
      <c r="DW209" s="93"/>
      <c r="DX209" s="93"/>
      <c r="DY209" s="93"/>
      <c r="DZ209" s="93"/>
      <c r="EA209" s="93"/>
      <c r="EB209" s="93"/>
      <c r="EC209" s="93"/>
      <c r="ED209" s="93"/>
      <c r="EE209" s="93"/>
      <c r="EF209" s="93"/>
      <c r="EG209" s="93"/>
      <c r="EH209" s="93"/>
      <c r="EI209" s="93"/>
      <c r="EJ209" s="93"/>
      <c r="EK209" s="93"/>
      <c r="EL209" s="93"/>
      <c r="EM209" s="93"/>
      <c r="EN209" s="93"/>
      <c r="EO209" s="93"/>
      <c r="EP209" s="93"/>
      <c r="EQ209" s="93"/>
      <c r="ER209" s="93"/>
      <c r="ES209" s="93"/>
      <c r="ET209" s="93"/>
      <c r="EU209" s="93"/>
      <c r="EV209" s="93"/>
      <c r="EW209" s="93"/>
      <c r="EX209" s="93"/>
      <c r="EY209" s="93"/>
      <c r="EZ209" s="93"/>
      <c r="FA209" s="93"/>
      <c r="FB209" s="93"/>
      <c r="FC209" s="93"/>
      <c r="FD209" s="93"/>
      <c r="FE209" s="93"/>
      <c r="FF209" s="93"/>
      <c r="FG209" s="93"/>
      <c r="FH209" s="93"/>
      <c r="FI209" s="93"/>
      <c r="FJ209" s="93"/>
      <c r="FK209" s="93"/>
      <c r="FL209" s="93"/>
      <c r="FM209" s="93"/>
      <c r="FN209" s="93"/>
      <c r="FO209" s="93"/>
      <c r="FP209" s="93"/>
      <c r="FQ209" s="93"/>
      <c r="FR209" s="93"/>
      <c r="FS209" s="93"/>
      <c r="FT209" s="93"/>
      <c r="FU209" s="93"/>
      <c r="FV209" s="93"/>
      <c r="FW209" s="93"/>
      <c r="FX209" s="93"/>
      <c r="FY209" s="93"/>
      <c r="FZ209" s="93"/>
      <c r="GA209" s="93"/>
      <c r="GB209" s="93"/>
      <c r="GC209" s="93"/>
      <c r="GD209" s="93"/>
      <c r="GE209" s="93"/>
      <c r="GF209" s="93"/>
      <c r="GG209" s="93"/>
      <c r="GH209" s="93"/>
      <c r="GI209" s="93"/>
      <c r="GJ209" s="93"/>
      <c r="GK209" s="93"/>
      <c r="GL209" s="93"/>
      <c r="GM209" s="93"/>
      <c r="GN209" s="93"/>
      <c r="GO209" s="93"/>
      <c r="GP209" s="93"/>
      <c r="GQ209" s="93"/>
      <c r="GR209" s="93"/>
      <c r="GS209" s="93"/>
      <c r="GT209" s="93"/>
      <c r="GU209" s="93"/>
      <c r="GV209" s="93"/>
      <c r="GW209" s="93"/>
      <c r="GX209" s="93"/>
      <c r="GY209" s="93"/>
      <c r="GZ209" s="93"/>
      <c r="HA209" s="93"/>
      <c r="HB209" s="93"/>
      <c r="HC209" s="93"/>
      <c r="HD209" s="93"/>
      <c r="HE209" s="93"/>
      <c r="HF209" s="93"/>
      <c r="HG209" s="93"/>
    </row>
    <row r="210" spans="14:215" x14ac:dyDescent="0.2">
      <c r="N210" s="93" t="s">
        <v>327</v>
      </c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3"/>
      <c r="AW210" s="93"/>
      <c r="AX210" s="93"/>
      <c r="AY210" s="93"/>
      <c r="AZ210" s="93"/>
      <c r="BA210" s="93"/>
      <c r="BB210" s="93"/>
      <c r="BC210" s="93"/>
      <c r="BD210" s="93"/>
      <c r="BE210" s="93"/>
      <c r="BF210" s="93"/>
      <c r="BG210" s="93"/>
      <c r="BH210" s="93"/>
      <c r="BI210" s="93"/>
      <c r="BJ210" s="93"/>
      <c r="BK210" s="93"/>
      <c r="BL210" s="93"/>
      <c r="BM210" s="93"/>
      <c r="BN210" s="93"/>
      <c r="BO210" s="93"/>
      <c r="BP210" s="93"/>
      <c r="BQ210" s="93"/>
      <c r="BR210" s="93"/>
      <c r="BS210" s="93"/>
      <c r="BT210" s="93"/>
      <c r="BU210" s="93"/>
      <c r="BV210" s="93"/>
      <c r="BW210" s="93"/>
      <c r="BX210" s="93"/>
      <c r="BY210" s="93"/>
      <c r="BZ210" s="93"/>
      <c r="CA210" s="93"/>
      <c r="CB210" s="93"/>
      <c r="CC210" s="93"/>
      <c r="CD210" s="93"/>
      <c r="CE210" s="93"/>
      <c r="CF210" s="93"/>
      <c r="CG210" s="93"/>
      <c r="CH210" s="93"/>
      <c r="CI210" s="93"/>
      <c r="CJ210" s="93"/>
      <c r="CK210" s="93"/>
      <c r="CL210" s="93"/>
      <c r="CM210" s="93"/>
      <c r="CN210" s="93"/>
      <c r="CO210" s="93"/>
      <c r="CP210" s="93"/>
      <c r="CQ210" s="93"/>
      <c r="CR210" s="93"/>
      <c r="CS210" s="93"/>
      <c r="CT210" s="93"/>
      <c r="CU210" s="93"/>
      <c r="CV210" s="93"/>
      <c r="CW210" s="93"/>
      <c r="CX210" s="93"/>
      <c r="CY210" s="93"/>
      <c r="CZ210" s="93"/>
      <c r="DA210" s="93"/>
      <c r="DB210" s="93"/>
      <c r="DC210" s="93"/>
      <c r="DD210" s="93"/>
      <c r="DE210" s="93"/>
      <c r="DF210" s="93"/>
      <c r="DG210" s="93"/>
      <c r="DH210" s="93"/>
      <c r="DI210" s="93"/>
      <c r="DJ210" s="93">
        <v>0.3322072072072072</v>
      </c>
      <c r="DK210" s="93"/>
      <c r="DL210" s="93"/>
      <c r="DM210" s="93"/>
      <c r="DN210" s="93"/>
      <c r="DO210" s="93"/>
      <c r="DP210" s="93"/>
      <c r="DQ210" s="93"/>
      <c r="DR210" s="93"/>
      <c r="DS210" s="93"/>
      <c r="DT210" s="93"/>
      <c r="DU210" s="93"/>
      <c r="DV210" s="93"/>
      <c r="DW210" s="93"/>
      <c r="DX210" s="93"/>
      <c r="DY210" s="93"/>
      <c r="DZ210" s="93"/>
      <c r="EA210" s="93"/>
      <c r="EB210" s="93"/>
      <c r="EC210" s="93"/>
      <c r="ED210" s="93"/>
      <c r="EE210" s="93"/>
      <c r="EF210" s="93"/>
      <c r="EG210" s="93"/>
      <c r="EH210" s="93"/>
      <c r="EI210" s="93"/>
      <c r="EJ210" s="93"/>
      <c r="EK210" s="93"/>
      <c r="EL210" s="93"/>
      <c r="EM210" s="93"/>
      <c r="EN210" s="93"/>
      <c r="EO210" s="93"/>
      <c r="EP210" s="93"/>
      <c r="EQ210" s="93"/>
      <c r="ER210" s="93"/>
      <c r="ES210" s="93"/>
      <c r="ET210" s="93"/>
      <c r="EU210" s="93"/>
      <c r="EV210" s="93"/>
      <c r="EW210" s="93"/>
      <c r="EX210" s="93"/>
      <c r="EY210" s="93"/>
      <c r="EZ210" s="93"/>
      <c r="FA210" s="93"/>
      <c r="FB210" s="93"/>
      <c r="FC210" s="93"/>
      <c r="FD210" s="93"/>
      <c r="FE210" s="93"/>
      <c r="FF210" s="93"/>
      <c r="FG210" s="93"/>
      <c r="FH210" s="93"/>
      <c r="FI210" s="93"/>
      <c r="FJ210" s="93"/>
      <c r="FK210" s="93"/>
      <c r="FL210" s="93"/>
      <c r="FM210" s="93"/>
      <c r="FN210" s="93"/>
      <c r="FO210" s="93"/>
      <c r="FP210" s="93"/>
      <c r="FQ210" s="93"/>
      <c r="FR210" s="93"/>
      <c r="FS210" s="93"/>
      <c r="FT210" s="93"/>
      <c r="FU210" s="93"/>
      <c r="FV210" s="93"/>
      <c r="FW210" s="93"/>
      <c r="FX210" s="93"/>
      <c r="FY210" s="93"/>
      <c r="FZ210" s="93"/>
      <c r="GA210" s="93"/>
      <c r="GB210" s="93"/>
      <c r="GC210" s="93"/>
      <c r="GD210" s="93"/>
      <c r="GE210" s="93"/>
      <c r="GF210" s="93"/>
      <c r="GG210" s="93"/>
      <c r="GH210" s="93"/>
      <c r="GI210" s="93"/>
      <c r="GJ210" s="93"/>
      <c r="GK210" s="93"/>
      <c r="GL210" s="93"/>
      <c r="GM210" s="93"/>
      <c r="GN210" s="93"/>
      <c r="GO210" s="93"/>
      <c r="GP210" s="93"/>
      <c r="GQ210" s="93"/>
      <c r="GR210" s="93"/>
      <c r="GS210" s="93"/>
      <c r="GT210" s="93"/>
      <c r="GU210" s="93"/>
      <c r="GV210" s="93"/>
      <c r="GW210" s="93"/>
      <c r="GX210" s="93"/>
      <c r="GY210" s="93"/>
      <c r="GZ210" s="93"/>
      <c r="HA210" s="93"/>
      <c r="HB210" s="93"/>
      <c r="HC210" s="93"/>
      <c r="HD210" s="93"/>
      <c r="HE210" s="93"/>
      <c r="HF210" s="93"/>
      <c r="HG210" s="93"/>
    </row>
    <row r="211" spans="14:215" x14ac:dyDescent="0.2">
      <c r="N211" s="93" t="s">
        <v>328</v>
      </c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  <c r="BI211" s="93"/>
      <c r="BJ211" s="93"/>
      <c r="BK211" s="93"/>
      <c r="BL211" s="93"/>
      <c r="BM211" s="93"/>
      <c r="BN211" s="93"/>
      <c r="BO211" s="93"/>
      <c r="BP211" s="93"/>
      <c r="BQ211" s="93"/>
      <c r="BR211" s="93"/>
      <c r="BS211" s="93"/>
      <c r="BT211" s="93"/>
      <c r="BU211" s="93"/>
      <c r="BV211" s="93"/>
      <c r="BW211" s="93"/>
      <c r="BX211" s="93"/>
      <c r="BY211" s="93"/>
      <c r="BZ211" s="93"/>
      <c r="CA211" s="93"/>
      <c r="CB211" s="93"/>
      <c r="CC211" s="93"/>
      <c r="CD211" s="93"/>
      <c r="CE211" s="93"/>
      <c r="CF211" s="93"/>
      <c r="CG211" s="93"/>
      <c r="CH211" s="93"/>
      <c r="CI211" s="93"/>
      <c r="CJ211" s="93"/>
      <c r="CK211" s="93"/>
      <c r="CL211" s="93"/>
      <c r="CM211" s="93"/>
      <c r="CN211" s="93"/>
      <c r="CO211" s="93"/>
      <c r="CP211" s="93"/>
      <c r="CQ211" s="93"/>
      <c r="CR211" s="93"/>
      <c r="CS211" s="93"/>
      <c r="CT211" s="93"/>
      <c r="CU211" s="93"/>
      <c r="CV211" s="93"/>
      <c r="CW211" s="93"/>
      <c r="CX211" s="93"/>
      <c r="CY211" s="93"/>
      <c r="CZ211" s="93"/>
      <c r="DA211" s="93"/>
      <c r="DB211" s="93"/>
      <c r="DC211" s="93"/>
      <c r="DD211" s="93"/>
      <c r="DE211" s="93"/>
      <c r="DF211" s="93"/>
      <c r="DG211" s="93"/>
      <c r="DH211" s="93"/>
      <c r="DI211" s="93"/>
      <c r="DJ211" s="93"/>
      <c r="DK211" s="93">
        <v>0.33221850613154963</v>
      </c>
      <c r="DL211" s="93"/>
      <c r="DM211" s="93"/>
      <c r="DN211" s="93"/>
      <c r="DO211" s="93"/>
      <c r="DP211" s="93"/>
      <c r="DQ211" s="93"/>
      <c r="DR211" s="93"/>
      <c r="DS211" s="93"/>
      <c r="DT211" s="93"/>
      <c r="DU211" s="93"/>
      <c r="DV211" s="93"/>
      <c r="DW211" s="93"/>
      <c r="DX211" s="93"/>
      <c r="DY211" s="93"/>
      <c r="DZ211" s="93"/>
      <c r="EA211" s="93"/>
      <c r="EB211" s="93"/>
      <c r="EC211" s="93"/>
      <c r="ED211" s="93"/>
      <c r="EE211" s="93"/>
      <c r="EF211" s="93"/>
      <c r="EG211" s="93"/>
      <c r="EH211" s="93"/>
      <c r="EI211" s="93"/>
      <c r="EJ211" s="93"/>
      <c r="EK211" s="93"/>
      <c r="EL211" s="93"/>
      <c r="EM211" s="93"/>
      <c r="EN211" s="93"/>
      <c r="EO211" s="93"/>
      <c r="EP211" s="93"/>
      <c r="EQ211" s="93"/>
      <c r="ER211" s="93"/>
      <c r="ES211" s="93"/>
      <c r="ET211" s="93"/>
      <c r="EU211" s="93"/>
      <c r="EV211" s="93"/>
      <c r="EW211" s="93"/>
      <c r="EX211" s="93"/>
      <c r="EY211" s="93"/>
      <c r="EZ211" s="93"/>
      <c r="FA211" s="93"/>
      <c r="FB211" s="93"/>
      <c r="FC211" s="93"/>
      <c r="FD211" s="93"/>
      <c r="FE211" s="93"/>
      <c r="FF211" s="93"/>
      <c r="FG211" s="93"/>
      <c r="FH211" s="93"/>
      <c r="FI211" s="93"/>
      <c r="FJ211" s="93"/>
      <c r="FK211" s="93"/>
      <c r="FL211" s="93"/>
      <c r="FM211" s="93"/>
      <c r="FN211" s="93"/>
      <c r="FO211" s="93"/>
      <c r="FP211" s="93"/>
      <c r="FQ211" s="93"/>
      <c r="FR211" s="93"/>
      <c r="FS211" s="93"/>
      <c r="FT211" s="93"/>
      <c r="FU211" s="93"/>
      <c r="FV211" s="93"/>
      <c r="FW211" s="93"/>
      <c r="FX211" s="93"/>
      <c r="FY211" s="93"/>
      <c r="FZ211" s="93"/>
      <c r="GA211" s="93"/>
      <c r="GB211" s="93"/>
      <c r="GC211" s="93"/>
      <c r="GD211" s="93"/>
      <c r="GE211" s="93"/>
      <c r="GF211" s="93"/>
      <c r="GG211" s="93"/>
      <c r="GH211" s="93"/>
      <c r="GI211" s="93"/>
      <c r="GJ211" s="93"/>
      <c r="GK211" s="93"/>
      <c r="GL211" s="93"/>
      <c r="GM211" s="93"/>
      <c r="GN211" s="93"/>
      <c r="GO211" s="93"/>
      <c r="GP211" s="93"/>
      <c r="GQ211" s="93"/>
      <c r="GR211" s="93"/>
      <c r="GS211" s="93"/>
      <c r="GT211" s="93"/>
      <c r="GU211" s="93"/>
      <c r="GV211" s="93"/>
      <c r="GW211" s="93"/>
      <c r="GX211" s="93"/>
      <c r="GY211" s="93"/>
      <c r="GZ211" s="93"/>
      <c r="HA211" s="93"/>
      <c r="HB211" s="93"/>
      <c r="HC211" s="93"/>
      <c r="HD211" s="93"/>
      <c r="HE211" s="93"/>
      <c r="HF211" s="93"/>
      <c r="HG211" s="93"/>
    </row>
    <row r="212" spans="14:215" x14ac:dyDescent="0.2">
      <c r="N212" s="93" t="s">
        <v>329</v>
      </c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3"/>
      <c r="AW212" s="93"/>
      <c r="AX212" s="93"/>
      <c r="AY212" s="93"/>
      <c r="AZ212" s="93"/>
      <c r="BA212" s="93"/>
      <c r="BB212" s="93"/>
      <c r="BC212" s="93"/>
      <c r="BD212" s="93"/>
      <c r="BE212" s="93"/>
      <c r="BF212" s="93"/>
      <c r="BG212" s="93"/>
      <c r="BH212" s="93"/>
      <c r="BI212" s="93"/>
      <c r="BJ212" s="93"/>
      <c r="BK212" s="93"/>
      <c r="BL212" s="93"/>
      <c r="BM212" s="93"/>
      <c r="BN212" s="93"/>
      <c r="BO212" s="93"/>
      <c r="BP212" s="93"/>
      <c r="BQ212" s="93"/>
      <c r="BR212" s="93"/>
      <c r="BS212" s="93"/>
      <c r="BT212" s="93"/>
      <c r="BU212" s="93"/>
      <c r="BV212" s="93"/>
      <c r="BW212" s="93"/>
      <c r="BX212" s="93"/>
      <c r="BY212" s="93"/>
      <c r="BZ212" s="93"/>
      <c r="CA212" s="93"/>
      <c r="CB212" s="93"/>
      <c r="CC212" s="93"/>
      <c r="CD212" s="93"/>
      <c r="CE212" s="93"/>
      <c r="CF212" s="93"/>
      <c r="CG212" s="93"/>
      <c r="CH212" s="93"/>
      <c r="CI212" s="93"/>
      <c r="CJ212" s="93"/>
      <c r="CK212" s="93"/>
      <c r="CL212" s="93"/>
      <c r="CM212" s="93"/>
      <c r="CN212" s="93"/>
      <c r="CO212" s="93"/>
      <c r="CP212" s="93"/>
      <c r="CQ212" s="93"/>
      <c r="CR212" s="93"/>
      <c r="CS212" s="93"/>
      <c r="CT212" s="93"/>
      <c r="CU212" s="93"/>
      <c r="CV212" s="93"/>
      <c r="CW212" s="93"/>
      <c r="CX212" s="93"/>
      <c r="CY212" s="93"/>
      <c r="CZ212" s="93"/>
      <c r="DA212" s="93"/>
      <c r="DB212" s="93"/>
      <c r="DC212" s="93"/>
      <c r="DD212" s="93"/>
      <c r="DE212" s="93"/>
      <c r="DF212" s="93"/>
      <c r="DG212" s="93"/>
      <c r="DH212" s="93"/>
      <c r="DI212" s="93"/>
      <c r="DJ212" s="93"/>
      <c r="DK212" s="93"/>
      <c r="DL212" s="93">
        <v>0.33222958057395141</v>
      </c>
      <c r="DM212" s="93"/>
      <c r="DN212" s="93"/>
      <c r="DO212" s="93"/>
      <c r="DP212" s="93"/>
      <c r="DQ212" s="93"/>
      <c r="DR212" s="93"/>
      <c r="DS212" s="93"/>
      <c r="DT212" s="93"/>
      <c r="DU212" s="93"/>
      <c r="DV212" s="93"/>
      <c r="DW212" s="93"/>
      <c r="DX212" s="93"/>
      <c r="DY212" s="93"/>
      <c r="DZ212" s="93"/>
      <c r="EA212" s="93"/>
      <c r="EB212" s="93"/>
      <c r="EC212" s="93"/>
      <c r="ED212" s="93"/>
      <c r="EE212" s="93"/>
      <c r="EF212" s="93"/>
      <c r="EG212" s="93"/>
      <c r="EH212" s="93"/>
      <c r="EI212" s="93"/>
      <c r="EJ212" s="93"/>
      <c r="EK212" s="93"/>
      <c r="EL212" s="93"/>
      <c r="EM212" s="93"/>
      <c r="EN212" s="93"/>
      <c r="EO212" s="93"/>
      <c r="EP212" s="93"/>
      <c r="EQ212" s="93"/>
      <c r="ER212" s="93"/>
      <c r="ES212" s="93"/>
      <c r="ET212" s="93"/>
      <c r="EU212" s="93"/>
      <c r="EV212" s="93"/>
      <c r="EW212" s="93"/>
      <c r="EX212" s="93"/>
      <c r="EY212" s="93"/>
      <c r="EZ212" s="93"/>
      <c r="FA212" s="93"/>
      <c r="FB212" s="93"/>
      <c r="FC212" s="93"/>
      <c r="FD212" s="93"/>
      <c r="FE212" s="93"/>
      <c r="FF212" s="93"/>
      <c r="FG212" s="93"/>
      <c r="FH212" s="93"/>
      <c r="FI212" s="93"/>
      <c r="FJ212" s="93"/>
      <c r="FK212" s="93"/>
      <c r="FL212" s="93"/>
      <c r="FM212" s="93"/>
      <c r="FN212" s="93"/>
      <c r="FO212" s="93"/>
      <c r="FP212" s="93"/>
      <c r="FQ212" s="93"/>
      <c r="FR212" s="93"/>
      <c r="FS212" s="93"/>
      <c r="FT212" s="93"/>
      <c r="FU212" s="93"/>
      <c r="FV212" s="93"/>
      <c r="FW212" s="93"/>
      <c r="FX212" s="93"/>
      <c r="FY212" s="93"/>
      <c r="FZ212" s="93"/>
      <c r="GA212" s="93"/>
      <c r="GB212" s="93"/>
      <c r="GC212" s="93"/>
      <c r="GD212" s="93"/>
      <c r="GE212" s="93"/>
      <c r="GF212" s="93"/>
      <c r="GG212" s="93"/>
      <c r="GH212" s="93"/>
      <c r="GI212" s="93"/>
      <c r="GJ212" s="93"/>
      <c r="GK212" s="93"/>
      <c r="GL212" s="93"/>
      <c r="GM212" s="93"/>
      <c r="GN212" s="93"/>
      <c r="GO212" s="93"/>
      <c r="GP212" s="93"/>
      <c r="GQ212" s="93"/>
      <c r="GR212" s="93"/>
      <c r="GS212" s="93"/>
      <c r="GT212" s="93"/>
      <c r="GU212" s="93"/>
      <c r="GV212" s="93"/>
      <c r="GW212" s="93"/>
      <c r="GX212" s="93"/>
      <c r="GY212" s="93"/>
      <c r="GZ212" s="93"/>
      <c r="HA212" s="93"/>
      <c r="HB212" s="93"/>
      <c r="HC212" s="93"/>
      <c r="HD212" s="93"/>
      <c r="HE212" s="93"/>
      <c r="HF212" s="93"/>
      <c r="HG212" s="93"/>
    </row>
    <row r="213" spans="14:215" x14ac:dyDescent="0.2">
      <c r="N213" s="93" t="s">
        <v>330</v>
      </c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  <c r="BI213" s="93"/>
      <c r="BJ213" s="93"/>
      <c r="BK213" s="93"/>
      <c r="BL213" s="93"/>
      <c r="BM213" s="93"/>
      <c r="BN213" s="93"/>
      <c r="BO213" s="93"/>
      <c r="BP213" s="93"/>
      <c r="BQ213" s="93"/>
      <c r="BR213" s="93"/>
      <c r="BS213" s="93"/>
      <c r="BT213" s="93"/>
      <c r="BU213" s="93"/>
      <c r="BV213" s="93"/>
      <c r="BW213" s="93"/>
      <c r="BX213" s="93"/>
      <c r="BY213" s="93"/>
      <c r="BZ213" s="93"/>
      <c r="CA213" s="93"/>
      <c r="CB213" s="93"/>
      <c r="CC213" s="93"/>
      <c r="CD213" s="93"/>
      <c r="CE213" s="93"/>
      <c r="CF213" s="93"/>
      <c r="CG213" s="93"/>
      <c r="CH213" s="93"/>
      <c r="CI213" s="93"/>
      <c r="CJ213" s="93"/>
      <c r="CK213" s="93"/>
      <c r="CL213" s="93"/>
      <c r="CM213" s="93"/>
      <c r="CN213" s="93"/>
      <c r="CO213" s="93"/>
      <c r="CP213" s="93"/>
      <c r="CQ213" s="93"/>
      <c r="CR213" s="93"/>
      <c r="CS213" s="93"/>
      <c r="CT213" s="93"/>
      <c r="CU213" s="93"/>
      <c r="CV213" s="93"/>
      <c r="CW213" s="93"/>
      <c r="CX213" s="93"/>
      <c r="CY213" s="93"/>
      <c r="CZ213" s="93"/>
      <c r="DA213" s="93"/>
      <c r="DB213" s="93"/>
      <c r="DC213" s="93"/>
      <c r="DD213" s="93"/>
      <c r="DE213" s="93"/>
      <c r="DF213" s="93"/>
      <c r="DG213" s="93"/>
      <c r="DH213" s="93"/>
      <c r="DI213" s="93"/>
      <c r="DJ213" s="93"/>
      <c r="DK213" s="93"/>
      <c r="DL213" s="93"/>
      <c r="DM213" s="93">
        <v>0.33224043715846996</v>
      </c>
      <c r="DN213" s="93"/>
      <c r="DO213" s="93"/>
      <c r="DP213" s="93"/>
      <c r="DQ213" s="93"/>
      <c r="DR213" s="93"/>
      <c r="DS213" s="93"/>
      <c r="DT213" s="93"/>
      <c r="DU213" s="93"/>
      <c r="DV213" s="93"/>
      <c r="DW213" s="93"/>
      <c r="DX213" s="93"/>
      <c r="DY213" s="93"/>
      <c r="DZ213" s="93"/>
      <c r="EA213" s="93"/>
      <c r="EB213" s="93"/>
      <c r="EC213" s="93"/>
      <c r="ED213" s="93"/>
      <c r="EE213" s="93"/>
      <c r="EF213" s="93"/>
      <c r="EG213" s="93"/>
      <c r="EH213" s="93"/>
      <c r="EI213" s="93"/>
      <c r="EJ213" s="93"/>
      <c r="EK213" s="93"/>
      <c r="EL213" s="93"/>
      <c r="EM213" s="93"/>
      <c r="EN213" s="93"/>
      <c r="EO213" s="93"/>
      <c r="EP213" s="93"/>
      <c r="EQ213" s="93"/>
      <c r="ER213" s="93"/>
      <c r="ES213" s="93"/>
      <c r="ET213" s="93"/>
      <c r="EU213" s="93"/>
      <c r="EV213" s="93"/>
      <c r="EW213" s="93"/>
      <c r="EX213" s="93"/>
      <c r="EY213" s="93"/>
      <c r="EZ213" s="93"/>
      <c r="FA213" s="93"/>
      <c r="FB213" s="93"/>
      <c r="FC213" s="93"/>
      <c r="FD213" s="93"/>
      <c r="FE213" s="93"/>
      <c r="FF213" s="93"/>
      <c r="FG213" s="93"/>
      <c r="FH213" s="93"/>
      <c r="FI213" s="93"/>
      <c r="FJ213" s="93"/>
      <c r="FK213" s="93"/>
      <c r="FL213" s="93"/>
      <c r="FM213" s="93"/>
      <c r="FN213" s="93"/>
      <c r="FO213" s="93"/>
      <c r="FP213" s="93"/>
      <c r="FQ213" s="93"/>
      <c r="FR213" s="93"/>
      <c r="FS213" s="93"/>
      <c r="FT213" s="93"/>
      <c r="FU213" s="93"/>
      <c r="FV213" s="93"/>
      <c r="FW213" s="93"/>
      <c r="FX213" s="93"/>
      <c r="FY213" s="93"/>
      <c r="FZ213" s="93"/>
      <c r="GA213" s="93"/>
      <c r="GB213" s="93"/>
      <c r="GC213" s="93"/>
      <c r="GD213" s="93"/>
      <c r="GE213" s="93"/>
      <c r="GF213" s="93"/>
      <c r="GG213" s="93"/>
      <c r="GH213" s="93"/>
      <c r="GI213" s="93"/>
      <c r="GJ213" s="93"/>
      <c r="GK213" s="93"/>
      <c r="GL213" s="93"/>
      <c r="GM213" s="93"/>
      <c r="GN213" s="93"/>
      <c r="GO213" s="93"/>
      <c r="GP213" s="93"/>
      <c r="GQ213" s="93"/>
      <c r="GR213" s="93"/>
      <c r="GS213" s="93"/>
      <c r="GT213" s="93"/>
      <c r="GU213" s="93"/>
      <c r="GV213" s="93"/>
      <c r="GW213" s="93"/>
      <c r="GX213" s="93"/>
      <c r="GY213" s="93"/>
      <c r="GZ213" s="93"/>
      <c r="HA213" s="93"/>
      <c r="HB213" s="93"/>
      <c r="HC213" s="93"/>
      <c r="HD213" s="93"/>
      <c r="HE213" s="93"/>
      <c r="HF213" s="93"/>
      <c r="HG213" s="93"/>
    </row>
    <row r="214" spans="14:215" x14ac:dyDescent="0.2">
      <c r="N214" s="93" t="s">
        <v>331</v>
      </c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3"/>
      <c r="AW214" s="93"/>
      <c r="AX214" s="93"/>
      <c r="AY214" s="93"/>
      <c r="AZ214" s="93"/>
      <c r="BA214" s="93"/>
      <c r="BB214" s="93"/>
      <c r="BC214" s="93"/>
      <c r="BD214" s="93"/>
      <c r="BE214" s="93"/>
      <c r="BF214" s="93"/>
      <c r="BG214" s="93"/>
      <c r="BH214" s="93"/>
      <c r="BI214" s="93"/>
      <c r="BJ214" s="93"/>
      <c r="BK214" s="93"/>
      <c r="BL214" s="93"/>
      <c r="BM214" s="93"/>
      <c r="BN214" s="93"/>
      <c r="BO214" s="93"/>
      <c r="BP214" s="93"/>
      <c r="BQ214" s="93"/>
      <c r="BR214" s="93"/>
      <c r="BS214" s="93"/>
      <c r="BT214" s="93"/>
      <c r="BU214" s="93"/>
      <c r="BV214" s="93"/>
      <c r="BW214" s="93"/>
      <c r="BX214" s="93"/>
      <c r="BY214" s="93"/>
      <c r="BZ214" s="93"/>
      <c r="CA214" s="93"/>
      <c r="CB214" s="93"/>
      <c r="CC214" s="93"/>
      <c r="CD214" s="93"/>
      <c r="CE214" s="93"/>
      <c r="CF214" s="93"/>
      <c r="CG214" s="93"/>
      <c r="CH214" s="93"/>
      <c r="CI214" s="93"/>
      <c r="CJ214" s="93"/>
      <c r="CK214" s="93"/>
      <c r="CL214" s="93"/>
      <c r="CM214" s="93"/>
      <c r="CN214" s="93"/>
      <c r="CO214" s="93"/>
      <c r="CP214" s="93"/>
      <c r="CQ214" s="93"/>
      <c r="CR214" s="93"/>
      <c r="CS214" s="93"/>
      <c r="CT214" s="93"/>
      <c r="CU214" s="93"/>
      <c r="CV214" s="93"/>
      <c r="CW214" s="93"/>
      <c r="CX214" s="93"/>
      <c r="CY214" s="93"/>
      <c r="CZ214" s="93"/>
      <c r="DA214" s="93"/>
      <c r="DB214" s="93"/>
      <c r="DC214" s="93"/>
      <c r="DD214" s="93"/>
      <c r="DE214" s="93"/>
      <c r="DF214" s="93"/>
      <c r="DG214" s="93"/>
      <c r="DH214" s="93"/>
      <c r="DI214" s="93"/>
      <c r="DJ214" s="93"/>
      <c r="DK214" s="93"/>
      <c r="DL214" s="93"/>
      <c r="DM214" s="93"/>
      <c r="DN214" s="93">
        <v>0.33225108225108224</v>
      </c>
      <c r="DO214" s="93"/>
      <c r="DP214" s="93"/>
      <c r="DQ214" s="93"/>
      <c r="DR214" s="93"/>
      <c r="DS214" s="93"/>
      <c r="DT214" s="93"/>
      <c r="DU214" s="93"/>
      <c r="DV214" s="93"/>
      <c r="DW214" s="93"/>
      <c r="DX214" s="93"/>
      <c r="DY214" s="93"/>
      <c r="DZ214" s="93"/>
      <c r="EA214" s="93"/>
      <c r="EB214" s="93"/>
      <c r="EC214" s="93"/>
      <c r="ED214" s="93"/>
      <c r="EE214" s="93"/>
      <c r="EF214" s="93"/>
      <c r="EG214" s="93"/>
      <c r="EH214" s="93"/>
      <c r="EI214" s="93"/>
      <c r="EJ214" s="93"/>
      <c r="EK214" s="93"/>
      <c r="EL214" s="93"/>
      <c r="EM214" s="93"/>
      <c r="EN214" s="93"/>
      <c r="EO214" s="93"/>
      <c r="EP214" s="93"/>
      <c r="EQ214" s="93"/>
      <c r="ER214" s="93"/>
      <c r="ES214" s="93"/>
      <c r="ET214" s="93"/>
      <c r="EU214" s="93"/>
      <c r="EV214" s="93"/>
      <c r="EW214" s="93"/>
      <c r="EX214" s="93"/>
      <c r="EY214" s="93"/>
      <c r="EZ214" s="93"/>
      <c r="FA214" s="93"/>
      <c r="FB214" s="93"/>
      <c r="FC214" s="93"/>
      <c r="FD214" s="93"/>
      <c r="FE214" s="93"/>
      <c r="FF214" s="93"/>
      <c r="FG214" s="93"/>
      <c r="FH214" s="93"/>
      <c r="FI214" s="93"/>
      <c r="FJ214" s="93"/>
      <c r="FK214" s="93"/>
      <c r="FL214" s="93"/>
      <c r="FM214" s="93"/>
      <c r="FN214" s="93"/>
      <c r="FO214" s="93"/>
      <c r="FP214" s="93"/>
      <c r="FQ214" s="93"/>
      <c r="FR214" s="93"/>
      <c r="FS214" s="93"/>
      <c r="FT214" s="93"/>
      <c r="FU214" s="93"/>
      <c r="FV214" s="93"/>
      <c r="FW214" s="93"/>
      <c r="FX214" s="93"/>
      <c r="FY214" s="93"/>
      <c r="FZ214" s="93"/>
      <c r="GA214" s="93"/>
      <c r="GB214" s="93"/>
      <c r="GC214" s="93"/>
      <c r="GD214" s="93"/>
      <c r="GE214" s="93"/>
      <c r="GF214" s="93"/>
      <c r="GG214" s="93"/>
      <c r="GH214" s="93"/>
      <c r="GI214" s="93"/>
      <c r="GJ214" s="93"/>
      <c r="GK214" s="93"/>
      <c r="GL214" s="93"/>
      <c r="GM214" s="93"/>
      <c r="GN214" s="93"/>
      <c r="GO214" s="93"/>
      <c r="GP214" s="93"/>
      <c r="GQ214" s="93"/>
      <c r="GR214" s="93"/>
      <c r="GS214" s="93"/>
      <c r="GT214" s="93"/>
      <c r="GU214" s="93"/>
      <c r="GV214" s="93"/>
      <c r="GW214" s="93"/>
      <c r="GX214" s="93"/>
      <c r="GY214" s="93"/>
      <c r="GZ214" s="93"/>
      <c r="HA214" s="93"/>
      <c r="HB214" s="93"/>
      <c r="HC214" s="93"/>
      <c r="HD214" s="93"/>
      <c r="HE214" s="93"/>
      <c r="HF214" s="93"/>
      <c r="HG214" s="93"/>
    </row>
    <row r="215" spans="14:215" x14ac:dyDescent="0.2">
      <c r="N215" s="93" t="s">
        <v>332</v>
      </c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  <c r="BI215" s="93"/>
      <c r="BJ215" s="93"/>
      <c r="BK215" s="93"/>
      <c r="BL215" s="93"/>
      <c r="BM215" s="93"/>
      <c r="BN215" s="93"/>
      <c r="BO215" s="93"/>
      <c r="BP215" s="93"/>
      <c r="BQ215" s="93"/>
      <c r="BR215" s="93"/>
      <c r="BS215" s="93"/>
      <c r="BT215" s="93"/>
      <c r="BU215" s="93"/>
      <c r="BV215" s="93"/>
      <c r="BW215" s="93"/>
      <c r="BX215" s="93"/>
      <c r="BY215" s="93"/>
      <c r="BZ215" s="93"/>
      <c r="CA215" s="93"/>
      <c r="CB215" s="93"/>
      <c r="CC215" s="93"/>
      <c r="CD215" s="93"/>
      <c r="CE215" s="93"/>
      <c r="CF215" s="93"/>
      <c r="CG215" s="93"/>
      <c r="CH215" s="93"/>
      <c r="CI215" s="93"/>
      <c r="CJ215" s="93"/>
      <c r="CK215" s="93"/>
      <c r="CL215" s="93"/>
      <c r="CM215" s="93"/>
      <c r="CN215" s="93"/>
      <c r="CO215" s="93"/>
      <c r="CP215" s="93"/>
      <c r="CQ215" s="93"/>
      <c r="CR215" s="93"/>
      <c r="CS215" s="93"/>
      <c r="CT215" s="93"/>
      <c r="CU215" s="93"/>
      <c r="CV215" s="93"/>
      <c r="CW215" s="93"/>
      <c r="CX215" s="93"/>
      <c r="CY215" s="93"/>
      <c r="CZ215" s="93"/>
      <c r="DA215" s="93"/>
      <c r="DB215" s="93"/>
      <c r="DC215" s="93"/>
      <c r="DD215" s="93"/>
      <c r="DE215" s="93"/>
      <c r="DF215" s="93"/>
      <c r="DG215" s="93"/>
      <c r="DH215" s="93"/>
      <c r="DI215" s="93"/>
      <c r="DJ215" s="93"/>
      <c r="DK215" s="93"/>
      <c r="DL215" s="93"/>
      <c r="DM215" s="93"/>
      <c r="DN215" s="93"/>
      <c r="DO215" s="93">
        <v>0.33226152197213288</v>
      </c>
      <c r="DP215" s="93"/>
      <c r="DQ215" s="93"/>
      <c r="DR215" s="93"/>
      <c r="DS215" s="93"/>
      <c r="DT215" s="93"/>
      <c r="DU215" s="93"/>
      <c r="DV215" s="93"/>
      <c r="DW215" s="93"/>
      <c r="DX215" s="93"/>
      <c r="DY215" s="93"/>
      <c r="DZ215" s="93"/>
      <c r="EA215" s="93"/>
      <c r="EB215" s="93"/>
      <c r="EC215" s="93"/>
      <c r="ED215" s="93"/>
      <c r="EE215" s="93"/>
      <c r="EF215" s="93"/>
      <c r="EG215" s="93"/>
      <c r="EH215" s="93"/>
      <c r="EI215" s="93"/>
      <c r="EJ215" s="93"/>
      <c r="EK215" s="93"/>
      <c r="EL215" s="93"/>
      <c r="EM215" s="93"/>
      <c r="EN215" s="93"/>
      <c r="EO215" s="93"/>
      <c r="EP215" s="93"/>
      <c r="EQ215" s="93"/>
      <c r="ER215" s="93"/>
      <c r="ES215" s="93"/>
      <c r="ET215" s="93"/>
      <c r="EU215" s="93"/>
      <c r="EV215" s="93"/>
      <c r="EW215" s="93"/>
      <c r="EX215" s="93"/>
      <c r="EY215" s="93"/>
      <c r="EZ215" s="93"/>
      <c r="FA215" s="93"/>
      <c r="FB215" s="93"/>
      <c r="FC215" s="93"/>
      <c r="FD215" s="93"/>
      <c r="FE215" s="93"/>
      <c r="FF215" s="93"/>
      <c r="FG215" s="93"/>
      <c r="FH215" s="93"/>
      <c r="FI215" s="93"/>
      <c r="FJ215" s="93"/>
      <c r="FK215" s="93"/>
      <c r="FL215" s="93"/>
      <c r="FM215" s="93"/>
      <c r="FN215" s="93"/>
      <c r="FO215" s="93"/>
      <c r="FP215" s="93"/>
      <c r="FQ215" s="93"/>
      <c r="FR215" s="93"/>
      <c r="FS215" s="93"/>
      <c r="FT215" s="93"/>
      <c r="FU215" s="93"/>
      <c r="FV215" s="93"/>
      <c r="FW215" s="93"/>
      <c r="FX215" s="93"/>
      <c r="FY215" s="93"/>
      <c r="FZ215" s="93"/>
      <c r="GA215" s="93"/>
      <c r="GB215" s="93"/>
      <c r="GC215" s="93"/>
      <c r="GD215" s="93"/>
      <c r="GE215" s="93"/>
      <c r="GF215" s="93"/>
      <c r="GG215" s="93"/>
      <c r="GH215" s="93"/>
      <c r="GI215" s="93"/>
      <c r="GJ215" s="93"/>
      <c r="GK215" s="93"/>
      <c r="GL215" s="93"/>
      <c r="GM215" s="93"/>
      <c r="GN215" s="93"/>
      <c r="GO215" s="93"/>
      <c r="GP215" s="93"/>
      <c r="GQ215" s="93"/>
      <c r="GR215" s="93"/>
      <c r="GS215" s="93"/>
      <c r="GT215" s="93"/>
      <c r="GU215" s="93"/>
      <c r="GV215" s="93"/>
      <c r="GW215" s="93"/>
      <c r="GX215" s="93"/>
      <c r="GY215" s="93"/>
      <c r="GZ215" s="93"/>
      <c r="HA215" s="93"/>
      <c r="HB215" s="93"/>
      <c r="HC215" s="93"/>
      <c r="HD215" s="93"/>
      <c r="HE215" s="93"/>
      <c r="HF215" s="93"/>
      <c r="HG215" s="93"/>
    </row>
    <row r="216" spans="14:215" x14ac:dyDescent="0.2">
      <c r="N216" s="93" t="s">
        <v>333</v>
      </c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93"/>
      <c r="BA216" s="93"/>
      <c r="BB216" s="93"/>
      <c r="BC216" s="93"/>
      <c r="BD216" s="93"/>
      <c r="BE216" s="93"/>
      <c r="BF216" s="93"/>
      <c r="BG216" s="93"/>
      <c r="BH216" s="93"/>
      <c r="BI216" s="93"/>
      <c r="BJ216" s="93"/>
      <c r="BK216" s="93"/>
      <c r="BL216" s="93"/>
      <c r="BM216" s="93"/>
      <c r="BN216" s="93"/>
      <c r="BO216" s="93"/>
      <c r="BP216" s="93"/>
      <c r="BQ216" s="93"/>
      <c r="BR216" s="93"/>
      <c r="BS216" s="93"/>
      <c r="BT216" s="93"/>
      <c r="BU216" s="93"/>
      <c r="BV216" s="93"/>
      <c r="BW216" s="93"/>
      <c r="BX216" s="93"/>
      <c r="BY216" s="93"/>
      <c r="BZ216" s="93"/>
      <c r="CA216" s="93"/>
      <c r="CB216" s="93"/>
      <c r="CC216" s="93"/>
      <c r="CD216" s="93"/>
      <c r="CE216" s="93"/>
      <c r="CF216" s="93"/>
      <c r="CG216" s="93"/>
      <c r="CH216" s="93"/>
      <c r="CI216" s="93"/>
      <c r="CJ216" s="93"/>
      <c r="CK216" s="93"/>
      <c r="CL216" s="93"/>
      <c r="CM216" s="93"/>
      <c r="CN216" s="93"/>
      <c r="CO216" s="93"/>
      <c r="CP216" s="93"/>
      <c r="CQ216" s="93"/>
      <c r="CR216" s="93"/>
      <c r="CS216" s="93"/>
      <c r="CT216" s="93"/>
      <c r="CU216" s="93"/>
      <c r="CV216" s="93"/>
      <c r="CW216" s="93"/>
      <c r="CX216" s="93"/>
      <c r="CY216" s="93"/>
      <c r="CZ216" s="93"/>
      <c r="DA216" s="93"/>
      <c r="DB216" s="93"/>
      <c r="DC216" s="93"/>
      <c r="DD216" s="93"/>
      <c r="DE216" s="93"/>
      <c r="DF216" s="93"/>
      <c r="DG216" s="93"/>
      <c r="DH216" s="93"/>
      <c r="DI216" s="93"/>
      <c r="DJ216" s="93"/>
      <c r="DK216" s="93"/>
      <c r="DL216" s="93"/>
      <c r="DM216" s="93"/>
      <c r="DN216" s="93"/>
      <c r="DO216" s="93"/>
      <c r="DP216" s="93">
        <v>0.33227176220806792</v>
      </c>
      <c r="DQ216" s="93"/>
      <c r="DR216" s="93"/>
      <c r="DS216" s="93"/>
      <c r="DT216" s="93"/>
      <c r="DU216" s="93"/>
      <c r="DV216" s="93"/>
      <c r="DW216" s="93"/>
      <c r="DX216" s="93"/>
      <c r="DY216" s="93"/>
      <c r="DZ216" s="93"/>
      <c r="EA216" s="93"/>
      <c r="EB216" s="93"/>
      <c r="EC216" s="93"/>
      <c r="ED216" s="93"/>
      <c r="EE216" s="93"/>
      <c r="EF216" s="93"/>
      <c r="EG216" s="93"/>
      <c r="EH216" s="93"/>
      <c r="EI216" s="93"/>
      <c r="EJ216" s="93"/>
      <c r="EK216" s="93"/>
      <c r="EL216" s="93"/>
      <c r="EM216" s="93"/>
      <c r="EN216" s="93"/>
      <c r="EO216" s="93"/>
      <c r="EP216" s="93"/>
      <c r="EQ216" s="93"/>
      <c r="ER216" s="93"/>
      <c r="ES216" s="93"/>
      <c r="ET216" s="93"/>
      <c r="EU216" s="93"/>
      <c r="EV216" s="93"/>
      <c r="EW216" s="93"/>
      <c r="EX216" s="93"/>
      <c r="EY216" s="93"/>
      <c r="EZ216" s="93"/>
      <c r="FA216" s="93"/>
      <c r="FB216" s="93"/>
      <c r="FC216" s="93"/>
      <c r="FD216" s="93"/>
      <c r="FE216" s="93"/>
      <c r="FF216" s="93"/>
      <c r="FG216" s="93"/>
      <c r="FH216" s="93"/>
      <c r="FI216" s="93"/>
      <c r="FJ216" s="93"/>
      <c r="FK216" s="93"/>
      <c r="FL216" s="93"/>
      <c r="FM216" s="93"/>
      <c r="FN216" s="93"/>
      <c r="FO216" s="93"/>
      <c r="FP216" s="93"/>
      <c r="FQ216" s="93"/>
      <c r="FR216" s="93"/>
      <c r="FS216" s="93"/>
      <c r="FT216" s="93"/>
      <c r="FU216" s="93"/>
      <c r="FV216" s="93"/>
      <c r="FW216" s="93"/>
      <c r="FX216" s="93"/>
      <c r="FY216" s="93"/>
      <c r="FZ216" s="93"/>
      <c r="GA216" s="93"/>
      <c r="GB216" s="93"/>
      <c r="GC216" s="93"/>
      <c r="GD216" s="93"/>
      <c r="GE216" s="93"/>
      <c r="GF216" s="93"/>
      <c r="GG216" s="93"/>
      <c r="GH216" s="93"/>
      <c r="GI216" s="93"/>
      <c r="GJ216" s="93"/>
      <c r="GK216" s="93"/>
      <c r="GL216" s="93"/>
      <c r="GM216" s="93"/>
      <c r="GN216" s="93"/>
      <c r="GO216" s="93"/>
      <c r="GP216" s="93"/>
      <c r="GQ216" s="93"/>
      <c r="GR216" s="93"/>
      <c r="GS216" s="93"/>
      <c r="GT216" s="93"/>
      <c r="GU216" s="93"/>
      <c r="GV216" s="93"/>
      <c r="GW216" s="93"/>
      <c r="GX216" s="93"/>
      <c r="GY216" s="93"/>
      <c r="GZ216" s="93"/>
      <c r="HA216" s="93"/>
      <c r="HB216" s="93"/>
      <c r="HC216" s="93"/>
      <c r="HD216" s="93"/>
      <c r="HE216" s="93"/>
      <c r="HF216" s="93"/>
      <c r="HG216" s="93"/>
    </row>
    <row r="217" spans="14:215" x14ac:dyDescent="0.2">
      <c r="N217" s="93" t="s">
        <v>334</v>
      </c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  <c r="BI217" s="93"/>
      <c r="BJ217" s="93"/>
      <c r="BK217" s="93"/>
      <c r="BL217" s="93"/>
      <c r="BM217" s="93"/>
      <c r="BN217" s="93"/>
      <c r="BO217" s="93"/>
      <c r="BP217" s="93"/>
      <c r="BQ217" s="93"/>
      <c r="BR217" s="93"/>
      <c r="BS217" s="93"/>
      <c r="BT217" s="93"/>
      <c r="BU217" s="93"/>
      <c r="BV217" s="93"/>
      <c r="BW217" s="93"/>
      <c r="BX217" s="93"/>
      <c r="BY217" s="93"/>
      <c r="BZ217" s="93"/>
      <c r="CA217" s="93"/>
      <c r="CB217" s="93"/>
      <c r="CC217" s="93"/>
      <c r="CD217" s="93"/>
      <c r="CE217" s="93"/>
      <c r="CF217" s="93"/>
      <c r="CG217" s="93"/>
      <c r="CH217" s="93"/>
      <c r="CI217" s="93"/>
      <c r="CJ217" s="93"/>
      <c r="CK217" s="93"/>
      <c r="CL217" s="93"/>
      <c r="CM217" s="93"/>
      <c r="CN217" s="93"/>
      <c r="CO217" s="93"/>
      <c r="CP217" s="93"/>
      <c r="CQ217" s="93"/>
      <c r="CR217" s="93"/>
      <c r="CS217" s="93"/>
      <c r="CT217" s="93"/>
      <c r="CU217" s="93"/>
      <c r="CV217" s="93"/>
      <c r="CW217" s="93"/>
      <c r="CX217" s="93"/>
      <c r="CY217" s="93"/>
      <c r="CZ217" s="93"/>
      <c r="DA217" s="93"/>
      <c r="DB217" s="93"/>
      <c r="DC217" s="93"/>
      <c r="DD217" s="93"/>
      <c r="DE217" s="93"/>
      <c r="DF217" s="93"/>
      <c r="DG217" s="93"/>
      <c r="DH217" s="93"/>
      <c r="DI217" s="93"/>
      <c r="DJ217" s="93"/>
      <c r="DK217" s="93"/>
      <c r="DL217" s="93"/>
      <c r="DM217" s="93"/>
      <c r="DN217" s="93"/>
      <c r="DO217" s="93"/>
      <c r="DP217" s="93"/>
      <c r="DQ217" s="93">
        <v>0.33228180862250262</v>
      </c>
      <c r="DR217" s="93"/>
      <c r="DS217" s="93"/>
      <c r="DT217" s="93"/>
      <c r="DU217" s="93"/>
      <c r="DV217" s="93"/>
      <c r="DW217" s="93"/>
      <c r="DX217" s="93"/>
      <c r="DY217" s="93"/>
      <c r="DZ217" s="93"/>
      <c r="EA217" s="93"/>
      <c r="EB217" s="93"/>
      <c r="EC217" s="93"/>
      <c r="ED217" s="93"/>
      <c r="EE217" s="93"/>
      <c r="EF217" s="93"/>
      <c r="EG217" s="93"/>
      <c r="EH217" s="93"/>
      <c r="EI217" s="93"/>
      <c r="EJ217" s="93"/>
      <c r="EK217" s="93"/>
      <c r="EL217" s="93"/>
      <c r="EM217" s="93"/>
      <c r="EN217" s="93"/>
      <c r="EO217" s="93"/>
      <c r="EP217" s="93"/>
      <c r="EQ217" s="93"/>
      <c r="ER217" s="93"/>
      <c r="ES217" s="93"/>
      <c r="ET217" s="93"/>
      <c r="EU217" s="93"/>
      <c r="EV217" s="93"/>
      <c r="EW217" s="93"/>
      <c r="EX217" s="93"/>
      <c r="EY217" s="93"/>
      <c r="EZ217" s="93"/>
      <c r="FA217" s="93"/>
      <c r="FB217" s="93"/>
      <c r="FC217" s="93"/>
      <c r="FD217" s="93"/>
      <c r="FE217" s="93"/>
      <c r="FF217" s="93"/>
      <c r="FG217" s="93"/>
      <c r="FH217" s="93"/>
      <c r="FI217" s="93"/>
      <c r="FJ217" s="93"/>
      <c r="FK217" s="93"/>
      <c r="FL217" s="93"/>
      <c r="FM217" s="93"/>
      <c r="FN217" s="93"/>
      <c r="FO217" s="93"/>
      <c r="FP217" s="93"/>
      <c r="FQ217" s="93"/>
      <c r="FR217" s="93"/>
      <c r="FS217" s="93"/>
      <c r="FT217" s="93"/>
      <c r="FU217" s="93"/>
      <c r="FV217" s="93"/>
      <c r="FW217" s="93"/>
      <c r="FX217" s="93"/>
      <c r="FY217" s="93"/>
      <c r="FZ217" s="93"/>
      <c r="GA217" s="93"/>
      <c r="GB217" s="93"/>
      <c r="GC217" s="93"/>
      <c r="GD217" s="93"/>
      <c r="GE217" s="93"/>
      <c r="GF217" s="93"/>
      <c r="GG217" s="93"/>
      <c r="GH217" s="93"/>
      <c r="GI217" s="93"/>
      <c r="GJ217" s="93"/>
      <c r="GK217" s="93"/>
      <c r="GL217" s="93"/>
      <c r="GM217" s="93"/>
      <c r="GN217" s="93"/>
      <c r="GO217" s="93"/>
      <c r="GP217" s="93"/>
      <c r="GQ217" s="93"/>
      <c r="GR217" s="93"/>
      <c r="GS217" s="93"/>
      <c r="GT217" s="93"/>
      <c r="GU217" s="93"/>
      <c r="GV217" s="93"/>
      <c r="GW217" s="93"/>
      <c r="GX217" s="93"/>
      <c r="GY217" s="93"/>
      <c r="GZ217" s="93"/>
      <c r="HA217" s="93"/>
      <c r="HB217" s="93"/>
      <c r="HC217" s="93"/>
      <c r="HD217" s="93"/>
      <c r="HE217" s="93"/>
      <c r="HF217" s="93"/>
      <c r="HG217" s="93"/>
    </row>
    <row r="218" spans="14:215" x14ac:dyDescent="0.2">
      <c r="N218" s="93" t="s">
        <v>335</v>
      </c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3"/>
      <c r="AW218" s="93"/>
      <c r="AX218" s="93"/>
      <c r="AY218" s="93"/>
      <c r="AZ218" s="93"/>
      <c r="BA218" s="93"/>
      <c r="BB218" s="93"/>
      <c r="BC218" s="93"/>
      <c r="BD218" s="93"/>
      <c r="BE218" s="93"/>
      <c r="BF218" s="93"/>
      <c r="BG218" s="93"/>
      <c r="BH218" s="93"/>
      <c r="BI218" s="93"/>
      <c r="BJ218" s="93"/>
      <c r="BK218" s="93"/>
      <c r="BL218" s="93"/>
      <c r="BM218" s="93"/>
      <c r="BN218" s="93"/>
      <c r="BO218" s="93"/>
      <c r="BP218" s="93"/>
      <c r="BQ218" s="93"/>
      <c r="BR218" s="93"/>
      <c r="BS218" s="93"/>
      <c r="BT218" s="93"/>
      <c r="BU218" s="93"/>
      <c r="BV218" s="93"/>
      <c r="BW218" s="93"/>
      <c r="BX218" s="93"/>
      <c r="BY218" s="93"/>
      <c r="BZ218" s="93"/>
      <c r="CA218" s="93"/>
      <c r="CB218" s="93"/>
      <c r="CC218" s="93"/>
      <c r="CD218" s="93"/>
      <c r="CE218" s="93"/>
      <c r="CF218" s="93"/>
      <c r="CG218" s="93"/>
      <c r="CH218" s="93"/>
      <c r="CI218" s="93"/>
      <c r="CJ218" s="93"/>
      <c r="CK218" s="93"/>
      <c r="CL218" s="93"/>
      <c r="CM218" s="93"/>
      <c r="CN218" s="93"/>
      <c r="CO218" s="93"/>
      <c r="CP218" s="93"/>
      <c r="CQ218" s="93"/>
      <c r="CR218" s="93"/>
      <c r="CS218" s="93"/>
      <c r="CT218" s="93"/>
      <c r="CU218" s="93"/>
      <c r="CV218" s="93"/>
      <c r="CW218" s="93"/>
      <c r="CX218" s="93"/>
      <c r="CY218" s="93"/>
      <c r="CZ218" s="93"/>
      <c r="DA218" s="93"/>
      <c r="DB218" s="93"/>
      <c r="DC218" s="93"/>
      <c r="DD218" s="93"/>
      <c r="DE218" s="93"/>
      <c r="DF218" s="93"/>
      <c r="DG218" s="93"/>
      <c r="DH218" s="93"/>
      <c r="DI218" s="93"/>
      <c r="DJ218" s="93"/>
      <c r="DK218" s="93"/>
      <c r="DL218" s="93"/>
      <c r="DM218" s="93"/>
      <c r="DN218" s="93"/>
      <c r="DO218" s="93"/>
      <c r="DP218" s="93"/>
      <c r="DQ218" s="93"/>
      <c r="DR218" s="93">
        <v>0.33229166666666665</v>
      </c>
      <c r="DS218" s="93"/>
      <c r="DT218" s="93"/>
      <c r="DU218" s="93"/>
      <c r="DV218" s="93"/>
      <c r="DW218" s="93"/>
      <c r="DX218" s="93"/>
      <c r="DY218" s="93"/>
      <c r="DZ218" s="93"/>
      <c r="EA218" s="93"/>
      <c r="EB218" s="93"/>
      <c r="EC218" s="93"/>
      <c r="ED218" s="93"/>
      <c r="EE218" s="93"/>
      <c r="EF218" s="93"/>
      <c r="EG218" s="93"/>
      <c r="EH218" s="93"/>
      <c r="EI218" s="93"/>
      <c r="EJ218" s="93"/>
      <c r="EK218" s="93"/>
      <c r="EL218" s="93"/>
      <c r="EM218" s="93"/>
      <c r="EN218" s="93"/>
      <c r="EO218" s="93"/>
      <c r="EP218" s="93"/>
      <c r="EQ218" s="93"/>
      <c r="ER218" s="93"/>
      <c r="ES218" s="93"/>
      <c r="ET218" s="93"/>
      <c r="EU218" s="93"/>
      <c r="EV218" s="93"/>
      <c r="EW218" s="93"/>
      <c r="EX218" s="93"/>
      <c r="EY218" s="93"/>
      <c r="EZ218" s="93"/>
      <c r="FA218" s="93"/>
      <c r="FB218" s="93"/>
      <c r="FC218" s="93"/>
      <c r="FD218" s="93"/>
      <c r="FE218" s="93"/>
      <c r="FF218" s="93"/>
      <c r="FG218" s="93"/>
      <c r="FH218" s="93"/>
      <c r="FI218" s="93"/>
      <c r="FJ218" s="93"/>
      <c r="FK218" s="93"/>
      <c r="FL218" s="93"/>
      <c r="FM218" s="93"/>
      <c r="FN218" s="93"/>
      <c r="FO218" s="93"/>
      <c r="FP218" s="93"/>
      <c r="FQ218" s="93"/>
      <c r="FR218" s="93"/>
      <c r="FS218" s="93"/>
      <c r="FT218" s="93"/>
      <c r="FU218" s="93"/>
      <c r="FV218" s="93"/>
      <c r="FW218" s="93"/>
      <c r="FX218" s="93"/>
      <c r="FY218" s="93"/>
      <c r="FZ218" s="93"/>
      <c r="GA218" s="93"/>
      <c r="GB218" s="93"/>
      <c r="GC218" s="93"/>
      <c r="GD218" s="93"/>
      <c r="GE218" s="93"/>
      <c r="GF218" s="93"/>
      <c r="GG218" s="93"/>
      <c r="GH218" s="93"/>
      <c r="GI218" s="93"/>
      <c r="GJ218" s="93"/>
      <c r="GK218" s="93"/>
      <c r="GL218" s="93"/>
      <c r="GM218" s="93"/>
      <c r="GN218" s="93"/>
      <c r="GO218" s="93"/>
      <c r="GP218" s="93"/>
      <c r="GQ218" s="93"/>
      <c r="GR218" s="93"/>
      <c r="GS218" s="93"/>
      <c r="GT218" s="93"/>
      <c r="GU218" s="93"/>
      <c r="GV218" s="93"/>
      <c r="GW218" s="93"/>
      <c r="GX218" s="93"/>
      <c r="GY218" s="93"/>
      <c r="GZ218" s="93"/>
      <c r="HA218" s="93"/>
      <c r="HB218" s="93"/>
      <c r="HC218" s="93"/>
      <c r="HD218" s="93"/>
      <c r="HE218" s="93"/>
      <c r="HF218" s="93"/>
      <c r="HG218" s="93"/>
    </row>
    <row r="219" spans="14:215" x14ac:dyDescent="0.2">
      <c r="N219" s="93" t="s">
        <v>336</v>
      </c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  <c r="BI219" s="93"/>
      <c r="BJ219" s="93"/>
      <c r="BK219" s="93"/>
      <c r="BL219" s="93"/>
      <c r="BM219" s="93"/>
      <c r="BN219" s="93"/>
      <c r="BO219" s="93"/>
      <c r="BP219" s="93"/>
      <c r="BQ219" s="93"/>
      <c r="BR219" s="93"/>
      <c r="BS219" s="93"/>
      <c r="BT219" s="93"/>
      <c r="BU219" s="93"/>
      <c r="BV219" s="93"/>
      <c r="BW219" s="93"/>
      <c r="BX219" s="93"/>
      <c r="BY219" s="93"/>
      <c r="BZ219" s="93"/>
      <c r="CA219" s="93"/>
      <c r="CB219" s="93"/>
      <c r="CC219" s="93"/>
      <c r="CD219" s="93"/>
      <c r="CE219" s="93"/>
      <c r="CF219" s="93"/>
      <c r="CG219" s="93"/>
      <c r="CH219" s="93"/>
      <c r="CI219" s="93"/>
      <c r="CJ219" s="93"/>
      <c r="CK219" s="93"/>
      <c r="CL219" s="93"/>
      <c r="CM219" s="93"/>
      <c r="CN219" s="93"/>
      <c r="CO219" s="93"/>
      <c r="CP219" s="93"/>
      <c r="CQ219" s="93"/>
      <c r="CR219" s="93"/>
      <c r="CS219" s="93"/>
      <c r="CT219" s="93"/>
      <c r="CU219" s="93"/>
      <c r="CV219" s="93"/>
      <c r="CW219" s="93"/>
      <c r="CX219" s="93"/>
      <c r="CY219" s="93"/>
      <c r="CZ219" s="93"/>
      <c r="DA219" s="93"/>
      <c r="DB219" s="93"/>
      <c r="DC219" s="93"/>
      <c r="DD219" s="93"/>
      <c r="DE219" s="93"/>
      <c r="DF219" s="93"/>
      <c r="DG219" s="93"/>
      <c r="DH219" s="93"/>
      <c r="DI219" s="93"/>
      <c r="DJ219" s="93"/>
      <c r="DK219" s="93"/>
      <c r="DL219" s="93"/>
      <c r="DM219" s="93"/>
      <c r="DN219" s="93"/>
      <c r="DO219" s="93"/>
      <c r="DP219" s="93"/>
      <c r="DQ219" s="93"/>
      <c r="DR219" s="93"/>
      <c r="DS219" s="93">
        <v>0.33230134158926727</v>
      </c>
      <c r="DT219" s="93"/>
      <c r="DU219" s="93"/>
      <c r="DV219" s="93"/>
      <c r="DW219" s="93"/>
      <c r="DX219" s="93"/>
      <c r="DY219" s="93"/>
      <c r="DZ219" s="93"/>
      <c r="EA219" s="93"/>
      <c r="EB219" s="93"/>
      <c r="EC219" s="93"/>
      <c r="ED219" s="93"/>
      <c r="EE219" s="93"/>
      <c r="EF219" s="93"/>
      <c r="EG219" s="93"/>
      <c r="EH219" s="93"/>
      <c r="EI219" s="93"/>
      <c r="EJ219" s="93"/>
      <c r="EK219" s="93"/>
      <c r="EL219" s="93"/>
      <c r="EM219" s="93"/>
      <c r="EN219" s="93"/>
      <c r="EO219" s="93"/>
      <c r="EP219" s="93"/>
      <c r="EQ219" s="93"/>
      <c r="ER219" s="93"/>
      <c r="ES219" s="93"/>
      <c r="ET219" s="93"/>
      <c r="EU219" s="93"/>
      <c r="EV219" s="93"/>
      <c r="EW219" s="93"/>
      <c r="EX219" s="93"/>
      <c r="EY219" s="93"/>
      <c r="EZ219" s="93"/>
      <c r="FA219" s="93"/>
      <c r="FB219" s="93"/>
      <c r="FC219" s="93"/>
      <c r="FD219" s="93"/>
      <c r="FE219" s="93"/>
      <c r="FF219" s="93"/>
      <c r="FG219" s="93"/>
      <c r="FH219" s="93"/>
      <c r="FI219" s="93"/>
      <c r="FJ219" s="93"/>
      <c r="FK219" s="93"/>
      <c r="FL219" s="93"/>
      <c r="FM219" s="93"/>
      <c r="FN219" s="93"/>
      <c r="FO219" s="93"/>
      <c r="FP219" s="93"/>
      <c r="FQ219" s="93"/>
      <c r="FR219" s="93"/>
      <c r="FS219" s="93"/>
      <c r="FT219" s="93"/>
      <c r="FU219" s="93"/>
      <c r="FV219" s="93"/>
      <c r="FW219" s="93"/>
      <c r="FX219" s="93"/>
      <c r="FY219" s="93"/>
      <c r="FZ219" s="93"/>
      <c r="GA219" s="93"/>
      <c r="GB219" s="93"/>
      <c r="GC219" s="93"/>
      <c r="GD219" s="93"/>
      <c r="GE219" s="93"/>
      <c r="GF219" s="93"/>
      <c r="GG219" s="93"/>
      <c r="GH219" s="93"/>
      <c r="GI219" s="93"/>
      <c r="GJ219" s="93"/>
      <c r="GK219" s="93"/>
      <c r="GL219" s="93"/>
      <c r="GM219" s="93"/>
      <c r="GN219" s="93"/>
      <c r="GO219" s="93"/>
      <c r="GP219" s="93"/>
      <c r="GQ219" s="93"/>
      <c r="GR219" s="93"/>
      <c r="GS219" s="93"/>
      <c r="GT219" s="93"/>
      <c r="GU219" s="93"/>
      <c r="GV219" s="93"/>
      <c r="GW219" s="93"/>
      <c r="GX219" s="93"/>
      <c r="GY219" s="93"/>
      <c r="GZ219" s="93"/>
      <c r="HA219" s="93"/>
      <c r="HB219" s="93"/>
      <c r="HC219" s="93"/>
      <c r="HD219" s="93"/>
      <c r="HE219" s="93"/>
      <c r="HF219" s="93"/>
      <c r="HG219" s="93"/>
    </row>
    <row r="220" spans="14:215" x14ac:dyDescent="0.2">
      <c r="N220" s="93" t="s">
        <v>337</v>
      </c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3"/>
      <c r="AW220" s="93"/>
      <c r="AX220" s="93"/>
      <c r="AY220" s="93"/>
      <c r="AZ220" s="93"/>
      <c r="BA220" s="93"/>
      <c r="BB220" s="93"/>
      <c r="BC220" s="93"/>
      <c r="BD220" s="93"/>
      <c r="BE220" s="93"/>
      <c r="BF220" s="93"/>
      <c r="BG220" s="93"/>
      <c r="BH220" s="93"/>
      <c r="BI220" s="93"/>
      <c r="BJ220" s="93"/>
      <c r="BK220" s="93"/>
      <c r="BL220" s="93"/>
      <c r="BM220" s="93"/>
      <c r="BN220" s="93"/>
      <c r="BO220" s="93"/>
      <c r="BP220" s="93"/>
      <c r="BQ220" s="93"/>
      <c r="BR220" s="93"/>
      <c r="BS220" s="93"/>
      <c r="BT220" s="93"/>
      <c r="BU220" s="93"/>
      <c r="BV220" s="93"/>
      <c r="BW220" s="93"/>
      <c r="BX220" s="93"/>
      <c r="BY220" s="93"/>
      <c r="BZ220" s="93"/>
      <c r="CA220" s="93"/>
      <c r="CB220" s="93"/>
      <c r="CC220" s="93"/>
      <c r="CD220" s="93"/>
      <c r="CE220" s="93"/>
      <c r="CF220" s="93"/>
      <c r="CG220" s="93"/>
      <c r="CH220" s="93"/>
      <c r="CI220" s="93"/>
      <c r="CJ220" s="93"/>
      <c r="CK220" s="93"/>
      <c r="CL220" s="93"/>
      <c r="CM220" s="93"/>
      <c r="CN220" s="93"/>
      <c r="CO220" s="93"/>
      <c r="CP220" s="93"/>
      <c r="CQ220" s="93"/>
      <c r="CR220" s="93"/>
      <c r="CS220" s="93"/>
      <c r="CT220" s="93"/>
      <c r="CU220" s="93"/>
      <c r="CV220" s="93"/>
      <c r="CW220" s="93"/>
      <c r="CX220" s="93"/>
      <c r="CY220" s="93"/>
      <c r="CZ220" s="93"/>
      <c r="DA220" s="93"/>
      <c r="DB220" s="93"/>
      <c r="DC220" s="93"/>
      <c r="DD220" s="93"/>
      <c r="DE220" s="93"/>
      <c r="DF220" s="93"/>
      <c r="DG220" s="93"/>
      <c r="DH220" s="93"/>
      <c r="DI220" s="93"/>
      <c r="DJ220" s="93"/>
      <c r="DK220" s="93"/>
      <c r="DL220" s="93"/>
      <c r="DM220" s="93"/>
      <c r="DN220" s="93"/>
      <c r="DO220" s="93"/>
      <c r="DP220" s="93"/>
      <c r="DQ220" s="93"/>
      <c r="DR220" s="93"/>
      <c r="DS220" s="93"/>
      <c r="DT220" s="93">
        <v>0.33231083844580778</v>
      </c>
      <c r="DU220" s="93"/>
      <c r="DV220" s="93"/>
      <c r="DW220" s="93"/>
      <c r="DX220" s="93"/>
      <c r="DY220" s="93"/>
      <c r="DZ220" s="93"/>
      <c r="EA220" s="93"/>
      <c r="EB220" s="93"/>
      <c r="EC220" s="93"/>
      <c r="ED220" s="93"/>
      <c r="EE220" s="93"/>
      <c r="EF220" s="93"/>
      <c r="EG220" s="93"/>
      <c r="EH220" s="93"/>
      <c r="EI220" s="93"/>
      <c r="EJ220" s="93"/>
      <c r="EK220" s="93"/>
      <c r="EL220" s="93"/>
      <c r="EM220" s="93"/>
      <c r="EN220" s="93"/>
      <c r="EO220" s="93"/>
      <c r="EP220" s="93"/>
      <c r="EQ220" s="93"/>
      <c r="ER220" s="93"/>
      <c r="ES220" s="93"/>
      <c r="ET220" s="93"/>
      <c r="EU220" s="93"/>
      <c r="EV220" s="93"/>
      <c r="EW220" s="93"/>
      <c r="EX220" s="93"/>
      <c r="EY220" s="93"/>
      <c r="EZ220" s="93"/>
      <c r="FA220" s="93"/>
      <c r="FB220" s="93"/>
      <c r="FC220" s="93"/>
      <c r="FD220" s="93"/>
      <c r="FE220" s="93"/>
      <c r="FF220" s="93"/>
      <c r="FG220" s="93"/>
      <c r="FH220" s="93"/>
      <c r="FI220" s="93"/>
      <c r="FJ220" s="93"/>
      <c r="FK220" s="93"/>
      <c r="FL220" s="93"/>
      <c r="FM220" s="93"/>
      <c r="FN220" s="93"/>
      <c r="FO220" s="93"/>
      <c r="FP220" s="93"/>
      <c r="FQ220" s="93"/>
      <c r="FR220" s="93"/>
      <c r="FS220" s="93"/>
      <c r="FT220" s="93"/>
      <c r="FU220" s="93"/>
      <c r="FV220" s="93"/>
      <c r="FW220" s="93"/>
      <c r="FX220" s="93"/>
      <c r="FY220" s="93"/>
      <c r="FZ220" s="93"/>
      <c r="GA220" s="93"/>
      <c r="GB220" s="93"/>
      <c r="GC220" s="93"/>
      <c r="GD220" s="93"/>
      <c r="GE220" s="93"/>
      <c r="GF220" s="93"/>
      <c r="GG220" s="93"/>
      <c r="GH220" s="93"/>
      <c r="GI220" s="93"/>
      <c r="GJ220" s="93"/>
      <c r="GK220" s="93"/>
      <c r="GL220" s="93"/>
      <c r="GM220" s="93"/>
      <c r="GN220" s="93"/>
      <c r="GO220" s="93"/>
      <c r="GP220" s="93"/>
      <c r="GQ220" s="93"/>
      <c r="GR220" s="93"/>
      <c r="GS220" s="93"/>
      <c r="GT220" s="93"/>
      <c r="GU220" s="93"/>
      <c r="GV220" s="93"/>
      <c r="GW220" s="93"/>
      <c r="GX220" s="93"/>
      <c r="GY220" s="93"/>
      <c r="GZ220" s="93"/>
      <c r="HA220" s="93"/>
      <c r="HB220" s="93"/>
      <c r="HC220" s="93"/>
      <c r="HD220" s="93"/>
      <c r="HE220" s="93"/>
      <c r="HF220" s="93"/>
      <c r="HG220" s="93"/>
    </row>
    <row r="221" spans="14:215" x14ac:dyDescent="0.2">
      <c r="N221" s="93" t="s">
        <v>338</v>
      </c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  <c r="BI221" s="93"/>
      <c r="BJ221" s="93"/>
      <c r="BK221" s="93"/>
      <c r="BL221" s="93"/>
      <c r="BM221" s="93"/>
      <c r="BN221" s="93"/>
      <c r="BO221" s="93"/>
      <c r="BP221" s="93"/>
      <c r="BQ221" s="93"/>
      <c r="BR221" s="93"/>
      <c r="BS221" s="93"/>
      <c r="BT221" s="93"/>
      <c r="BU221" s="93"/>
      <c r="BV221" s="93"/>
      <c r="BW221" s="93"/>
      <c r="BX221" s="93"/>
      <c r="BY221" s="93"/>
      <c r="BZ221" s="93"/>
      <c r="CA221" s="93"/>
      <c r="CB221" s="93"/>
      <c r="CC221" s="93"/>
      <c r="CD221" s="93"/>
      <c r="CE221" s="93"/>
      <c r="CF221" s="93"/>
      <c r="CG221" s="93"/>
      <c r="CH221" s="93"/>
      <c r="CI221" s="93"/>
      <c r="CJ221" s="93"/>
      <c r="CK221" s="93"/>
      <c r="CL221" s="93"/>
      <c r="CM221" s="93"/>
      <c r="CN221" s="93"/>
      <c r="CO221" s="93"/>
      <c r="CP221" s="93"/>
      <c r="CQ221" s="93"/>
      <c r="CR221" s="93"/>
      <c r="CS221" s="93"/>
      <c r="CT221" s="93"/>
      <c r="CU221" s="93"/>
      <c r="CV221" s="93"/>
      <c r="CW221" s="93"/>
      <c r="CX221" s="93"/>
      <c r="CY221" s="93"/>
      <c r="CZ221" s="93"/>
      <c r="DA221" s="93"/>
      <c r="DB221" s="93"/>
      <c r="DC221" s="93"/>
      <c r="DD221" s="93"/>
      <c r="DE221" s="93"/>
      <c r="DF221" s="93"/>
      <c r="DG221" s="93"/>
      <c r="DH221" s="93"/>
      <c r="DI221" s="93"/>
      <c r="DJ221" s="93"/>
      <c r="DK221" s="93"/>
      <c r="DL221" s="93"/>
      <c r="DM221" s="93"/>
      <c r="DN221" s="93"/>
      <c r="DO221" s="93"/>
      <c r="DP221" s="93"/>
      <c r="DQ221" s="93"/>
      <c r="DR221" s="93"/>
      <c r="DS221" s="93"/>
      <c r="DT221" s="93"/>
      <c r="DU221" s="93">
        <v>0.33232016210739618</v>
      </c>
      <c r="DV221" s="93"/>
      <c r="DW221" s="93"/>
      <c r="DX221" s="93"/>
      <c r="DY221" s="93"/>
      <c r="DZ221" s="93"/>
      <c r="EA221" s="93"/>
      <c r="EB221" s="93"/>
      <c r="EC221" s="93"/>
      <c r="ED221" s="93"/>
      <c r="EE221" s="93"/>
      <c r="EF221" s="93"/>
      <c r="EG221" s="93"/>
      <c r="EH221" s="93"/>
      <c r="EI221" s="93"/>
      <c r="EJ221" s="93"/>
      <c r="EK221" s="93"/>
      <c r="EL221" s="93"/>
      <c r="EM221" s="93"/>
      <c r="EN221" s="93"/>
      <c r="EO221" s="93"/>
      <c r="EP221" s="93"/>
      <c r="EQ221" s="93"/>
      <c r="ER221" s="93"/>
      <c r="ES221" s="93"/>
      <c r="ET221" s="93"/>
      <c r="EU221" s="93"/>
      <c r="EV221" s="93"/>
      <c r="EW221" s="93"/>
      <c r="EX221" s="93"/>
      <c r="EY221" s="93"/>
      <c r="EZ221" s="93"/>
      <c r="FA221" s="93"/>
      <c r="FB221" s="93"/>
      <c r="FC221" s="93"/>
      <c r="FD221" s="93"/>
      <c r="FE221" s="93"/>
      <c r="FF221" s="93"/>
      <c r="FG221" s="93"/>
      <c r="FH221" s="93"/>
      <c r="FI221" s="93"/>
      <c r="FJ221" s="93"/>
      <c r="FK221" s="93"/>
      <c r="FL221" s="93"/>
      <c r="FM221" s="93"/>
      <c r="FN221" s="93"/>
      <c r="FO221" s="93"/>
      <c r="FP221" s="93"/>
      <c r="FQ221" s="93"/>
      <c r="FR221" s="93"/>
      <c r="FS221" s="93"/>
      <c r="FT221" s="93"/>
      <c r="FU221" s="93"/>
      <c r="FV221" s="93"/>
      <c r="FW221" s="93"/>
      <c r="FX221" s="93"/>
      <c r="FY221" s="93"/>
      <c r="FZ221" s="93"/>
      <c r="GA221" s="93"/>
      <c r="GB221" s="93"/>
      <c r="GC221" s="93"/>
      <c r="GD221" s="93"/>
      <c r="GE221" s="93"/>
      <c r="GF221" s="93"/>
      <c r="GG221" s="93"/>
      <c r="GH221" s="93"/>
      <c r="GI221" s="93"/>
      <c r="GJ221" s="93"/>
      <c r="GK221" s="93"/>
      <c r="GL221" s="93"/>
      <c r="GM221" s="93"/>
      <c r="GN221" s="93"/>
      <c r="GO221" s="93"/>
      <c r="GP221" s="93"/>
      <c r="GQ221" s="93"/>
      <c r="GR221" s="93"/>
      <c r="GS221" s="93"/>
      <c r="GT221" s="93"/>
      <c r="GU221" s="93"/>
      <c r="GV221" s="93"/>
      <c r="GW221" s="93"/>
      <c r="GX221" s="93"/>
      <c r="GY221" s="93"/>
      <c r="GZ221" s="93"/>
      <c r="HA221" s="93"/>
      <c r="HB221" s="93"/>
      <c r="HC221" s="93"/>
      <c r="HD221" s="93"/>
      <c r="HE221" s="93"/>
      <c r="HF221" s="93"/>
      <c r="HG221" s="93"/>
    </row>
    <row r="222" spans="14:215" x14ac:dyDescent="0.2">
      <c r="N222" s="93" t="s">
        <v>339</v>
      </c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3"/>
      <c r="AW222" s="93"/>
      <c r="AX222" s="93"/>
      <c r="AY222" s="93"/>
      <c r="AZ222" s="93"/>
      <c r="BA222" s="93"/>
      <c r="BB222" s="93"/>
      <c r="BC222" s="93"/>
      <c r="BD222" s="93"/>
      <c r="BE222" s="93"/>
      <c r="BF222" s="93"/>
      <c r="BG222" s="93"/>
      <c r="BH222" s="93"/>
      <c r="BI222" s="93"/>
      <c r="BJ222" s="93"/>
      <c r="BK222" s="93"/>
      <c r="BL222" s="93"/>
      <c r="BM222" s="93"/>
      <c r="BN222" s="93"/>
      <c r="BO222" s="93"/>
      <c r="BP222" s="93"/>
      <c r="BQ222" s="93"/>
      <c r="BR222" s="93"/>
      <c r="BS222" s="93"/>
      <c r="BT222" s="93"/>
      <c r="BU222" s="93"/>
      <c r="BV222" s="93"/>
      <c r="BW222" s="93"/>
      <c r="BX222" s="93"/>
      <c r="BY222" s="93"/>
      <c r="BZ222" s="93"/>
      <c r="CA222" s="93"/>
      <c r="CB222" s="93"/>
      <c r="CC222" s="93"/>
      <c r="CD222" s="93"/>
      <c r="CE222" s="93"/>
      <c r="CF222" s="93"/>
      <c r="CG222" s="93"/>
      <c r="CH222" s="93"/>
      <c r="CI222" s="93"/>
      <c r="CJ222" s="93"/>
      <c r="CK222" s="93"/>
      <c r="CL222" s="93"/>
      <c r="CM222" s="93"/>
      <c r="CN222" s="93"/>
      <c r="CO222" s="93"/>
      <c r="CP222" s="93"/>
      <c r="CQ222" s="93"/>
      <c r="CR222" s="93"/>
      <c r="CS222" s="93"/>
      <c r="CT222" s="93"/>
      <c r="CU222" s="93"/>
      <c r="CV222" s="93"/>
      <c r="CW222" s="93"/>
      <c r="CX222" s="93"/>
      <c r="CY222" s="93"/>
      <c r="CZ222" s="93"/>
      <c r="DA222" s="93"/>
      <c r="DB222" s="93"/>
      <c r="DC222" s="93"/>
      <c r="DD222" s="93"/>
      <c r="DE222" s="93"/>
      <c r="DF222" s="93"/>
      <c r="DG222" s="93"/>
      <c r="DH222" s="93"/>
      <c r="DI222" s="93"/>
      <c r="DJ222" s="93"/>
      <c r="DK222" s="93"/>
      <c r="DL222" s="93"/>
      <c r="DM222" s="93"/>
      <c r="DN222" s="93"/>
      <c r="DO222" s="93"/>
      <c r="DP222" s="93"/>
      <c r="DQ222" s="93"/>
      <c r="DR222" s="93"/>
      <c r="DS222" s="93"/>
      <c r="DT222" s="93"/>
      <c r="DU222" s="93"/>
      <c r="DV222" s="93">
        <v>0.33232931726907633</v>
      </c>
      <c r="DW222" s="93"/>
      <c r="DX222" s="93"/>
      <c r="DY222" s="93"/>
      <c r="DZ222" s="93"/>
      <c r="EA222" s="93"/>
      <c r="EB222" s="93"/>
      <c r="EC222" s="93"/>
      <c r="ED222" s="93"/>
      <c r="EE222" s="93"/>
      <c r="EF222" s="93"/>
      <c r="EG222" s="93"/>
      <c r="EH222" s="93"/>
      <c r="EI222" s="93"/>
      <c r="EJ222" s="93"/>
      <c r="EK222" s="93"/>
      <c r="EL222" s="93"/>
      <c r="EM222" s="93"/>
      <c r="EN222" s="93"/>
      <c r="EO222" s="93"/>
      <c r="EP222" s="93"/>
      <c r="EQ222" s="93"/>
      <c r="ER222" s="93"/>
      <c r="ES222" s="93"/>
      <c r="ET222" s="93"/>
      <c r="EU222" s="93"/>
      <c r="EV222" s="93"/>
      <c r="EW222" s="93"/>
      <c r="EX222" s="93"/>
      <c r="EY222" s="93"/>
      <c r="EZ222" s="93"/>
      <c r="FA222" s="93"/>
      <c r="FB222" s="93"/>
      <c r="FC222" s="93"/>
      <c r="FD222" s="93"/>
      <c r="FE222" s="93"/>
      <c r="FF222" s="93"/>
      <c r="FG222" s="93"/>
      <c r="FH222" s="93"/>
      <c r="FI222" s="93"/>
      <c r="FJ222" s="93"/>
      <c r="FK222" s="93"/>
      <c r="FL222" s="93"/>
      <c r="FM222" s="93"/>
      <c r="FN222" s="93"/>
      <c r="FO222" s="93"/>
      <c r="FP222" s="93"/>
      <c r="FQ222" s="93"/>
      <c r="FR222" s="93"/>
      <c r="FS222" s="93"/>
      <c r="FT222" s="93"/>
      <c r="FU222" s="93"/>
      <c r="FV222" s="93"/>
      <c r="FW222" s="93"/>
      <c r="FX222" s="93"/>
      <c r="FY222" s="93"/>
      <c r="FZ222" s="93"/>
      <c r="GA222" s="93"/>
      <c r="GB222" s="93"/>
      <c r="GC222" s="93"/>
      <c r="GD222" s="93"/>
      <c r="GE222" s="93"/>
      <c r="GF222" s="93"/>
      <c r="GG222" s="93"/>
      <c r="GH222" s="93"/>
      <c r="GI222" s="93"/>
      <c r="GJ222" s="93"/>
      <c r="GK222" s="93"/>
      <c r="GL222" s="93"/>
      <c r="GM222" s="93"/>
      <c r="GN222" s="93"/>
      <c r="GO222" s="93"/>
      <c r="GP222" s="93"/>
      <c r="GQ222" s="93"/>
      <c r="GR222" s="93"/>
      <c r="GS222" s="93"/>
      <c r="GT222" s="93"/>
      <c r="GU222" s="93"/>
      <c r="GV222" s="93"/>
      <c r="GW222" s="93"/>
      <c r="GX222" s="93"/>
      <c r="GY222" s="93"/>
      <c r="GZ222" s="93"/>
      <c r="HA222" s="93"/>
      <c r="HB222" s="93"/>
      <c r="HC222" s="93"/>
      <c r="HD222" s="93"/>
      <c r="HE222" s="93"/>
      <c r="HF222" s="93"/>
      <c r="HG222" s="93"/>
    </row>
    <row r="223" spans="14:215" x14ac:dyDescent="0.2">
      <c r="N223" s="93" t="s">
        <v>340</v>
      </c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  <c r="BI223" s="93"/>
      <c r="BJ223" s="93"/>
      <c r="BK223" s="93"/>
      <c r="BL223" s="93"/>
      <c r="BM223" s="93"/>
      <c r="BN223" s="93"/>
      <c r="BO223" s="93"/>
      <c r="BP223" s="93"/>
      <c r="BQ223" s="93"/>
      <c r="BR223" s="93"/>
      <c r="BS223" s="93"/>
      <c r="BT223" s="93"/>
      <c r="BU223" s="93"/>
      <c r="BV223" s="93"/>
      <c r="BW223" s="93"/>
      <c r="BX223" s="93"/>
      <c r="BY223" s="93"/>
      <c r="BZ223" s="93"/>
      <c r="CA223" s="93"/>
      <c r="CB223" s="93"/>
      <c r="CC223" s="93"/>
      <c r="CD223" s="93"/>
      <c r="CE223" s="93"/>
      <c r="CF223" s="93"/>
      <c r="CG223" s="93"/>
      <c r="CH223" s="93"/>
      <c r="CI223" s="93"/>
      <c r="CJ223" s="93"/>
      <c r="CK223" s="93"/>
      <c r="CL223" s="93"/>
      <c r="CM223" s="93"/>
      <c r="CN223" s="93"/>
      <c r="CO223" s="93"/>
      <c r="CP223" s="93"/>
      <c r="CQ223" s="93"/>
      <c r="CR223" s="93"/>
      <c r="CS223" s="93"/>
      <c r="CT223" s="93"/>
      <c r="CU223" s="93"/>
      <c r="CV223" s="93"/>
      <c r="CW223" s="93"/>
      <c r="CX223" s="93"/>
      <c r="CY223" s="93"/>
      <c r="CZ223" s="93"/>
      <c r="DA223" s="93"/>
      <c r="DB223" s="93"/>
      <c r="DC223" s="93"/>
      <c r="DD223" s="93"/>
      <c r="DE223" s="93"/>
      <c r="DF223" s="93"/>
      <c r="DG223" s="93"/>
      <c r="DH223" s="93"/>
      <c r="DI223" s="93"/>
      <c r="DJ223" s="93"/>
      <c r="DK223" s="93"/>
      <c r="DL223" s="93"/>
      <c r="DM223" s="93"/>
      <c r="DN223" s="93"/>
      <c r="DO223" s="93"/>
      <c r="DP223" s="93"/>
      <c r="DQ223" s="93"/>
      <c r="DR223" s="93"/>
      <c r="DS223" s="93"/>
      <c r="DT223" s="93"/>
      <c r="DU223" s="93"/>
      <c r="DV223" s="93"/>
      <c r="DW223" s="93">
        <v>0.33233830845771145</v>
      </c>
      <c r="DX223" s="93"/>
      <c r="DY223" s="93"/>
      <c r="DZ223" s="93"/>
      <c r="EA223" s="93"/>
      <c r="EB223" s="93"/>
      <c r="EC223" s="93"/>
      <c r="ED223" s="93"/>
      <c r="EE223" s="93"/>
      <c r="EF223" s="93"/>
      <c r="EG223" s="93"/>
      <c r="EH223" s="93"/>
      <c r="EI223" s="93"/>
      <c r="EJ223" s="93"/>
      <c r="EK223" s="93"/>
      <c r="EL223" s="93"/>
      <c r="EM223" s="93"/>
      <c r="EN223" s="93"/>
      <c r="EO223" s="93"/>
      <c r="EP223" s="93"/>
      <c r="EQ223" s="93"/>
      <c r="ER223" s="93"/>
      <c r="ES223" s="93"/>
      <c r="ET223" s="93"/>
      <c r="EU223" s="93"/>
      <c r="EV223" s="93"/>
      <c r="EW223" s="93"/>
      <c r="EX223" s="93"/>
      <c r="EY223" s="93"/>
      <c r="EZ223" s="93"/>
      <c r="FA223" s="93"/>
      <c r="FB223" s="93"/>
      <c r="FC223" s="93"/>
      <c r="FD223" s="93"/>
      <c r="FE223" s="93"/>
      <c r="FF223" s="93"/>
      <c r="FG223" s="93"/>
      <c r="FH223" s="93"/>
      <c r="FI223" s="93"/>
      <c r="FJ223" s="93"/>
      <c r="FK223" s="93"/>
      <c r="FL223" s="93"/>
      <c r="FM223" s="93"/>
      <c r="FN223" s="93"/>
      <c r="FO223" s="93"/>
      <c r="FP223" s="93"/>
      <c r="FQ223" s="93"/>
      <c r="FR223" s="93"/>
      <c r="FS223" s="93"/>
      <c r="FT223" s="93"/>
      <c r="FU223" s="93"/>
      <c r="FV223" s="93"/>
      <c r="FW223" s="93"/>
      <c r="FX223" s="93"/>
      <c r="FY223" s="93"/>
      <c r="FZ223" s="93"/>
      <c r="GA223" s="93"/>
      <c r="GB223" s="93"/>
      <c r="GC223" s="93"/>
      <c r="GD223" s="93"/>
      <c r="GE223" s="93"/>
      <c r="GF223" s="93"/>
      <c r="GG223" s="93"/>
      <c r="GH223" s="93"/>
      <c r="GI223" s="93"/>
      <c r="GJ223" s="93"/>
      <c r="GK223" s="93"/>
      <c r="GL223" s="93"/>
      <c r="GM223" s="93"/>
      <c r="GN223" s="93"/>
      <c r="GO223" s="93"/>
      <c r="GP223" s="93"/>
      <c r="GQ223" s="93"/>
      <c r="GR223" s="93"/>
      <c r="GS223" s="93"/>
      <c r="GT223" s="93"/>
      <c r="GU223" s="93"/>
      <c r="GV223" s="93"/>
      <c r="GW223" s="93"/>
      <c r="GX223" s="93"/>
      <c r="GY223" s="93"/>
      <c r="GZ223" s="93"/>
      <c r="HA223" s="93"/>
      <c r="HB223" s="93"/>
      <c r="HC223" s="93"/>
      <c r="HD223" s="93"/>
      <c r="HE223" s="93"/>
      <c r="HF223" s="93"/>
      <c r="HG223" s="93"/>
    </row>
    <row r="224" spans="14:215" x14ac:dyDescent="0.2">
      <c r="N224" s="93" t="s">
        <v>341</v>
      </c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  <c r="AW224" s="93"/>
      <c r="AX224" s="93"/>
      <c r="AY224" s="93"/>
      <c r="AZ224" s="93"/>
      <c r="BA224" s="93"/>
      <c r="BB224" s="93"/>
      <c r="BC224" s="93"/>
      <c r="BD224" s="93"/>
      <c r="BE224" s="93"/>
      <c r="BF224" s="93"/>
      <c r="BG224" s="93"/>
      <c r="BH224" s="93"/>
      <c r="BI224" s="93"/>
      <c r="BJ224" s="93"/>
      <c r="BK224" s="93"/>
      <c r="BL224" s="93"/>
      <c r="BM224" s="93"/>
      <c r="BN224" s="93"/>
      <c r="BO224" s="93"/>
      <c r="BP224" s="93"/>
      <c r="BQ224" s="93"/>
      <c r="BR224" s="93"/>
      <c r="BS224" s="93"/>
      <c r="BT224" s="93"/>
      <c r="BU224" s="93"/>
      <c r="BV224" s="93"/>
      <c r="BW224" s="93"/>
      <c r="BX224" s="93"/>
      <c r="BY224" s="93"/>
      <c r="BZ224" s="93"/>
      <c r="CA224" s="93"/>
      <c r="CB224" s="93"/>
      <c r="CC224" s="93"/>
      <c r="CD224" s="93"/>
      <c r="CE224" s="93"/>
      <c r="CF224" s="93"/>
      <c r="CG224" s="93"/>
      <c r="CH224" s="93"/>
      <c r="CI224" s="93"/>
      <c r="CJ224" s="93"/>
      <c r="CK224" s="93"/>
      <c r="CL224" s="93"/>
      <c r="CM224" s="93"/>
      <c r="CN224" s="93"/>
      <c r="CO224" s="93"/>
      <c r="CP224" s="93"/>
      <c r="CQ224" s="93"/>
      <c r="CR224" s="93"/>
      <c r="CS224" s="93"/>
      <c r="CT224" s="93"/>
      <c r="CU224" s="93"/>
      <c r="CV224" s="93"/>
      <c r="CW224" s="93"/>
      <c r="CX224" s="93"/>
      <c r="CY224" s="93"/>
      <c r="CZ224" s="93"/>
      <c r="DA224" s="93"/>
      <c r="DB224" s="93"/>
      <c r="DC224" s="93"/>
      <c r="DD224" s="93"/>
      <c r="DE224" s="93"/>
      <c r="DF224" s="93"/>
      <c r="DG224" s="93"/>
      <c r="DH224" s="93"/>
      <c r="DI224" s="93"/>
      <c r="DJ224" s="93"/>
      <c r="DK224" s="93"/>
      <c r="DL224" s="93"/>
      <c r="DM224" s="93"/>
      <c r="DN224" s="93"/>
      <c r="DO224" s="93"/>
      <c r="DP224" s="93"/>
      <c r="DQ224" s="93"/>
      <c r="DR224" s="93"/>
      <c r="DS224" s="93"/>
      <c r="DT224" s="93"/>
      <c r="DU224" s="93"/>
      <c r="DV224" s="93"/>
      <c r="DW224" s="93"/>
      <c r="DX224" s="93">
        <v>0.33234714003944771</v>
      </c>
      <c r="DY224" s="93"/>
      <c r="DZ224" s="93"/>
      <c r="EA224" s="93"/>
      <c r="EB224" s="93"/>
      <c r="EC224" s="93"/>
      <c r="ED224" s="93"/>
      <c r="EE224" s="93"/>
      <c r="EF224" s="93"/>
      <c r="EG224" s="93"/>
      <c r="EH224" s="93"/>
      <c r="EI224" s="93"/>
      <c r="EJ224" s="93"/>
      <c r="EK224" s="93"/>
      <c r="EL224" s="93"/>
      <c r="EM224" s="93"/>
      <c r="EN224" s="93"/>
      <c r="EO224" s="93"/>
      <c r="EP224" s="93"/>
      <c r="EQ224" s="93"/>
      <c r="ER224" s="93"/>
      <c r="ES224" s="93"/>
      <c r="ET224" s="93"/>
      <c r="EU224" s="93"/>
      <c r="EV224" s="93"/>
      <c r="EW224" s="93"/>
      <c r="EX224" s="93"/>
      <c r="EY224" s="93"/>
      <c r="EZ224" s="93"/>
      <c r="FA224" s="93"/>
      <c r="FB224" s="93"/>
      <c r="FC224" s="93"/>
      <c r="FD224" s="93"/>
      <c r="FE224" s="93"/>
      <c r="FF224" s="93"/>
      <c r="FG224" s="93"/>
      <c r="FH224" s="93"/>
      <c r="FI224" s="93"/>
      <c r="FJ224" s="93"/>
      <c r="FK224" s="93"/>
      <c r="FL224" s="93"/>
      <c r="FM224" s="93"/>
      <c r="FN224" s="93"/>
      <c r="FO224" s="93"/>
      <c r="FP224" s="93"/>
      <c r="FQ224" s="93"/>
      <c r="FR224" s="93"/>
      <c r="FS224" s="93"/>
      <c r="FT224" s="93"/>
      <c r="FU224" s="93"/>
      <c r="FV224" s="93"/>
      <c r="FW224" s="93"/>
      <c r="FX224" s="93"/>
      <c r="FY224" s="93"/>
      <c r="FZ224" s="93"/>
      <c r="GA224" s="93"/>
      <c r="GB224" s="93"/>
      <c r="GC224" s="93"/>
      <c r="GD224" s="93"/>
      <c r="GE224" s="93"/>
      <c r="GF224" s="93"/>
      <c r="GG224" s="93"/>
      <c r="GH224" s="93"/>
      <c r="GI224" s="93"/>
      <c r="GJ224" s="93"/>
      <c r="GK224" s="93"/>
      <c r="GL224" s="93"/>
      <c r="GM224" s="93"/>
      <c r="GN224" s="93"/>
      <c r="GO224" s="93"/>
      <c r="GP224" s="93"/>
      <c r="GQ224" s="93"/>
      <c r="GR224" s="93"/>
      <c r="GS224" s="93"/>
      <c r="GT224" s="93"/>
      <c r="GU224" s="93"/>
      <c r="GV224" s="93"/>
      <c r="GW224" s="93"/>
      <c r="GX224" s="93"/>
      <c r="GY224" s="93"/>
      <c r="GZ224" s="93"/>
      <c r="HA224" s="93"/>
      <c r="HB224" s="93"/>
      <c r="HC224" s="93"/>
      <c r="HD224" s="93"/>
      <c r="HE224" s="93"/>
      <c r="HF224" s="93"/>
      <c r="HG224" s="93"/>
    </row>
    <row r="225" spans="14:215" x14ac:dyDescent="0.2">
      <c r="N225" s="93" t="s">
        <v>342</v>
      </c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  <c r="BI225" s="93"/>
      <c r="BJ225" s="93"/>
      <c r="BK225" s="93"/>
      <c r="BL225" s="93"/>
      <c r="BM225" s="93"/>
      <c r="BN225" s="93"/>
      <c r="BO225" s="93"/>
      <c r="BP225" s="93"/>
      <c r="BQ225" s="93"/>
      <c r="BR225" s="93"/>
      <c r="BS225" s="93"/>
      <c r="BT225" s="93"/>
      <c r="BU225" s="93"/>
      <c r="BV225" s="93"/>
      <c r="BW225" s="93"/>
      <c r="BX225" s="93"/>
      <c r="BY225" s="93"/>
      <c r="BZ225" s="93"/>
      <c r="CA225" s="93"/>
      <c r="CB225" s="93"/>
      <c r="CC225" s="93"/>
      <c r="CD225" s="93"/>
      <c r="CE225" s="93"/>
      <c r="CF225" s="93"/>
      <c r="CG225" s="93"/>
      <c r="CH225" s="93"/>
      <c r="CI225" s="93"/>
      <c r="CJ225" s="93"/>
      <c r="CK225" s="93"/>
      <c r="CL225" s="93"/>
      <c r="CM225" s="93"/>
      <c r="CN225" s="93"/>
      <c r="CO225" s="93"/>
      <c r="CP225" s="93"/>
      <c r="CQ225" s="93"/>
      <c r="CR225" s="93"/>
      <c r="CS225" s="93"/>
      <c r="CT225" s="93"/>
      <c r="CU225" s="93"/>
      <c r="CV225" s="93"/>
      <c r="CW225" s="93"/>
      <c r="CX225" s="93"/>
      <c r="CY225" s="93"/>
      <c r="CZ225" s="93"/>
      <c r="DA225" s="93"/>
      <c r="DB225" s="93"/>
      <c r="DC225" s="93"/>
      <c r="DD225" s="93"/>
      <c r="DE225" s="93"/>
      <c r="DF225" s="93"/>
      <c r="DG225" s="93"/>
      <c r="DH225" s="93"/>
      <c r="DI225" s="93"/>
      <c r="DJ225" s="93"/>
      <c r="DK225" s="93"/>
      <c r="DL225" s="93"/>
      <c r="DM225" s="93"/>
      <c r="DN225" s="93"/>
      <c r="DO225" s="93"/>
      <c r="DP225" s="93"/>
      <c r="DQ225" s="93"/>
      <c r="DR225" s="93"/>
      <c r="DS225" s="93"/>
      <c r="DT225" s="93"/>
      <c r="DU225" s="93"/>
      <c r="DV225" s="93"/>
      <c r="DW225" s="93"/>
      <c r="DX225" s="93"/>
      <c r="DY225" s="93">
        <v>0.33235581622678395</v>
      </c>
      <c r="DZ225" s="93"/>
      <c r="EA225" s="93"/>
      <c r="EB225" s="93"/>
      <c r="EC225" s="93"/>
      <c r="ED225" s="93"/>
      <c r="EE225" s="93"/>
      <c r="EF225" s="93"/>
      <c r="EG225" s="93"/>
      <c r="EH225" s="93"/>
      <c r="EI225" s="93"/>
      <c r="EJ225" s="93"/>
      <c r="EK225" s="93"/>
      <c r="EL225" s="93"/>
      <c r="EM225" s="93"/>
      <c r="EN225" s="93"/>
      <c r="EO225" s="93"/>
      <c r="EP225" s="93"/>
      <c r="EQ225" s="93"/>
      <c r="ER225" s="93"/>
      <c r="ES225" s="93"/>
      <c r="ET225" s="93"/>
      <c r="EU225" s="93"/>
      <c r="EV225" s="93"/>
      <c r="EW225" s="93"/>
      <c r="EX225" s="93"/>
      <c r="EY225" s="93"/>
      <c r="EZ225" s="93"/>
      <c r="FA225" s="93"/>
      <c r="FB225" s="93"/>
      <c r="FC225" s="93"/>
      <c r="FD225" s="93"/>
      <c r="FE225" s="93"/>
      <c r="FF225" s="93"/>
      <c r="FG225" s="93"/>
      <c r="FH225" s="93"/>
      <c r="FI225" s="93"/>
      <c r="FJ225" s="93"/>
      <c r="FK225" s="93"/>
      <c r="FL225" s="93"/>
      <c r="FM225" s="93"/>
      <c r="FN225" s="93"/>
      <c r="FO225" s="93"/>
      <c r="FP225" s="93"/>
      <c r="FQ225" s="93"/>
      <c r="FR225" s="93"/>
      <c r="FS225" s="93"/>
      <c r="FT225" s="93"/>
      <c r="FU225" s="93"/>
      <c r="FV225" s="93"/>
      <c r="FW225" s="93"/>
      <c r="FX225" s="93"/>
      <c r="FY225" s="93"/>
      <c r="FZ225" s="93"/>
      <c r="GA225" s="93"/>
      <c r="GB225" s="93"/>
      <c r="GC225" s="93"/>
      <c r="GD225" s="93"/>
      <c r="GE225" s="93"/>
      <c r="GF225" s="93"/>
      <c r="GG225" s="93"/>
      <c r="GH225" s="93"/>
      <c r="GI225" s="93"/>
      <c r="GJ225" s="93"/>
      <c r="GK225" s="93"/>
      <c r="GL225" s="93"/>
      <c r="GM225" s="93"/>
      <c r="GN225" s="93"/>
      <c r="GO225" s="93"/>
      <c r="GP225" s="93"/>
      <c r="GQ225" s="93"/>
      <c r="GR225" s="93"/>
      <c r="GS225" s="93"/>
      <c r="GT225" s="93"/>
      <c r="GU225" s="93"/>
      <c r="GV225" s="93"/>
      <c r="GW225" s="93"/>
      <c r="GX225" s="93"/>
      <c r="GY225" s="93"/>
      <c r="GZ225" s="93"/>
      <c r="HA225" s="93"/>
      <c r="HB225" s="93"/>
      <c r="HC225" s="93"/>
      <c r="HD225" s="93"/>
      <c r="HE225" s="93"/>
      <c r="HF225" s="93"/>
      <c r="HG225" s="93"/>
    </row>
    <row r="226" spans="14:215" x14ac:dyDescent="0.2">
      <c r="N226" s="93" t="s">
        <v>343</v>
      </c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  <c r="AW226" s="93"/>
      <c r="AX226" s="93"/>
      <c r="AY226" s="93"/>
      <c r="AZ226" s="93"/>
      <c r="BA226" s="93"/>
      <c r="BB226" s="93"/>
      <c r="BC226" s="93"/>
      <c r="BD226" s="93"/>
      <c r="BE226" s="93"/>
      <c r="BF226" s="93"/>
      <c r="BG226" s="93"/>
      <c r="BH226" s="93"/>
      <c r="BI226" s="93"/>
      <c r="BJ226" s="93"/>
      <c r="BK226" s="93"/>
      <c r="BL226" s="93"/>
      <c r="BM226" s="93"/>
      <c r="BN226" s="93"/>
      <c r="BO226" s="93"/>
      <c r="BP226" s="93"/>
      <c r="BQ226" s="93"/>
      <c r="BR226" s="93"/>
      <c r="BS226" s="93"/>
      <c r="BT226" s="93"/>
      <c r="BU226" s="93"/>
      <c r="BV226" s="93"/>
      <c r="BW226" s="93"/>
      <c r="BX226" s="93"/>
      <c r="BY226" s="93"/>
      <c r="BZ226" s="93"/>
      <c r="CA226" s="93"/>
      <c r="CB226" s="93"/>
      <c r="CC226" s="93"/>
      <c r="CD226" s="93"/>
      <c r="CE226" s="93"/>
      <c r="CF226" s="93"/>
      <c r="CG226" s="93"/>
      <c r="CH226" s="93"/>
      <c r="CI226" s="93"/>
      <c r="CJ226" s="93"/>
      <c r="CK226" s="93"/>
      <c r="CL226" s="93"/>
      <c r="CM226" s="93"/>
      <c r="CN226" s="93"/>
      <c r="CO226" s="93"/>
      <c r="CP226" s="93"/>
      <c r="CQ226" s="93"/>
      <c r="CR226" s="93"/>
      <c r="CS226" s="93"/>
      <c r="CT226" s="93"/>
      <c r="CU226" s="93"/>
      <c r="CV226" s="93"/>
      <c r="CW226" s="93"/>
      <c r="CX226" s="93"/>
      <c r="CY226" s="93"/>
      <c r="CZ226" s="93"/>
      <c r="DA226" s="93"/>
      <c r="DB226" s="93"/>
      <c r="DC226" s="93"/>
      <c r="DD226" s="93"/>
      <c r="DE226" s="93"/>
      <c r="DF226" s="93"/>
      <c r="DG226" s="93"/>
      <c r="DH226" s="93"/>
      <c r="DI226" s="93"/>
      <c r="DJ226" s="93"/>
      <c r="DK226" s="93"/>
      <c r="DL226" s="93"/>
      <c r="DM226" s="93"/>
      <c r="DN226" s="93"/>
      <c r="DO226" s="93"/>
      <c r="DP226" s="93"/>
      <c r="DQ226" s="93"/>
      <c r="DR226" s="93"/>
      <c r="DS226" s="93"/>
      <c r="DT226" s="93"/>
      <c r="DU226" s="93"/>
      <c r="DV226" s="93"/>
      <c r="DW226" s="93"/>
      <c r="DX226" s="93"/>
      <c r="DY226" s="93"/>
      <c r="DZ226" s="93">
        <v>0.3323643410852713</v>
      </c>
      <c r="EA226" s="93"/>
      <c r="EB226" s="93"/>
      <c r="EC226" s="93"/>
      <c r="ED226" s="93"/>
      <c r="EE226" s="93"/>
      <c r="EF226" s="93"/>
      <c r="EG226" s="93"/>
      <c r="EH226" s="93"/>
      <c r="EI226" s="93"/>
      <c r="EJ226" s="93"/>
      <c r="EK226" s="93"/>
      <c r="EL226" s="93"/>
      <c r="EM226" s="93"/>
      <c r="EN226" s="93"/>
      <c r="EO226" s="93"/>
      <c r="EP226" s="93"/>
      <c r="EQ226" s="93"/>
      <c r="ER226" s="93"/>
      <c r="ES226" s="93"/>
      <c r="ET226" s="93"/>
      <c r="EU226" s="93"/>
      <c r="EV226" s="93"/>
      <c r="EW226" s="93"/>
      <c r="EX226" s="93"/>
      <c r="EY226" s="93"/>
      <c r="EZ226" s="93"/>
      <c r="FA226" s="93"/>
      <c r="FB226" s="93"/>
      <c r="FC226" s="93"/>
      <c r="FD226" s="93"/>
      <c r="FE226" s="93"/>
      <c r="FF226" s="93"/>
      <c r="FG226" s="93"/>
      <c r="FH226" s="93"/>
      <c r="FI226" s="93"/>
      <c r="FJ226" s="93"/>
      <c r="FK226" s="93"/>
      <c r="FL226" s="93"/>
      <c r="FM226" s="93"/>
      <c r="FN226" s="93"/>
      <c r="FO226" s="93"/>
      <c r="FP226" s="93"/>
      <c r="FQ226" s="93"/>
      <c r="FR226" s="93"/>
      <c r="FS226" s="93"/>
      <c r="FT226" s="93"/>
      <c r="FU226" s="93"/>
      <c r="FV226" s="93"/>
      <c r="FW226" s="93"/>
      <c r="FX226" s="93"/>
      <c r="FY226" s="93"/>
      <c r="FZ226" s="93"/>
      <c r="GA226" s="93"/>
      <c r="GB226" s="93"/>
      <c r="GC226" s="93"/>
      <c r="GD226" s="93"/>
      <c r="GE226" s="93"/>
      <c r="GF226" s="93"/>
      <c r="GG226" s="93"/>
      <c r="GH226" s="93"/>
      <c r="GI226" s="93"/>
      <c r="GJ226" s="93"/>
      <c r="GK226" s="93"/>
      <c r="GL226" s="93"/>
      <c r="GM226" s="93"/>
      <c r="GN226" s="93"/>
      <c r="GO226" s="93"/>
      <c r="GP226" s="93"/>
      <c r="GQ226" s="93"/>
      <c r="GR226" s="93"/>
      <c r="GS226" s="93"/>
      <c r="GT226" s="93"/>
      <c r="GU226" s="93"/>
      <c r="GV226" s="93"/>
      <c r="GW226" s="93"/>
      <c r="GX226" s="93"/>
      <c r="GY226" s="93"/>
      <c r="GZ226" s="93"/>
      <c r="HA226" s="93"/>
      <c r="HB226" s="93"/>
      <c r="HC226" s="93"/>
      <c r="HD226" s="93"/>
      <c r="HE226" s="93"/>
      <c r="HF226" s="93"/>
      <c r="HG226" s="93"/>
    </row>
    <row r="227" spans="14:215" x14ac:dyDescent="0.2">
      <c r="N227" s="93" t="s">
        <v>344</v>
      </c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  <c r="BI227" s="93"/>
      <c r="BJ227" s="93"/>
      <c r="BK227" s="93"/>
      <c r="BL227" s="93"/>
      <c r="BM227" s="93"/>
      <c r="BN227" s="93"/>
      <c r="BO227" s="93"/>
      <c r="BP227" s="93"/>
      <c r="BQ227" s="93"/>
      <c r="BR227" s="93"/>
      <c r="BS227" s="93"/>
      <c r="BT227" s="93"/>
      <c r="BU227" s="93"/>
      <c r="BV227" s="93"/>
      <c r="BW227" s="93"/>
      <c r="BX227" s="93"/>
      <c r="BY227" s="93"/>
      <c r="BZ227" s="93"/>
      <c r="CA227" s="93"/>
      <c r="CB227" s="93"/>
      <c r="CC227" s="93"/>
      <c r="CD227" s="93"/>
      <c r="CE227" s="93"/>
      <c r="CF227" s="93"/>
      <c r="CG227" s="93"/>
      <c r="CH227" s="93"/>
      <c r="CI227" s="93"/>
      <c r="CJ227" s="93"/>
      <c r="CK227" s="93"/>
      <c r="CL227" s="93"/>
      <c r="CM227" s="93"/>
      <c r="CN227" s="93"/>
      <c r="CO227" s="93"/>
      <c r="CP227" s="93"/>
      <c r="CQ227" s="93"/>
      <c r="CR227" s="93"/>
      <c r="CS227" s="93"/>
      <c r="CT227" s="93"/>
      <c r="CU227" s="93"/>
      <c r="CV227" s="93"/>
      <c r="CW227" s="93"/>
      <c r="CX227" s="93"/>
      <c r="CY227" s="93"/>
      <c r="CZ227" s="93"/>
      <c r="DA227" s="93"/>
      <c r="DB227" s="93"/>
      <c r="DC227" s="93"/>
      <c r="DD227" s="93"/>
      <c r="DE227" s="93"/>
      <c r="DF227" s="93"/>
      <c r="DG227" s="93"/>
      <c r="DH227" s="93"/>
      <c r="DI227" s="93"/>
      <c r="DJ227" s="93"/>
      <c r="DK227" s="93"/>
      <c r="DL227" s="93"/>
      <c r="DM227" s="93"/>
      <c r="DN227" s="93"/>
      <c r="DO227" s="93"/>
      <c r="DP227" s="93"/>
      <c r="DQ227" s="93"/>
      <c r="DR227" s="93"/>
      <c r="DS227" s="93"/>
      <c r="DT227" s="93"/>
      <c r="DU227" s="93"/>
      <c r="DV227" s="93"/>
      <c r="DW227" s="93"/>
      <c r="DX227" s="93"/>
      <c r="DY227" s="93"/>
      <c r="DZ227" s="93"/>
      <c r="EA227" s="93">
        <v>0.3323727185398655</v>
      </c>
      <c r="EB227" s="93"/>
      <c r="EC227" s="93"/>
      <c r="ED227" s="93"/>
      <c r="EE227" s="93"/>
      <c r="EF227" s="93"/>
      <c r="EG227" s="93"/>
      <c r="EH227" s="93"/>
      <c r="EI227" s="93"/>
      <c r="EJ227" s="93"/>
      <c r="EK227" s="93"/>
      <c r="EL227" s="93"/>
      <c r="EM227" s="93"/>
      <c r="EN227" s="93"/>
      <c r="EO227" s="93"/>
      <c r="EP227" s="93"/>
      <c r="EQ227" s="93"/>
      <c r="ER227" s="93"/>
      <c r="ES227" s="93"/>
      <c r="ET227" s="93"/>
      <c r="EU227" s="93"/>
      <c r="EV227" s="93"/>
      <c r="EW227" s="93"/>
      <c r="EX227" s="93"/>
      <c r="EY227" s="93"/>
      <c r="EZ227" s="93"/>
      <c r="FA227" s="93"/>
      <c r="FB227" s="93"/>
      <c r="FC227" s="93"/>
      <c r="FD227" s="93"/>
      <c r="FE227" s="93"/>
      <c r="FF227" s="93"/>
      <c r="FG227" s="93"/>
      <c r="FH227" s="93"/>
      <c r="FI227" s="93"/>
      <c r="FJ227" s="93"/>
      <c r="FK227" s="93"/>
      <c r="FL227" s="93"/>
      <c r="FM227" s="93"/>
      <c r="FN227" s="93"/>
      <c r="FO227" s="93"/>
      <c r="FP227" s="93"/>
      <c r="FQ227" s="93"/>
      <c r="FR227" s="93"/>
      <c r="FS227" s="93"/>
      <c r="FT227" s="93"/>
      <c r="FU227" s="93"/>
      <c r="FV227" s="93"/>
      <c r="FW227" s="93"/>
      <c r="FX227" s="93"/>
      <c r="FY227" s="93"/>
      <c r="FZ227" s="93"/>
      <c r="GA227" s="93"/>
      <c r="GB227" s="93"/>
      <c r="GC227" s="93"/>
      <c r="GD227" s="93"/>
      <c r="GE227" s="93"/>
      <c r="GF227" s="93"/>
      <c r="GG227" s="93"/>
      <c r="GH227" s="93"/>
      <c r="GI227" s="93"/>
      <c r="GJ227" s="93"/>
      <c r="GK227" s="93"/>
      <c r="GL227" s="93"/>
      <c r="GM227" s="93"/>
      <c r="GN227" s="93"/>
      <c r="GO227" s="93"/>
      <c r="GP227" s="93"/>
      <c r="GQ227" s="93"/>
      <c r="GR227" s="93"/>
      <c r="GS227" s="93"/>
      <c r="GT227" s="93"/>
      <c r="GU227" s="93"/>
      <c r="GV227" s="93"/>
      <c r="GW227" s="93"/>
      <c r="GX227" s="93"/>
      <c r="GY227" s="93"/>
      <c r="GZ227" s="93"/>
      <c r="HA227" s="93"/>
      <c r="HB227" s="93"/>
      <c r="HC227" s="93"/>
      <c r="HD227" s="93"/>
      <c r="HE227" s="93"/>
      <c r="HF227" s="93"/>
      <c r="HG227" s="93"/>
    </row>
    <row r="228" spans="14:215" x14ac:dyDescent="0.2">
      <c r="N228" s="93" t="s">
        <v>345</v>
      </c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3"/>
      <c r="AW228" s="93"/>
      <c r="AX228" s="93"/>
      <c r="AY228" s="93"/>
      <c r="AZ228" s="93"/>
      <c r="BA228" s="93"/>
      <c r="BB228" s="93"/>
      <c r="BC228" s="93"/>
      <c r="BD228" s="93"/>
      <c r="BE228" s="93"/>
      <c r="BF228" s="93"/>
      <c r="BG228" s="93"/>
      <c r="BH228" s="93"/>
      <c r="BI228" s="93"/>
      <c r="BJ228" s="93"/>
      <c r="BK228" s="93"/>
      <c r="BL228" s="93"/>
      <c r="BM228" s="93"/>
      <c r="BN228" s="93"/>
      <c r="BO228" s="93"/>
      <c r="BP228" s="93"/>
      <c r="BQ228" s="93"/>
      <c r="BR228" s="93"/>
      <c r="BS228" s="93"/>
      <c r="BT228" s="93"/>
      <c r="BU228" s="93"/>
      <c r="BV228" s="93"/>
      <c r="BW228" s="93"/>
      <c r="BX228" s="93"/>
      <c r="BY228" s="93"/>
      <c r="BZ228" s="93"/>
      <c r="CA228" s="93"/>
      <c r="CB228" s="93"/>
      <c r="CC228" s="93"/>
      <c r="CD228" s="93"/>
      <c r="CE228" s="93"/>
      <c r="CF228" s="93"/>
      <c r="CG228" s="93"/>
      <c r="CH228" s="93"/>
      <c r="CI228" s="93"/>
      <c r="CJ228" s="93"/>
      <c r="CK228" s="93"/>
      <c r="CL228" s="93"/>
      <c r="CM228" s="93"/>
      <c r="CN228" s="93"/>
      <c r="CO228" s="93"/>
      <c r="CP228" s="93"/>
      <c r="CQ228" s="93"/>
      <c r="CR228" s="93"/>
      <c r="CS228" s="93"/>
      <c r="CT228" s="93"/>
      <c r="CU228" s="93"/>
      <c r="CV228" s="93"/>
      <c r="CW228" s="93"/>
      <c r="CX228" s="93"/>
      <c r="CY228" s="93"/>
      <c r="CZ228" s="93"/>
      <c r="DA228" s="93"/>
      <c r="DB228" s="93"/>
      <c r="DC228" s="93"/>
      <c r="DD228" s="93"/>
      <c r="DE228" s="93"/>
      <c r="DF228" s="93"/>
      <c r="DG228" s="93"/>
      <c r="DH228" s="93"/>
      <c r="DI228" s="93"/>
      <c r="DJ228" s="93"/>
      <c r="DK228" s="93"/>
      <c r="DL228" s="93"/>
      <c r="DM228" s="93"/>
      <c r="DN228" s="93"/>
      <c r="DO228" s="93"/>
      <c r="DP228" s="93"/>
      <c r="DQ228" s="93"/>
      <c r="DR228" s="93"/>
      <c r="DS228" s="93"/>
      <c r="DT228" s="93"/>
      <c r="DU228" s="93"/>
      <c r="DV228" s="93"/>
      <c r="DW228" s="93"/>
      <c r="DX228" s="93"/>
      <c r="DY228" s="93"/>
      <c r="DZ228" s="93"/>
      <c r="EA228" s="93"/>
      <c r="EB228" s="93">
        <v>0.33238095238095239</v>
      </c>
      <c r="EC228" s="93"/>
      <c r="ED228" s="93"/>
      <c r="EE228" s="93"/>
      <c r="EF228" s="93"/>
      <c r="EG228" s="93"/>
      <c r="EH228" s="93"/>
      <c r="EI228" s="93"/>
      <c r="EJ228" s="93"/>
      <c r="EK228" s="93"/>
      <c r="EL228" s="93"/>
      <c r="EM228" s="93"/>
      <c r="EN228" s="93"/>
      <c r="EO228" s="93"/>
      <c r="EP228" s="93"/>
      <c r="EQ228" s="93"/>
      <c r="ER228" s="93"/>
      <c r="ES228" s="93"/>
      <c r="ET228" s="93"/>
      <c r="EU228" s="93"/>
      <c r="EV228" s="93"/>
      <c r="EW228" s="93"/>
      <c r="EX228" s="93"/>
      <c r="EY228" s="93"/>
      <c r="EZ228" s="93"/>
      <c r="FA228" s="93"/>
      <c r="FB228" s="93"/>
      <c r="FC228" s="93"/>
      <c r="FD228" s="93"/>
      <c r="FE228" s="93"/>
      <c r="FF228" s="93"/>
      <c r="FG228" s="93"/>
      <c r="FH228" s="93"/>
      <c r="FI228" s="93"/>
      <c r="FJ228" s="93"/>
      <c r="FK228" s="93"/>
      <c r="FL228" s="93"/>
      <c r="FM228" s="93"/>
      <c r="FN228" s="93"/>
      <c r="FO228" s="93"/>
      <c r="FP228" s="93"/>
      <c r="FQ228" s="93"/>
      <c r="FR228" s="93"/>
      <c r="FS228" s="93"/>
      <c r="FT228" s="93"/>
      <c r="FU228" s="93"/>
      <c r="FV228" s="93"/>
      <c r="FW228" s="93"/>
      <c r="FX228" s="93"/>
      <c r="FY228" s="93"/>
      <c r="FZ228" s="93"/>
      <c r="GA228" s="93"/>
      <c r="GB228" s="93"/>
      <c r="GC228" s="93"/>
      <c r="GD228" s="93"/>
      <c r="GE228" s="93"/>
      <c r="GF228" s="93"/>
      <c r="GG228" s="93"/>
      <c r="GH228" s="93"/>
      <c r="GI228" s="93"/>
      <c r="GJ228" s="93"/>
      <c r="GK228" s="93"/>
      <c r="GL228" s="93"/>
      <c r="GM228" s="93"/>
      <c r="GN228" s="93"/>
      <c r="GO228" s="93"/>
      <c r="GP228" s="93"/>
      <c r="GQ228" s="93"/>
      <c r="GR228" s="93"/>
      <c r="GS228" s="93"/>
      <c r="GT228" s="93"/>
      <c r="GU228" s="93"/>
      <c r="GV228" s="93"/>
      <c r="GW228" s="93"/>
      <c r="GX228" s="93"/>
      <c r="GY228" s="93"/>
      <c r="GZ228" s="93"/>
      <c r="HA228" s="93"/>
      <c r="HB228" s="93"/>
      <c r="HC228" s="93"/>
      <c r="HD228" s="93"/>
      <c r="HE228" s="93"/>
      <c r="HF228" s="93"/>
      <c r="HG228" s="93"/>
    </row>
    <row r="229" spans="14:215" x14ac:dyDescent="0.2">
      <c r="N229" s="93" t="s">
        <v>346</v>
      </c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  <c r="BI229" s="93"/>
      <c r="BJ229" s="93"/>
      <c r="BK229" s="93"/>
      <c r="BL229" s="93"/>
      <c r="BM229" s="93"/>
      <c r="BN229" s="93"/>
      <c r="BO229" s="93"/>
      <c r="BP229" s="93"/>
      <c r="BQ229" s="93"/>
      <c r="BR229" s="93"/>
      <c r="BS229" s="93"/>
      <c r="BT229" s="93"/>
      <c r="BU229" s="93"/>
      <c r="BV229" s="93"/>
      <c r="BW229" s="93"/>
      <c r="BX229" s="93"/>
      <c r="BY229" s="93"/>
      <c r="BZ229" s="93"/>
      <c r="CA229" s="93"/>
      <c r="CB229" s="93"/>
      <c r="CC229" s="93"/>
      <c r="CD229" s="93"/>
      <c r="CE229" s="93"/>
      <c r="CF229" s="93"/>
      <c r="CG229" s="93"/>
      <c r="CH229" s="93"/>
      <c r="CI229" s="93"/>
      <c r="CJ229" s="93"/>
      <c r="CK229" s="93"/>
      <c r="CL229" s="93"/>
      <c r="CM229" s="93"/>
      <c r="CN229" s="93"/>
      <c r="CO229" s="93"/>
      <c r="CP229" s="93"/>
      <c r="CQ229" s="93"/>
      <c r="CR229" s="93"/>
      <c r="CS229" s="93"/>
      <c r="CT229" s="93"/>
      <c r="CU229" s="93"/>
      <c r="CV229" s="93"/>
      <c r="CW229" s="93"/>
      <c r="CX229" s="93"/>
      <c r="CY229" s="93"/>
      <c r="CZ229" s="93"/>
      <c r="DA229" s="93"/>
      <c r="DB229" s="93"/>
      <c r="DC229" s="93"/>
      <c r="DD229" s="93"/>
      <c r="DE229" s="93"/>
      <c r="DF229" s="93"/>
      <c r="DG229" s="93"/>
      <c r="DH229" s="93"/>
      <c r="DI229" s="93"/>
      <c r="DJ229" s="93"/>
      <c r="DK229" s="93"/>
      <c r="DL229" s="93"/>
      <c r="DM229" s="93"/>
      <c r="DN229" s="93"/>
      <c r="DO229" s="93"/>
      <c r="DP229" s="93"/>
      <c r="DQ229" s="93"/>
      <c r="DR229" s="93"/>
      <c r="DS229" s="93"/>
      <c r="DT229" s="93"/>
      <c r="DU229" s="93"/>
      <c r="DV229" s="93"/>
      <c r="DW229" s="93"/>
      <c r="DX229" s="93"/>
      <c r="DY229" s="93"/>
      <c r="DZ229" s="93"/>
      <c r="EA229" s="93"/>
      <c r="EB229" s="93"/>
      <c r="EC229" s="93">
        <v>0.3323890462700661</v>
      </c>
      <c r="ED229" s="93"/>
      <c r="EE229" s="93"/>
      <c r="EF229" s="93"/>
      <c r="EG229" s="93"/>
      <c r="EH229" s="93"/>
      <c r="EI229" s="93"/>
      <c r="EJ229" s="93"/>
      <c r="EK229" s="93"/>
      <c r="EL229" s="93"/>
      <c r="EM229" s="93"/>
      <c r="EN229" s="93"/>
      <c r="EO229" s="93"/>
      <c r="EP229" s="93"/>
      <c r="EQ229" s="93"/>
      <c r="ER229" s="93"/>
      <c r="ES229" s="93"/>
      <c r="ET229" s="93"/>
      <c r="EU229" s="93"/>
      <c r="EV229" s="93"/>
      <c r="EW229" s="93"/>
      <c r="EX229" s="93"/>
      <c r="EY229" s="93"/>
      <c r="EZ229" s="93"/>
      <c r="FA229" s="93"/>
      <c r="FB229" s="93"/>
      <c r="FC229" s="93"/>
      <c r="FD229" s="93"/>
      <c r="FE229" s="93"/>
      <c r="FF229" s="93"/>
      <c r="FG229" s="93"/>
      <c r="FH229" s="93"/>
      <c r="FI229" s="93"/>
      <c r="FJ229" s="93"/>
      <c r="FK229" s="93"/>
      <c r="FL229" s="93"/>
      <c r="FM229" s="93"/>
      <c r="FN229" s="93"/>
      <c r="FO229" s="93"/>
      <c r="FP229" s="93"/>
      <c r="FQ229" s="93"/>
      <c r="FR229" s="93"/>
      <c r="FS229" s="93"/>
      <c r="FT229" s="93"/>
      <c r="FU229" s="93"/>
      <c r="FV229" s="93"/>
      <c r="FW229" s="93"/>
      <c r="FX229" s="93"/>
      <c r="FY229" s="93"/>
      <c r="FZ229" s="93"/>
      <c r="GA229" s="93"/>
      <c r="GB229" s="93"/>
      <c r="GC229" s="93"/>
      <c r="GD229" s="93"/>
      <c r="GE229" s="93"/>
      <c r="GF229" s="93"/>
      <c r="GG229" s="93"/>
      <c r="GH229" s="93"/>
      <c r="GI229" s="93"/>
      <c r="GJ229" s="93"/>
      <c r="GK229" s="93"/>
      <c r="GL229" s="93"/>
      <c r="GM229" s="93"/>
      <c r="GN229" s="93"/>
      <c r="GO229" s="93"/>
      <c r="GP229" s="93"/>
      <c r="GQ229" s="93"/>
      <c r="GR229" s="93"/>
      <c r="GS229" s="93"/>
      <c r="GT229" s="93"/>
      <c r="GU229" s="93"/>
      <c r="GV229" s="93"/>
      <c r="GW229" s="93"/>
      <c r="GX229" s="93"/>
      <c r="GY229" s="93"/>
      <c r="GZ229" s="93"/>
      <c r="HA229" s="93"/>
      <c r="HB229" s="93"/>
      <c r="HC229" s="93"/>
      <c r="HD229" s="93"/>
      <c r="HE229" s="93"/>
      <c r="HF229" s="93"/>
      <c r="HG229" s="93"/>
    </row>
    <row r="230" spans="14:215" x14ac:dyDescent="0.2">
      <c r="N230" s="93" t="s">
        <v>347</v>
      </c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3"/>
      <c r="AW230" s="93"/>
      <c r="AX230" s="93"/>
      <c r="AY230" s="93"/>
      <c r="AZ230" s="93"/>
      <c r="BA230" s="93"/>
      <c r="BB230" s="93"/>
      <c r="BC230" s="93"/>
      <c r="BD230" s="93"/>
      <c r="BE230" s="93"/>
      <c r="BF230" s="93"/>
      <c r="BG230" s="93"/>
      <c r="BH230" s="93"/>
      <c r="BI230" s="93"/>
      <c r="BJ230" s="93"/>
      <c r="BK230" s="93"/>
      <c r="BL230" s="93"/>
      <c r="BM230" s="93"/>
      <c r="BN230" s="93"/>
      <c r="BO230" s="93"/>
      <c r="BP230" s="93"/>
      <c r="BQ230" s="93"/>
      <c r="BR230" s="93"/>
      <c r="BS230" s="93"/>
      <c r="BT230" s="93"/>
      <c r="BU230" s="93"/>
      <c r="BV230" s="93"/>
      <c r="BW230" s="93"/>
      <c r="BX230" s="93"/>
      <c r="BY230" s="93"/>
      <c r="BZ230" s="93"/>
      <c r="CA230" s="93"/>
      <c r="CB230" s="93"/>
      <c r="CC230" s="93"/>
      <c r="CD230" s="93"/>
      <c r="CE230" s="93"/>
      <c r="CF230" s="93"/>
      <c r="CG230" s="93"/>
      <c r="CH230" s="93"/>
      <c r="CI230" s="93"/>
      <c r="CJ230" s="93"/>
      <c r="CK230" s="93"/>
      <c r="CL230" s="93"/>
      <c r="CM230" s="93"/>
      <c r="CN230" s="93"/>
      <c r="CO230" s="93"/>
      <c r="CP230" s="93"/>
      <c r="CQ230" s="93"/>
      <c r="CR230" s="93"/>
      <c r="CS230" s="93"/>
      <c r="CT230" s="93"/>
      <c r="CU230" s="93"/>
      <c r="CV230" s="93"/>
      <c r="CW230" s="93"/>
      <c r="CX230" s="93"/>
      <c r="CY230" s="93"/>
      <c r="CZ230" s="93"/>
      <c r="DA230" s="93"/>
      <c r="DB230" s="93"/>
      <c r="DC230" s="93"/>
      <c r="DD230" s="93"/>
      <c r="DE230" s="93"/>
      <c r="DF230" s="93"/>
      <c r="DG230" s="93"/>
      <c r="DH230" s="93"/>
      <c r="DI230" s="93"/>
      <c r="DJ230" s="93"/>
      <c r="DK230" s="93"/>
      <c r="DL230" s="93"/>
      <c r="DM230" s="93"/>
      <c r="DN230" s="93"/>
      <c r="DO230" s="93"/>
      <c r="DP230" s="93"/>
      <c r="DQ230" s="93"/>
      <c r="DR230" s="93"/>
      <c r="DS230" s="93"/>
      <c r="DT230" s="93"/>
      <c r="DU230" s="93"/>
      <c r="DV230" s="93"/>
      <c r="DW230" s="93"/>
      <c r="DX230" s="93"/>
      <c r="DY230" s="93"/>
      <c r="DZ230" s="93"/>
      <c r="EA230" s="93"/>
      <c r="EB230" s="93"/>
      <c r="EC230" s="93"/>
      <c r="ED230" s="93">
        <v>0.33239700374531833</v>
      </c>
      <c r="EE230" s="93"/>
      <c r="EF230" s="93"/>
      <c r="EG230" s="93"/>
      <c r="EH230" s="93"/>
      <c r="EI230" s="93"/>
      <c r="EJ230" s="93"/>
      <c r="EK230" s="93"/>
      <c r="EL230" s="93"/>
      <c r="EM230" s="93"/>
      <c r="EN230" s="93"/>
      <c r="EO230" s="93"/>
      <c r="EP230" s="93"/>
      <c r="EQ230" s="93"/>
      <c r="ER230" s="93"/>
      <c r="ES230" s="93"/>
      <c r="ET230" s="93"/>
      <c r="EU230" s="93"/>
      <c r="EV230" s="93"/>
      <c r="EW230" s="93"/>
      <c r="EX230" s="93"/>
      <c r="EY230" s="93"/>
      <c r="EZ230" s="93"/>
      <c r="FA230" s="93"/>
      <c r="FB230" s="93"/>
      <c r="FC230" s="93"/>
      <c r="FD230" s="93"/>
      <c r="FE230" s="93"/>
      <c r="FF230" s="93"/>
      <c r="FG230" s="93"/>
      <c r="FH230" s="93"/>
      <c r="FI230" s="93"/>
      <c r="FJ230" s="93"/>
      <c r="FK230" s="93"/>
      <c r="FL230" s="93"/>
      <c r="FM230" s="93"/>
      <c r="FN230" s="93"/>
      <c r="FO230" s="93"/>
      <c r="FP230" s="93"/>
      <c r="FQ230" s="93"/>
      <c r="FR230" s="93"/>
      <c r="FS230" s="93"/>
      <c r="FT230" s="93"/>
      <c r="FU230" s="93"/>
      <c r="FV230" s="93"/>
      <c r="FW230" s="93"/>
      <c r="FX230" s="93"/>
      <c r="FY230" s="93"/>
      <c r="FZ230" s="93"/>
      <c r="GA230" s="93"/>
      <c r="GB230" s="93"/>
      <c r="GC230" s="93"/>
      <c r="GD230" s="93"/>
      <c r="GE230" s="93"/>
      <c r="GF230" s="93"/>
      <c r="GG230" s="93"/>
      <c r="GH230" s="93"/>
      <c r="GI230" s="93"/>
      <c r="GJ230" s="93"/>
      <c r="GK230" s="93"/>
      <c r="GL230" s="93"/>
      <c r="GM230" s="93"/>
      <c r="GN230" s="93"/>
      <c r="GO230" s="93"/>
      <c r="GP230" s="93"/>
      <c r="GQ230" s="93"/>
      <c r="GR230" s="93"/>
      <c r="GS230" s="93"/>
      <c r="GT230" s="93"/>
      <c r="GU230" s="93"/>
      <c r="GV230" s="93"/>
      <c r="GW230" s="93"/>
      <c r="GX230" s="93"/>
      <c r="GY230" s="93"/>
      <c r="GZ230" s="93"/>
      <c r="HA230" s="93"/>
      <c r="HB230" s="93"/>
      <c r="HC230" s="93"/>
      <c r="HD230" s="93"/>
      <c r="HE230" s="93"/>
      <c r="HF230" s="93"/>
      <c r="HG230" s="93"/>
    </row>
    <row r="231" spans="14:215" x14ac:dyDescent="0.2">
      <c r="N231" s="93" t="s">
        <v>348</v>
      </c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  <c r="BI231" s="93"/>
      <c r="BJ231" s="93"/>
      <c r="BK231" s="93"/>
      <c r="BL231" s="93"/>
      <c r="BM231" s="93"/>
      <c r="BN231" s="93"/>
      <c r="BO231" s="93"/>
      <c r="BP231" s="93"/>
      <c r="BQ231" s="93"/>
      <c r="BR231" s="93"/>
      <c r="BS231" s="93"/>
      <c r="BT231" s="93"/>
      <c r="BU231" s="93"/>
      <c r="BV231" s="93"/>
      <c r="BW231" s="93"/>
      <c r="BX231" s="93"/>
      <c r="BY231" s="93"/>
      <c r="BZ231" s="93"/>
      <c r="CA231" s="93"/>
      <c r="CB231" s="93"/>
      <c r="CC231" s="93"/>
      <c r="CD231" s="93"/>
      <c r="CE231" s="93"/>
      <c r="CF231" s="93"/>
      <c r="CG231" s="93"/>
      <c r="CH231" s="93"/>
      <c r="CI231" s="93"/>
      <c r="CJ231" s="93"/>
      <c r="CK231" s="93"/>
      <c r="CL231" s="93"/>
      <c r="CM231" s="93"/>
      <c r="CN231" s="93"/>
      <c r="CO231" s="93"/>
      <c r="CP231" s="93"/>
      <c r="CQ231" s="93"/>
      <c r="CR231" s="93"/>
      <c r="CS231" s="93"/>
      <c r="CT231" s="93"/>
      <c r="CU231" s="93"/>
      <c r="CV231" s="93"/>
      <c r="CW231" s="93"/>
      <c r="CX231" s="93"/>
      <c r="CY231" s="93"/>
      <c r="CZ231" s="93"/>
      <c r="DA231" s="93"/>
      <c r="DB231" s="93"/>
      <c r="DC231" s="93"/>
      <c r="DD231" s="93"/>
      <c r="DE231" s="93"/>
      <c r="DF231" s="93"/>
      <c r="DG231" s="93"/>
      <c r="DH231" s="93"/>
      <c r="DI231" s="93"/>
      <c r="DJ231" s="93"/>
      <c r="DK231" s="93"/>
      <c r="DL231" s="93"/>
      <c r="DM231" s="93"/>
      <c r="DN231" s="93"/>
      <c r="DO231" s="93"/>
      <c r="DP231" s="93"/>
      <c r="DQ231" s="93"/>
      <c r="DR231" s="93"/>
      <c r="DS231" s="93"/>
      <c r="DT231" s="93"/>
      <c r="DU231" s="93"/>
      <c r="DV231" s="93"/>
      <c r="DW231" s="93"/>
      <c r="DX231" s="93"/>
      <c r="DY231" s="93"/>
      <c r="DZ231" s="93"/>
      <c r="EA231" s="93"/>
      <c r="EB231" s="93"/>
      <c r="EC231" s="93"/>
      <c r="ED231" s="93"/>
      <c r="EE231" s="93">
        <v>0.33240482822655526</v>
      </c>
      <c r="EF231" s="93"/>
      <c r="EG231" s="93"/>
      <c r="EH231" s="93"/>
      <c r="EI231" s="93"/>
      <c r="EJ231" s="93"/>
      <c r="EK231" s="93"/>
      <c r="EL231" s="93"/>
      <c r="EM231" s="93"/>
      <c r="EN231" s="93"/>
      <c r="EO231" s="93"/>
      <c r="EP231" s="93"/>
      <c r="EQ231" s="93"/>
      <c r="ER231" s="93"/>
      <c r="ES231" s="93"/>
      <c r="ET231" s="93"/>
      <c r="EU231" s="93"/>
      <c r="EV231" s="93"/>
      <c r="EW231" s="93"/>
      <c r="EX231" s="93"/>
      <c r="EY231" s="93"/>
      <c r="EZ231" s="93"/>
      <c r="FA231" s="93"/>
      <c r="FB231" s="93"/>
      <c r="FC231" s="93"/>
      <c r="FD231" s="93"/>
      <c r="FE231" s="93"/>
      <c r="FF231" s="93"/>
      <c r="FG231" s="93"/>
      <c r="FH231" s="93"/>
      <c r="FI231" s="93"/>
      <c r="FJ231" s="93"/>
      <c r="FK231" s="93"/>
      <c r="FL231" s="93"/>
      <c r="FM231" s="93"/>
      <c r="FN231" s="93"/>
      <c r="FO231" s="93"/>
      <c r="FP231" s="93"/>
      <c r="FQ231" s="93"/>
      <c r="FR231" s="93"/>
      <c r="FS231" s="93"/>
      <c r="FT231" s="93"/>
      <c r="FU231" s="93"/>
      <c r="FV231" s="93"/>
      <c r="FW231" s="93"/>
      <c r="FX231" s="93"/>
      <c r="FY231" s="93"/>
      <c r="FZ231" s="93"/>
      <c r="GA231" s="93"/>
      <c r="GB231" s="93"/>
      <c r="GC231" s="93"/>
      <c r="GD231" s="93"/>
      <c r="GE231" s="93"/>
      <c r="GF231" s="93"/>
      <c r="GG231" s="93"/>
      <c r="GH231" s="93"/>
      <c r="GI231" s="93"/>
      <c r="GJ231" s="93"/>
      <c r="GK231" s="93"/>
      <c r="GL231" s="93"/>
      <c r="GM231" s="93"/>
      <c r="GN231" s="93"/>
      <c r="GO231" s="93"/>
      <c r="GP231" s="93"/>
      <c r="GQ231" s="93"/>
      <c r="GR231" s="93"/>
      <c r="GS231" s="93"/>
      <c r="GT231" s="93"/>
      <c r="GU231" s="93"/>
      <c r="GV231" s="93"/>
      <c r="GW231" s="93"/>
      <c r="GX231" s="93"/>
      <c r="GY231" s="93"/>
      <c r="GZ231" s="93"/>
      <c r="HA231" s="93"/>
      <c r="HB231" s="93"/>
      <c r="HC231" s="93"/>
      <c r="HD231" s="93"/>
      <c r="HE231" s="93"/>
      <c r="HF231" s="93"/>
      <c r="HG231" s="93"/>
    </row>
    <row r="232" spans="14:215" x14ac:dyDescent="0.2">
      <c r="N232" s="93" t="s">
        <v>349</v>
      </c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93"/>
      <c r="BG232" s="93"/>
      <c r="BH232" s="93"/>
      <c r="BI232" s="93"/>
      <c r="BJ232" s="93"/>
      <c r="BK232" s="93"/>
      <c r="BL232" s="93"/>
      <c r="BM232" s="93"/>
      <c r="BN232" s="93"/>
      <c r="BO232" s="93"/>
      <c r="BP232" s="93"/>
      <c r="BQ232" s="93"/>
      <c r="BR232" s="93"/>
      <c r="BS232" s="93"/>
      <c r="BT232" s="93"/>
      <c r="BU232" s="93"/>
      <c r="BV232" s="93"/>
      <c r="BW232" s="93"/>
      <c r="BX232" s="93"/>
      <c r="BY232" s="93"/>
      <c r="BZ232" s="93"/>
      <c r="CA232" s="93"/>
      <c r="CB232" s="93"/>
      <c r="CC232" s="93"/>
      <c r="CD232" s="93"/>
      <c r="CE232" s="93"/>
      <c r="CF232" s="93"/>
      <c r="CG232" s="93"/>
      <c r="CH232" s="93"/>
      <c r="CI232" s="93"/>
      <c r="CJ232" s="93"/>
      <c r="CK232" s="93"/>
      <c r="CL232" s="93"/>
      <c r="CM232" s="93"/>
      <c r="CN232" s="93"/>
      <c r="CO232" s="93"/>
      <c r="CP232" s="93"/>
      <c r="CQ232" s="93"/>
      <c r="CR232" s="93"/>
      <c r="CS232" s="93"/>
      <c r="CT232" s="93"/>
      <c r="CU232" s="93"/>
      <c r="CV232" s="93"/>
      <c r="CW232" s="93"/>
      <c r="CX232" s="93"/>
      <c r="CY232" s="93"/>
      <c r="CZ232" s="93"/>
      <c r="DA232" s="93"/>
      <c r="DB232" s="93"/>
      <c r="DC232" s="93"/>
      <c r="DD232" s="93"/>
      <c r="DE232" s="93"/>
      <c r="DF232" s="93"/>
      <c r="DG232" s="93"/>
      <c r="DH232" s="93"/>
      <c r="DI232" s="93"/>
      <c r="DJ232" s="93"/>
      <c r="DK232" s="93"/>
      <c r="DL232" s="93"/>
      <c r="DM232" s="93"/>
      <c r="DN232" s="93"/>
      <c r="DO232" s="93"/>
      <c r="DP232" s="93"/>
      <c r="DQ232" s="93"/>
      <c r="DR232" s="93"/>
      <c r="DS232" s="93"/>
      <c r="DT232" s="93"/>
      <c r="DU232" s="93"/>
      <c r="DV232" s="93"/>
      <c r="DW232" s="93"/>
      <c r="DX232" s="93"/>
      <c r="DY232" s="93"/>
      <c r="DZ232" s="93"/>
      <c r="EA232" s="93"/>
      <c r="EB232" s="93"/>
      <c r="EC232" s="93"/>
      <c r="ED232" s="93"/>
      <c r="EE232" s="93"/>
      <c r="EF232" s="93">
        <v>0.33241252302025781</v>
      </c>
      <c r="EG232" s="93"/>
      <c r="EH232" s="93"/>
      <c r="EI232" s="93"/>
      <c r="EJ232" s="93"/>
      <c r="EK232" s="93"/>
      <c r="EL232" s="93"/>
      <c r="EM232" s="93"/>
      <c r="EN232" s="93"/>
      <c r="EO232" s="93"/>
      <c r="EP232" s="93"/>
      <c r="EQ232" s="93"/>
      <c r="ER232" s="93"/>
      <c r="ES232" s="93"/>
      <c r="ET232" s="93"/>
      <c r="EU232" s="93"/>
      <c r="EV232" s="93"/>
      <c r="EW232" s="93"/>
      <c r="EX232" s="93"/>
      <c r="EY232" s="93"/>
      <c r="EZ232" s="93"/>
      <c r="FA232" s="93"/>
      <c r="FB232" s="93"/>
      <c r="FC232" s="93"/>
      <c r="FD232" s="93"/>
      <c r="FE232" s="93"/>
      <c r="FF232" s="93"/>
      <c r="FG232" s="93"/>
      <c r="FH232" s="93"/>
      <c r="FI232" s="93"/>
      <c r="FJ232" s="93"/>
      <c r="FK232" s="93"/>
      <c r="FL232" s="93"/>
      <c r="FM232" s="93"/>
      <c r="FN232" s="93"/>
      <c r="FO232" s="93"/>
      <c r="FP232" s="93"/>
      <c r="FQ232" s="93"/>
      <c r="FR232" s="93"/>
      <c r="FS232" s="93"/>
      <c r="FT232" s="93"/>
      <c r="FU232" s="93"/>
      <c r="FV232" s="93"/>
      <c r="FW232" s="93"/>
      <c r="FX232" s="93"/>
      <c r="FY232" s="93"/>
      <c r="FZ232" s="93"/>
      <c r="GA232" s="93"/>
      <c r="GB232" s="93"/>
      <c r="GC232" s="93"/>
      <c r="GD232" s="93"/>
      <c r="GE232" s="93"/>
      <c r="GF232" s="93"/>
      <c r="GG232" s="93"/>
      <c r="GH232" s="93"/>
      <c r="GI232" s="93"/>
      <c r="GJ232" s="93"/>
      <c r="GK232" s="93"/>
      <c r="GL232" s="93"/>
      <c r="GM232" s="93"/>
      <c r="GN232" s="93"/>
      <c r="GO232" s="93"/>
      <c r="GP232" s="93"/>
      <c r="GQ232" s="93"/>
      <c r="GR232" s="93"/>
      <c r="GS232" s="93"/>
      <c r="GT232" s="93"/>
      <c r="GU232" s="93"/>
      <c r="GV232" s="93"/>
      <c r="GW232" s="93"/>
      <c r="GX232" s="93"/>
      <c r="GY232" s="93"/>
      <c r="GZ232" s="93"/>
      <c r="HA232" s="93"/>
      <c r="HB232" s="93"/>
      <c r="HC232" s="93"/>
      <c r="HD232" s="93"/>
      <c r="HE232" s="93"/>
      <c r="HF232" s="93"/>
      <c r="HG232" s="93"/>
    </row>
    <row r="233" spans="14:215" x14ac:dyDescent="0.2">
      <c r="N233" s="93" t="s">
        <v>350</v>
      </c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  <c r="BI233" s="93"/>
      <c r="BJ233" s="93"/>
      <c r="BK233" s="93"/>
      <c r="BL233" s="93"/>
      <c r="BM233" s="93"/>
      <c r="BN233" s="93"/>
      <c r="BO233" s="93"/>
      <c r="BP233" s="93"/>
      <c r="BQ233" s="93"/>
      <c r="BR233" s="93"/>
      <c r="BS233" s="93"/>
      <c r="BT233" s="93"/>
      <c r="BU233" s="93"/>
      <c r="BV233" s="93"/>
      <c r="BW233" s="93"/>
      <c r="BX233" s="93"/>
      <c r="BY233" s="93"/>
      <c r="BZ233" s="93"/>
      <c r="CA233" s="93"/>
      <c r="CB233" s="93"/>
      <c r="CC233" s="93"/>
      <c r="CD233" s="93"/>
      <c r="CE233" s="93"/>
      <c r="CF233" s="93"/>
      <c r="CG233" s="93"/>
      <c r="CH233" s="93"/>
      <c r="CI233" s="93"/>
      <c r="CJ233" s="93"/>
      <c r="CK233" s="93"/>
      <c r="CL233" s="93"/>
      <c r="CM233" s="93"/>
      <c r="CN233" s="93"/>
      <c r="CO233" s="93"/>
      <c r="CP233" s="93"/>
      <c r="CQ233" s="93"/>
      <c r="CR233" s="93"/>
      <c r="CS233" s="93"/>
      <c r="CT233" s="93"/>
      <c r="CU233" s="93"/>
      <c r="CV233" s="93"/>
      <c r="CW233" s="93"/>
      <c r="CX233" s="93"/>
      <c r="CY233" s="93"/>
      <c r="CZ233" s="93"/>
      <c r="DA233" s="93"/>
      <c r="DB233" s="93"/>
      <c r="DC233" s="93"/>
      <c r="DD233" s="93"/>
      <c r="DE233" s="93"/>
      <c r="DF233" s="93"/>
      <c r="DG233" s="93"/>
      <c r="DH233" s="93"/>
      <c r="DI233" s="93"/>
      <c r="DJ233" s="93"/>
      <c r="DK233" s="93"/>
      <c r="DL233" s="93"/>
      <c r="DM233" s="93"/>
      <c r="DN233" s="93"/>
      <c r="DO233" s="93"/>
      <c r="DP233" s="93"/>
      <c r="DQ233" s="93"/>
      <c r="DR233" s="93"/>
      <c r="DS233" s="93"/>
      <c r="DT233" s="93"/>
      <c r="DU233" s="93"/>
      <c r="DV233" s="93"/>
      <c r="DW233" s="93"/>
      <c r="DX233" s="93"/>
      <c r="DY233" s="93"/>
      <c r="DZ233" s="93"/>
      <c r="EA233" s="93"/>
      <c r="EB233" s="93"/>
      <c r="EC233" s="93"/>
      <c r="ED233" s="93"/>
      <c r="EE233" s="93"/>
      <c r="EF233" s="93"/>
      <c r="EG233" s="93">
        <v>0.33242009132420092</v>
      </c>
      <c r="EH233" s="93"/>
      <c r="EI233" s="93"/>
      <c r="EJ233" s="93"/>
      <c r="EK233" s="93"/>
      <c r="EL233" s="93"/>
      <c r="EM233" s="93"/>
      <c r="EN233" s="93"/>
      <c r="EO233" s="93"/>
      <c r="EP233" s="93"/>
      <c r="EQ233" s="93"/>
      <c r="ER233" s="93"/>
      <c r="ES233" s="93"/>
      <c r="ET233" s="93"/>
      <c r="EU233" s="93"/>
      <c r="EV233" s="93"/>
      <c r="EW233" s="93"/>
      <c r="EX233" s="93"/>
      <c r="EY233" s="93"/>
      <c r="EZ233" s="93"/>
      <c r="FA233" s="93"/>
      <c r="FB233" s="93"/>
      <c r="FC233" s="93"/>
      <c r="FD233" s="93"/>
      <c r="FE233" s="93"/>
      <c r="FF233" s="93"/>
      <c r="FG233" s="93"/>
      <c r="FH233" s="93"/>
      <c r="FI233" s="93"/>
      <c r="FJ233" s="93"/>
      <c r="FK233" s="93"/>
      <c r="FL233" s="93"/>
      <c r="FM233" s="93"/>
      <c r="FN233" s="93"/>
      <c r="FO233" s="93"/>
      <c r="FP233" s="93"/>
      <c r="FQ233" s="93"/>
      <c r="FR233" s="93"/>
      <c r="FS233" s="93"/>
      <c r="FT233" s="93"/>
      <c r="FU233" s="93"/>
      <c r="FV233" s="93"/>
      <c r="FW233" s="93"/>
      <c r="FX233" s="93"/>
      <c r="FY233" s="93"/>
      <c r="FZ233" s="93"/>
      <c r="GA233" s="93"/>
      <c r="GB233" s="93"/>
      <c r="GC233" s="93"/>
      <c r="GD233" s="93"/>
      <c r="GE233" s="93"/>
      <c r="GF233" s="93"/>
      <c r="GG233" s="93"/>
      <c r="GH233" s="93"/>
      <c r="GI233" s="93"/>
      <c r="GJ233" s="93"/>
      <c r="GK233" s="93"/>
      <c r="GL233" s="93"/>
      <c r="GM233" s="93"/>
      <c r="GN233" s="93"/>
      <c r="GO233" s="93"/>
      <c r="GP233" s="93"/>
      <c r="GQ233" s="93"/>
      <c r="GR233" s="93"/>
      <c r="GS233" s="93"/>
      <c r="GT233" s="93"/>
      <c r="GU233" s="93"/>
      <c r="GV233" s="93"/>
      <c r="GW233" s="93"/>
      <c r="GX233" s="93"/>
      <c r="GY233" s="93"/>
      <c r="GZ233" s="93"/>
      <c r="HA233" s="93"/>
      <c r="HB233" s="93"/>
      <c r="HC233" s="93"/>
      <c r="HD233" s="93"/>
      <c r="HE233" s="93"/>
      <c r="HF233" s="93"/>
      <c r="HG233" s="93"/>
    </row>
    <row r="234" spans="14:215" x14ac:dyDescent="0.2">
      <c r="N234" s="93" t="s">
        <v>351</v>
      </c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3"/>
      <c r="AW234" s="93"/>
      <c r="AX234" s="93"/>
      <c r="AY234" s="93"/>
      <c r="AZ234" s="93"/>
      <c r="BA234" s="93"/>
      <c r="BB234" s="93"/>
      <c r="BC234" s="93"/>
      <c r="BD234" s="93"/>
      <c r="BE234" s="93"/>
      <c r="BF234" s="93"/>
      <c r="BG234" s="93"/>
      <c r="BH234" s="93"/>
      <c r="BI234" s="93"/>
      <c r="BJ234" s="93"/>
      <c r="BK234" s="93"/>
      <c r="BL234" s="93"/>
      <c r="BM234" s="93"/>
      <c r="BN234" s="93"/>
      <c r="BO234" s="93"/>
      <c r="BP234" s="93"/>
      <c r="BQ234" s="93"/>
      <c r="BR234" s="93"/>
      <c r="BS234" s="93"/>
      <c r="BT234" s="93"/>
      <c r="BU234" s="93"/>
      <c r="BV234" s="93"/>
      <c r="BW234" s="93"/>
      <c r="BX234" s="93"/>
      <c r="BY234" s="93"/>
      <c r="BZ234" s="93"/>
      <c r="CA234" s="93"/>
      <c r="CB234" s="93"/>
      <c r="CC234" s="93"/>
      <c r="CD234" s="93"/>
      <c r="CE234" s="93"/>
      <c r="CF234" s="93"/>
      <c r="CG234" s="93"/>
      <c r="CH234" s="93"/>
      <c r="CI234" s="93"/>
      <c r="CJ234" s="93"/>
      <c r="CK234" s="93"/>
      <c r="CL234" s="93"/>
      <c r="CM234" s="93"/>
      <c r="CN234" s="93"/>
      <c r="CO234" s="93"/>
      <c r="CP234" s="93"/>
      <c r="CQ234" s="93"/>
      <c r="CR234" s="93"/>
      <c r="CS234" s="93"/>
      <c r="CT234" s="93"/>
      <c r="CU234" s="93"/>
      <c r="CV234" s="93"/>
      <c r="CW234" s="93"/>
      <c r="CX234" s="93"/>
      <c r="CY234" s="93"/>
      <c r="CZ234" s="93"/>
      <c r="DA234" s="93"/>
      <c r="DB234" s="93"/>
      <c r="DC234" s="93"/>
      <c r="DD234" s="93"/>
      <c r="DE234" s="93"/>
      <c r="DF234" s="93"/>
      <c r="DG234" s="93"/>
      <c r="DH234" s="93"/>
      <c r="DI234" s="93"/>
      <c r="DJ234" s="93"/>
      <c r="DK234" s="93"/>
      <c r="DL234" s="93"/>
      <c r="DM234" s="93"/>
      <c r="DN234" s="93"/>
      <c r="DO234" s="93"/>
      <c r="DP234" s="93"/>
      <c r="DQ234" s="93"/>
      <c r="DR234" s="93"/>
      <c r="DS234" s="93"/>
      <c r="DT234" s="93"/>
      <c r="DU234" s="93"/>
      <c r="DV234" s="93"/>
      <c r="DW234" s="93"/>
      <c r="DX234" s="93"/>
      <c r="DY234" s="93"/>
      <c r="DZ234" s="93"/>
      <c r="EA234" s="93"/>
      <c r="EB234" s="93"/>
      <c r="EC234" s="93"/>
      <c r="ED234" s="93"/>
      <c r="EE234" s="93"/>
      <c r="EF234" s="93"/>
      <c r="EG234" s="93"/>
      <c r="EH234" s="93">
        <v>0.33242753623188404</v>
      </c>
      <c r="EI234" s="93"/>
      <c r="EJ234" s="93"/>
      <c r="EK234" s="93"/>
      <c r="EL234" s="93"/>
      <c r="EM234" s="93"/>
      <c r="EN234" s="93"/>
      <c r="EO234" s="93"/>
      <c r="EP234" s="93"/>
      <c r="EQ234" s="93"/>
      <c r="ER234" s="93"/>
      <c r="ES234" s="93"/>
      <c r="ET234" s="93"/>
      <c r="EU234" s="93"/>
      <c r="EV234" s="93"/>
      <c r="EW234" s="93"/>
      <c r="EX234" s="93"/>
      <c r="EY234" s="93"/>
      <c r="EZ234" s="93"/>
      <c r="FA234" s="93"/>
      <c r="FB234" s="93"/>
      <c r="FC234" s="93"/>
      <c r="FD234" s="93"/>
      <c r="FE234" s="93"/>
      <c r="FF234" s="93"/>
      <c r="FG234" s="93"/>
      <c r="FH234" s="93"/>
      <c r="FI234" s="93"/>
      <c r="FJ234" s="93"/>
      <c r="FK234" s="93"/>
      <c r="FL234" s="93"/>
      <c r="FM234" s="93"/>
      <c r="FN234" s="93"/>
      <c r="FO234" s="93"/>
      <c r="FP234" s="93"/>
      <c r="FQ234" s="93"/>
      <c r="FR234" s="93"/>
      <c r="FS234" s="93"/>
      <c r="FT234" s="93"/>
      <c r="FU234" s="93"/>
      <c r="FV234" s="93"/>
      <c r="FW234" s="93"/>
      <c r="FX234" s="93"/>
      <c r="FY234" s="93"/>
      <c r="FZ234" s="93"/>
      <c r="GA234" s="93"/>
      <c r="GB234" s="93"/>
      <c r="GC234" s="93"/>
      <c r="GD234" s="93"/>
      <c r="GE234" s="93"/>
      <c r="GF234" s="93"/>
      <c r="GG234" s="93"/>
      <c r="GH234" s="93"/>
      <c r="GI234" s="93"/>
      <c r="GJ234" s="93"/>
      <c r="GK234" s="93"/>
      <c r="GL234" s="93"/>
      <c r="GM234" s="93"/>
      <c r="GN234" s="93"/>
      <c r="GO234" s="93"/>
      <c r="GP234" s="93"/>
      <c r="GQ234" s="93"/>
      <c r="GR234" s="93"/>
      <c r="GS234" s="93"/>
      <c r="GT234" s="93"/>
      <c r="GU234" s="93"/>
      <c r="GV234" s="93"/>
      <c r="GW234" s="93"/>
      <c r="GX234" s="93"/>
      <c r="GY234" s="93"/>
      <c r="GZ234" s="93"/>
      <c r="HA234" s="93"/>
      <c r="HB234" s="93"/>
      <c r="HC234" s="93"/>
      <c r="HD234" s="93"/>
      <c r="HE234" s="93"/>
      <c r="HF234" s="93"/>
      <c r="HG234" s="93"/>
    </row>
    <row r="235" spans="14:215" x14ac:dyDescent="0.2">
      <c r="N235" s="93" t="s">
        <v>352</v>
      </c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  <c r="BI235" s="93"/>
      <c r="BJ235" s="93"/>
      <c r="BK235" s="93"/>
      <c r="BL235" s="93"/>
      <c r="BM235" s="93"/>
      <c r="BN235" s="93"/>
      <c r="BO235" s="93"/>
      <c r="BP235" s="93"/>
      <c r="BQ235" s="93"/>
      <c r="BR235" s="93"/>
      <c r="BS235" s="93"/>
      <c r="BT235" s="93"/>
      <c r="BU235" s="93"/>
      <c r="BV235" s="93"/>
      <c r="BW235" s="93"/>
      <c r="BX235" s="93"/>
      <c r="BY235" s="93"/>
      <c r="BZ235" s="93"/>
      <c r="CA235" s="93"/>
      <c r="CB235" s="93"/>
      <c r="CC235" s="93"/>
      <c r="CD235" s="93"/>
      <c r="CE235" s="93"/>
      <c r="CF235" s="93"/>
      <c r="CG235" s="93"/>
      <c r="CH235" s="93"/>
      <c r="CI235" s="93"/>
      <c r="CJ235" s="93"/>
      <c r="CK235" s="93"/>
      <c r="CL235" s="93"/>
      <c r="CM235" s="93"/>
      <c r="CN235" s="93"/>
      <c r="CO235" s="93"/>
      <c r="CP235" s="93"/>
      <c r="CQ235" s="93"/>
      <c r="CR235" s="93"/>
      <c r="CS235" s="93"/>
      <c r="CT235" s="93"/>
      <c r="CU235" s="93"/>
      <c r="CV235" s="93"/>
      <c r="CW235" s="93"/>
      <c r="CX235" s="93"/>
      <c r="CY235" s="93"/>
      <c r="CZ235" s="93"/>
      <c r="DA235" s="93"/>
      <c r="DB235" s="93"/>
      <c r="DC235" s="93"/>
      <c r="DD235" s="93"/>
      <c r="DE235" s="93"/>
      <c r="DF235" s="93"/>
      <c r="DG235" s="93"/>
      <c r="DH235" s="93"/>
      <c r="DI235" s="93"/>
      <c r="DJ235" s="93"/>
      <c r="DK235" s="93"/>
      <c r="DL235" s="93"/>
      <c r="DM235" s="93"/>
      <c r="DN235" s="93"/>
      <c r="DO235" s="93"/>
      <c r="DP235" s="93"/>
      <c r="DQ235" s="93"/>
      <c r="DR235" s="93"/>
      <c r="DS235" s="93"/>
      <c r="DT235" s="93"/>
      <c r="DU235" s="93"/>
      <c r="DV235" s="93"/>
      <c r="DW235" s="93"/>
      <c r="DX235" s="93"/>
      <c r="DY235" s="93"/>
      <c r="DZ235" s="93"/>
      <c r="EA235" s="93"/>
      <c r="EB235" s="93"/>
      <c r="EC235" s="93"/>
      <c r="ED235" s="93"/>
      <c r="EE235" s="93"/>
      <c r="EF235" s="93"/>
      <c r="EG235" s="93"/>
      <c r="EH235" s="93"/>
      <c r="EI235" s="93">
        <v>0.33243486073674755</v>
      </c>
      <c r="EJ235" s="93"/>
      <c r="EK235" s="93"/>
      <c r="EL235" s="93"/>
      <c r="EM235" s="93"/>
      <c r="EN235" s="93"/>
      <c r="EO235" s="93"/>
      <c r="EP235" s="93"/>
      <c r="EQ235" s="93"/>
      <c r="ER235" s="93"/>
      <c r="ES235" s="93"/>
      <c r="ET235" s="93"/>
      <c r="EU235" s="93"/>
      <c r="EV235" s="93"/>
      <c r="EW235" s="93"/>
      <c r="EX235" s="93"/>
      <c r="EY235" s="93"/>
      <c r="EZ235" s="93"/>
      <c r="FA235" s="93"/>
      <c r="FB235" s="93"/>
      <c r="FC235" s="93"/>
      <c r="FD235" s="93"/>
      <c r="FE235" s="93"/>
      <c r="FF235" s="93"/>
      <c r="FG235" s="93"/>
      <c r="FH235" s="93"/>
      <c r="FI235" s="93"/>
      <c r="FJ235" s="93"/>
      <c r="FK235" s="93"/>
      <c r="FL235" s="93"/>
      <c r="FM235" s="93"/>
      <c r="FN235" s="93"/>
      <c r="FO235" s="93"/>
      <c r="FP235" s="93"/>
      <c r="FQ235" s="93"/>
      <c r="FR235" s="93"/>
      <c r="FS235" s="93"/>
      <c r="FT235" s="93"/>
      <c r="FU235" s="93"/>
      <c r="FV235" s="93"/>
      <c r="FW235" s="93"/>
      <c r="FX235" s="93"/>
      <c r="FY235" s="93"/>
      <c r="FZ235" s="93"/>
      <c r="GA235" s="93"/>
      <c r="GB235" s="93"/>
      <c r="GC235" s="93"/>
      <c r="GD235" s="93"/>
      <c r="GE235" s="93"/>
      <c r="GF235" s="93"/>
      <c r="GG235" s="93"/>
      <c r="GH235" s="93"/>
      <c r="GI235" s="93"/>
      <c r="GJ235" s="93"/>
      <c r="GK235" s="93"/>
      <c r="GL235" s="93"/>
      <c r="GM235" s="93"/>
      <c r="GN235" s="93"/>
      <c r="GO235" s="93"/>
      <c r="GP235" s="93"/>
      <c r="GQ235" s="93"/>
      <c r="GR235" s="93"/>
      <c r="GS235" s="93"/>
      <c r="GT235" s="93"/>
      <c r="GU235" s="93"/>
      <c r="GV235" s="93"/>
      <c r="GW235" s="93"/>
      <c r="GX235" s="93"/>
      <c r="GY235" s="93"/>
      <c r="GZ235" s="93"/>
      <c r="HA235" s="93"/>
      <c r="HB235" s="93"/>
      <c r="HC235" s="93"/>
      <c r="HD235" s="93"/>
      <c r="HE235" s="93"/>
      <c r="HF235" s="93"/>
      <c r="HG235" s="93"/>
    </row>
    <row r="236" spans="14:215" x14ac:dyDescent="0.2">
      <c r="N236" s="93" t="s">
        <v>353</v>
      </c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3"/>
      <c r="AW236" s="93"/>
      <c r="AX236" s="93"/>
      <c r="AY236" s="93"/>
      <c r="AZ236" s="93"/>
      <c r="BA236" s="93"/>
      <c r="BB236" s="93"/>
      <c r="BC236" s="93"/>
      <c r="BD236" s="93"/>
      <c r="BE236" s="93"/>
      <c r="BF236" s="93"/>
      <c r="BG236" s="93"/>
      <c r="BH236" s="93"/>
      <c r="BI236" s="93"/>
      <c r="BJ236" s="93"/>
      <c r="BK236" s="93"/>
      <c r="BL236" s="93"/>
      <c r="BM236" s="93"/>
      <c r="BN236" s="93"/>
      <c r="BO236" s="93"/>
      <c r="BP236" s="93"/>
      <c r="BQ236" s="93"/>
      <c r="BR236" s="93"/>
      <c r="BS236" s="93"/>
      <c r="BT236" s="93"/>
      <c r="BU236" s="93"/>
      <c r="BV236" s="93"/>
      <c r="BW236" s="93"/>
      <c r="BX236" s="93"/>
      <c r="BY236" s="93"/>
      <c r="BZ236" s="93"/>
      <c r="CA236" s="93"/>
      <c r="CB236" s="93"/>
      <c r="CC236" s="93"/>
      <c r="CD236" s="93"/>
      <c r="CE236" s="93"/>
      <c r="CF236" s="93"/>
      <c r="CG236" s="93"/>
      <c r="CH236" s="93"/>
      <c r="CI236" s="93"/>
      <c r="CJ236" s="93"/>
      <c r="CK236" s="93"/>
      <c r="CL236" s="93"/>
      <c r="CM236" s="93"/>
      <c r="CN236" s="93"/>
      <c r="CO236" s="93"/>
      <c r="CP236" s="93"/>
      <c r="CQ236" s="93"/>
      <c r="CR236" s="93"/>
      <c r="CS236" s="93"/>
      <c r="CT236" s="93"/>
      <c r="CU236" s="93"/>
      <c r="CV236" s="93"/>
      <c r="CW236" s="93"/>
      <c r="CX236" s="93"/>
      <c r="CY236" s="93"/>
      <c r="CZ236" s="93"/>
      <c r="DA236" s="93"/>
      <c r="DB236" s="93"/>
      <c r="DC236" s="93"/>
      <c r="DD236" s="93"/>
      <c r="DE236" s="93"/>
      <c r="DF236" s="93"/>
      <c r="DG236" s="93"/>
      <c r="DH236" s="93"/>
      <c r="DI236" s="93"/>
      <c r="DJ236" s="93"/>
      <c r="DK236" s="93"/>
      <c r="DL236" s="93"/>
      <c r="DM236" s="93"/>
      <c r="DN236" s="93"/>
      <c r="DO236" s="93"/>
      <c r="DP236" s="93"/>
      <c r="DQ236" s="93"/>
      <c r="DR236" s="93"/>
      <c r="DS236" s="93"/>
      <c r="DT236" s="93"/>
      <c r="DU236" s="93"/>
      <c r="DV236" s="93"/>
      <c r="DW236" s="93"/>
      <c r="DX236" s="93"/>
      <c r="DY236" s="93"/>
      <c r="DZ236" s="93"/>
      <c r="EA236" s="93"/>
      <c r="EB236" s="93"/>
      <c r="EC236" s="93"/>
      <c r="ED236" s="93"/>
      <c r="EE236" s="93"/>
      <c r="EF236" s="93"/>
      <c r="EG236" s="93"/>
      <c r="EH236" s="93"/>
      <c r="EI236" s="93"/>
      <c r="EJ236" s="93">
        <v>0.3324420677361854</v>
      </c>
      <c r="EK236" s="93"/>
      <c r="EL236" s="93"/>
      <c r="EM236" s="93"/>
      <c r="EN236" s="93"/>
      <c r="EO236" s="93"/>
      <c r="EP236" s="93"/>
      <c r="EQ236" s="93"/>
      <c r="ER236" s="93"/>
      <c r="ES236" s="93"/>
      <c r="ET236" s="93"/>
      <c r="EU236" s="93"/>
      <c r="EV236" s="93"/>
      <c r="EW236" s="93"/>
      <c r="EX236" s="93"/>
      <c r="EY236" s="93"/>
      <c r="EZ236" s="93"/>
      <c r="FA236" s="93"/>
      <c r="FB236" s="93"/>
      <c r="FC236" s="93"/>
      <c r="FD236" s="93"/>
      <c r="FE236" s="93"/>
      <c r="FF236" s="93"/>
      <c r="FG236" s="93"/>
      <c r="FH236" s="93"/>
      <c r="FI236" s="93"/>
      <c r="FJ236" s="93"/>
      <c r="FK236" s="93"/>
      <c r="FL236" s="93"/>
      <c r="FM236" s="93"/>
      <c r="FN236" s="93"/>
      <c r="FO236" s="93"/>
      <c r="FP236" s="93"/>
      <c r="FQ236" s="93"/>
      <c r="FR236" s="93"/>
      <c r="FS236" s="93"/>
      <c r="FT236" s="93"/>
      <c r="FU236" s="93"/>
      <c r="FV236" s="93"/>
      <c r="FW236" s="93"/>
      <c r="FX236" s="93"/>
      <c r="FY236" s="93"/>
      <c r="FZ236" s="93"/>
      <c r="GA236" s="93"/>
      <c r="GB236" s="93"/>
      <c r="GC236" s="93"/>
      <c r="GD236" s="93"/>
      <c r="GE236" s="93"/>
      <c r="GF236" s="93"/>
      <c r="GG236" s="93"/>
      <c r="GH236" s="93"/>
      <c r="GI236" s="93"/>
      <c r="GJ236" s="93"/>
      <c r="GK236" s="93"/>
      <c r="GL236" s="93"/>
      <c r="GM236" s="93"/>
      <c r="GN236" s="93"/>
      <c r="GO236" s="93"/>
      <c r="GP236" s="93"/>
      <c r="GQ236" s="93"/>
      <c r="GR236" s="93"/>
      <c r="GS236" s="93"/>
      <c r="GT236" s="93"/>
      <c r="GU236" s="93"/>
      <c r="GV236" s="93"/>
      <c r="GW236" s="93"/>
      <c r="GX236" s="93"/>
      <c r="GY236" s="93"/>
      <c r="GZ236" s="93"/>
      <c r="HA236" s="93"/>
      <c r="HB236" s="93"/>
      <c r="HC236" s="93"/>
      <c r="HD236" s="93"/>
      <c r="HE236" s="93"/>
      <c r="HF236" s="93"/>
      <c r="HG236" s="93"/>
    </row>
    <row r="237" spans="14:215" x14ac:dyDescent="0.2">
      <c r="N237" s="93" t="s">
        <v>354</v>
      </c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  <c r="BI237" s="93"/>
      <c r="BJ237" s="93"/>
      <c r="BK237" s="93"/>
      <c r="BL237" s="93"/>
      <c r="BM237" s="93"/>
      <c r="BN237" s="93"/>
      <c r="BO237" s="93"/>
      <c r="BP237" s="93"/>
      <c r="BQ237" s="93"/>
      <c r="BR237" s="93"/>
      <c r="BS237" s="93"/>
      <c r="BT237" s="93"/>
      <c r="BU237" s="93"/>
      <c r="BV237" s="93"/>
      <c r="BW237" s="93"/>
      <c r="BX237" s="93"/>
      <c r="BY237" s="93"/>
      <c r="BZ237" s="93"/>
      <c r="CA237" s="93"/>
      <c r="CB237" s="93"/>
      <c r="CC237" s="93"/>
      <c r="CD237" s="93"/>
      <c r="CE237" s="93"/>
      <c r="CF237" s="93"/>
      <c r="CG237" s="93"/>
      <c r="CH237" s="93"/>
      <c r="CI237" s="93"/>
      <c r="CJ237" s="93"/>
      <c r="CK237" s="93"/>
      <c r="CL237" s="93"/>
      <c r="CM237" s="93"/>
      <c r="CN237" s="93"/>
      <c r="CO237" s="93"/>
      <c r="CP237" s="93"/>
      <c r="CQ237" s="93"/>
      <c r="CR237" s="93"/>
      <c r="CS237" s="93"/>
      <c r="CT237" s="93"/>
      <c r="CU237" s="93"/>
      <c r="CV237" s="93"/>
      <c r="CW237" s="93"/>
      <c r="CX237" s="93"/>
      <c r="CY237" s="93"/>
      <c r="CZ237" s="93"/>
      <c r="DA237" s="93"/>
      <c r="DB237" s="93"/>
      <c r="DC237" s="93"/>
      <c r="DD237" s="93"/>
      <c r="DE237" s="93"/>
      <c r="DF237" s="93"/>
      <c r="DG237" s="93"/>
      <c r="DH237" s="93"/>
      <c r="DI237" s="93"/>
      <c r="DJ237" s="93"/>
      <c r="DK237" s="93"/>
      <c r="DL237" s="93"/>
      <c r="DM237" s="93"/>
      <c r="DN237" s="93"/>
      <c r="DO237" s="93"/>
      <c r="DP237" s="93"/>
      <c r="DQ237" s="93"/>
      <c r="DR237" s="93"/>
      <c r="DS237" s="93"/>
      <c r="DT237" s="93"/>
      <c r="DU237" s="93"/>
      <c r="DV237" s="93"/>
      <c r="DW237" s="93"/>
      <c r="DX237" s="93"/>
      <c r="DY237" s="93"/>
      <c r="DZ237" s="93"/>
      <c r="EA237" s="93"/>
      <c r="EB237" s="93"/>
      <c r="EC237" s="93"/>
      <c r="ED237" s="93"/>
      <c r="EE237" s="93"/>
      <c r="EF237" s="93"/>
      <c r="EG237" s="93"/>
      <c r="EH237" s="93"/>
      <c r="EI237" s="93"/>
      <c r="EJ237" s="93"/>
      <c r="EK237" s="93">
        <v>0.33244916003536695</v>
      </c>
      <c r="EL237" s="93"/>
      <c r="EM237" s="93"/>
      <c r="EN237" s="93"/>
      <c r="EO237" s="93"/>
      <c r="EP237" s="93"/>
      <c r="EQ237" s="93"/>
      <c r="ER237" s="93"/>
      <c r="ES237" s="93"/>
      <c r="ET237" s="93"/>
      <c r="EU237" s="93"/>
      <c r="EV237" s="93"/>
      <c r="EW237" s="93"/>
      <c r="EX237" s="93"/>
      <c r="EY237" s="93"/>
      <c r="EZ237" s="93"/>
      <c r="FA237" s="93"/>
      <c r="FB237" s="93"/>
      <c r="FC237" s="93"/>
      <c r="FD237" s="93"/>
      <c r="FE237" s="93"/>
      <c r="FF237" s="93"/>
      <c r="FG237" s="93"/>
      <c r="FH237" s="93"/>
      <c r="FI237" s="93"/>
      <c r="FJ237" s="93"/>
      <c r="FK237" s="93"/>
      <c r="FL237" s="93"/>
      <c r="FM237" s="93"/>
      <c r="FN237" s="93"/>
      <c r="FO237" s="93"/>
      <c r="FP237" s="93"/>
      <c r="FQ237" s="93"/>
      <c r="FR237" s="93"/>
      <c r="FS237" s="93"/>
      <c r="FT237" s="93"/>
      <c r="FU237" s="93"/>
      <c r="FV237" s="93"/>
      <c r="FW237" s="93"/>
      <c r="FX237" s="93"/>
      <c r="FY237" s="93"/>
      <c r="FZ237" s="93"/>
      <c r="GA237" s="93"/>
      <c r="GB237" s="93"/>
      <c r="GC237" s="93"/>
      <c r="GD237" s="93"/>
      <c r="GE237" s="93"/>
      <c r="GF237" s="93"/>
      <c r="GG237" s="93"/>
      <c r="GH237" s="93"/>
      <c r="GI237" s="93"/>
      <c r="GJ237" s="93"/>
      <c r="GK237" s="93"/>
      <c r="GL237" s="93"/>
      <c r="GM237" s="93"/>
      <c r="GN237" s="93"/>
      <c r="GO237" s="93"/>
      <c r="GP237" s="93"/>
      <c r="GQ237" s="93"/>
      <c r="GR237" s="93"/>
      <c r="GS237" s="93"/>
      <c r="GT237" s="93"/>
      <c r="GU237" s="93"/>
      <c r="GV237" s="93"/>
      <c r="GW237" s="93"/>
      <c r="GX237" s="93"/>
      <c r="GY237" s="93"/>
      <c r="GZ237" s="93"/>
      <c r="HA237" s="93"/>
      <c r="HB237" s="93"/>
      <c r="HC237" s="93"/>
      <c r="HD237" s="93"/>
      <c r="HE237" s="93"/>
      <c r="HF237" s="93"/>
      <c r="HG237" s="93"/>
    </row>
    <row r="238" spans="14:215" x14ac:dyDescent="0.2">
      <c r="N238" s="93" t="s">
        <v>355</v>
      </c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3"/>
      <c r="AW238" s="93"/>
      <c r="AX238" s="93"/>
      <c r="AY238" s="93"/>
      <c r="AZ238" s="93"/>
      <c r="BA238" s="93"/>
      <c r="BB238" s="93"/>
      <c r="BC238" s="93"/>
      <c r="BD238" s="93"/>
      <c r="BE238" s="93"/>
      <c r="BF238" s="93"/>
      <c r="BG238" s="93"/>
      <c r="BH238" s="93"/>
      <c r="BI238" s="93"/>
      <c r="BJ238" s="93"/>
      <c r="BK238" s="93"/>
      <c r="BL238" s="93"/>
      <c r="BM238" s="93"/>
      <c r="BN238" s="93"/>
      <c r="BO238" s="93"/>
      <c r="BP238" s="93"/>
      <c r="BQ238" s="93"/>
      <c r="BR238" s="93"/>
      <c r="BS238" s="93"/>
      <c r="BT238" s="93"/>
      <c r="BU238" s="93"/>
      <c r="BV238" s="93"/>
      <c r="BW238" s="93"/>
      <c r="BX238" s="93"/>
      <c r="BY238" s="93"/>
      <c r="BZ238" s="93"/>
      <c r="CA238" s="93"/>
      <c r="CB238" s="93"/>
      <c r="CC238" s="93"/>
      <c r="CD238" s="93"/>
      <c r="CE238" s="93"/>
      <c r="CF238" s="93"/>
      <c r="CG238" s="93"/>
      <c r="CH238" s="93"/>
      <c r="CI238" s="93"/>
      <c r="CJ238" s="93"/>
      <c r="CK238" s="93"/>
      <c r="CL238" s="93"/>
      <c r="CM238" s="93"/>
      <c r="CN238" s="93"/>
      <c r="CO238" s="93"/>
      <c r="CP238" s="93"/>
      <c r="CQ238" s="93"/>
      <c r="CR238" s="93"/>
      <c r="CS238" s="93"/>
      <c r="CT238" s="93"/>
      <c r="CU238" s="93"/>
      <c r="CV238" s="93"/>
      <c r="CW238" s="93"/>
      <c r="CX238" s="93"/>
      <c r="CY238" s="93"/>
      <c r="CZ238" s="93"/>
      <c r="DA238" s="93"/>
      <c r="DB238" s="93"/>
      <c r="DC238" s="93"/>
      <c r="DD238" s="93"/>
      <c r="DE238" s="93"/>
      <c r="DF238" s="93"/>
      <c r="DG238" s="93"/>
      <c r="DH238" s="93"/>
      <c r="DI238" s="93"/>
      <c r="DJ238" s="93"/>
      <c r="DK238" s="93"/>
      <c r="DL238" s="93"/>
      <c r="DM238" s="93"/>
      <c r="DN238" s="93"/>
      <c r="DO238" s="93"/>
      <c r="DP238" s="93"/>
      <c r="DQ238" s="93"/>
      <c r="DR238" s="93"/>
      <c r="DS238" s="93"/>
      <c r="DT238" s="93"/>
      <c r="DU238" s="93"/>
      <c r="DV238" s="93"/>
      <c r="DW238" s="93"/>
      <c r="DX238" s="93"/>
      <c r="DY238" s="93"/>
      <c r="DZ238" s="93"/>
      <c r="EA238" s="93"/>
      <c r="EB238" s="93"/>
      <c r="EC238" s="93"/>
      <c r="ED238" s="93"/>
      <c r="EE238" s="93"/>
      <c r="EF238" s="93"/>
      <c r="EG238" s="93"/>
      <c r="EH238" s="93"/>
      <c r="EI238" s="93"/>
      <c r="EJ238" s="93"/>
      <c r="EK238" s="93"/>
      <c r="EL238" s="93">
        <v>0.33245614035087717</v>
      </c>
      <c r="EM238" s="93"/>
      <c r="EN238" s="93"/>
      <c r="EO238" s="93"/>
      <c r="EP238" s="93"/>
      <c r="EQ238" s="93"/>
      <c r="ER238" s="93"/>
      <c r="ES238" s="93"/>
      <c r="ET238" s="93"/>
      <c r="EU238" s="93"/>
      <c r="EV238" s="93"/>
      <c r="EW238" s="93"/>
      <c r="EX238" s="93"/>
      <c r="EY238" s="93"/>
      <c r="EZ238" s="93"/>
      <c r="FA238" s="93"/>
      <c r="FB238" s="93"/>
      <c r="FC238" s="93"/>
      <c r="FD238" s="93"/>
      <c r="FE238" s="93"/>
      <c r="FF238" s="93"/>
      <c r="FG238" s="93"/>
      <c r="FH238" s="93"/>
      <c r="FI238" s="93"/>
      <c r="FJ238" s="93"/>
      <c r="FK238" s="93"/>
      <c r="FL238" s="93"/>
      <c r="FM238" s="93"/>
      <c r="FN238" s="93"/>
      <c r="FO238" s="93"/>
      <c r="FP238" s="93"/>
      <c r="FQ238" s="93"/>
      <c r="FR238" s="93"/>
      <c r="FS238" s="93"/>
      <c r="FT238" s="93"/>
      <c r="FU238" s="93"/>
      <c r="FV238" s="93"/>
      <c r="FW238" s="93"/>
      <c r="FX238" s="93"/>
      <c r="FY238" s="93"/>
      <c r="FZ238" s="93"/>
      <c r="GA238" s="93"/>
      <c r="GB238" s="93"/>
      <c r="GC238" s="93"/>
      <c r="GD238" s="93"/>
      <c r="GE238" s="93"/>
      <c r="GF238" s="93"/>
      <c r="GG238" s="93"/>
      <c r="GH238" s="93"/>
      <c r="GI238" s="93"/>
      <c r="GJ238" s="93"/>
      <c r="GK238" s="93"/>
      <c r="GL238" s="93"/>
      <c r="GM238" s="93"/>
      <c r="GN238" s="93"/>
      <c r="GO238" s="93"/>
      <c r="GP238" s="93"/>
      <c r="GQ238" s="93"/>
      <c r="GR238" s="93"/>
      <c r="GS238" s="93"/>
      <c r="GT238" s="93"/>
      <c r="GU238" s="93"/>
      <c r="GV238" s="93"/>
      <c r="GW238" s="93"/>
      <c r="GX238" s="93"/>
      <c r="GY238" s="93"/>
      <c r="GZ238" s="93"/>
      <c r="HA238" s="93"/>
      <c r="HB238" s="93"/>
      <c r="HC238" s="93"/>
      <c r="HD238" s="93"/>
      <c r="HE238" s="93"/>
      <c r="HF238" s="93"/>
      <c r="HG238" s="93"/>
    </row>
    <row r="239" spans="14:215" x14ac:dyDescent="0.2">
      <c r="N239" s="93" t="s">
        <v>356</v>
      </c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  <c r="BI239" s="93"/>
      <c r="BJ239" s="93"/>
      <c r="BK239" s="93"/>
      <c r="BL239" s="93"/>
      <c r="BM239" s="93"/>
      <c r="BN239" s="93"/>
      <c r="BO239" s="93"/>
      <c r="BP239" s="93"/>
      <c r="BQ239" s="93"/>
      <c r="BR239" s="93"/>
      <c r="BS239" s="93"/>
      <c r="BT239" s="93"/>
      <c r="BU239" s="93"/>
      <c r="BV239" s="93"/>
      <c r="BW239" s="93"/>
      <c r="BX239" s="93"/>
      <c r="BY239" s="93"/>
      <c r="BZ239" s="93"/>
      <c r="CA239" s="93"/>
      <c r="CB239" s="93"/>
      <c r="CC239" s="93"/>
      <c r="CD239" s="93"/>
      <c r="CE239" s="93"/>
      <c r="CF239" s="93"/>
      <c r="CG239" s="93"/>
      <c r="CH239" s="93"/>
      <c r="CI239" s="93"/>
      <c r="CJ239" s="93"/>
      <c r="CK239" s="93"/>
      <c r="CL239" s="93"/>
      <c r="CM239" s="93"/>
      <c r="CN239" s="93"/>
      <c r="CO239" s="93"/>
      <c r="CP239" s="93"/>
      <c r="CQ239" s="93"/>
      <c r="CR239" s="93"/>
      <c r="CS239" s="93"/>
      <c r="CT239" s="93"/>
      <c r="CU239" s="93"/>
      <c r="CV239" s="93"/>
      <c r="CW239" s="93"/>
      <c r="CX239" s="93"/>
      <c r="CY239" s="93"/>
      <c r="CZ239" s="93"/>
      <c r="DA239" s="93"/>
      <c r="DB239" s="93"/>
      <c r="DC239" s="93"/>
      <c r="DD239" s="93"/>
      <c r="DE239" s="93"/>
      <c r="DF239" s="93"/>
      <c r="DG239" s="93"/>
      <c r="DH239" s="93"/>
      <c r="DI239" s="93"/>
      <c r="DJ239" s="93"/>
      <c r="DK239" s="93"/>
      <c r="DL239" s="93"/>
      <c r="DM239" s="93"/>
      <c r="DN239" s="93"/>
      <c r="DO239" s="93"/>
      <c r="DP239" s="93"/>
      <c r="DQ239" s="93"/>
      <c r="DR239" s="93"/>
      <c r="DS239" s="93"/>
      <c r="DT239" s="93"/>
      <c r="DU239" s="93"/>
      <c r="DV239" s="93"/>
      <c r="DW239" s="93"/>
      <c r="DX239" s="93"/>
      <c r="DY239" s="93"/>
      <c r="DZ239" s="93"/>
      <c r="EA239" s="93"/>
      <c r="EB239" s="93"/>
      <c r="EC239" s="93"/>
      <c r="ED239" s="93"/>
      <c r="EE239" s="93"/>
      <c r="EF239" s="93"/>
      <c r="EG239" s="93"/>
      <c r="EH239" s="93"/>
      <c r="EI239" s="93"/>
      <c r="EJ239" s="93"/>
      <c r="EK239" s="93"/>
      <c r="EL239" s="93"/>
      <c r="EM239" s="93">
        <v>0.33246301131418626</v>
      </c>
      <c r="EN239" s="93"/>
      <c r="EO239" s="93"/>
      <c r="EP239" s="93"/>
      <c r="EQ239" s="93"/>
      <c r="ER239" s="93"/>
      <c r="ES239" s="93"/>
      <c r="ET239" s="93"/>
      <c r="EU239" s="93"/>
      <c r="EV239" s="93"/>
      <c r="EW239" s="93"/>
      <c r="EX239" s="93"/>
      <c r="EY239" s="93"/>
      <c r="EZ239" s="93"/>
      <c r="FA239" s="93"/>
      <c r="FB239" s="93"/>
      <c r="FC239" s="93"/>
      <c r="FD239" s="93"/>
      <c r="FE239" s="93"/>
      <c r="FF239" s="93"/>
      <c r="FG239" s="93"/>
      <c r="FH239" s="93"/>
      <c r="FI239" s="93"/>
      <c r="FJ239" s="93"/>
      <c r="FK239" s="93"/>
      <c r="FL239" s="93"/>
      <c r="FM239" s="93"/>
      <c r="FN239" s="93"/>
      <c r="FO239" s="93"/>
      <c r="FP239" s="93"/>
      <c r="FQ239" s="93"/>
      <c r="FR239" s="93"/>
      <c r="FS239" s="93"/>
      <c r="FT239" s="93"/>
      <c r="FU239" s="93"/>
      <c r="FV239" s="93"/>
      <c r="FW239" s="93"/>
      <c r="FX239" s="93"/>
      <c r="FY239" s="93"/>
      <c r="FZ239" s="93"/>
      <c r="GA239" s="93"/>
      <c r="GB239" s="93"/>
      <c r="GC239" s="93"/>
      <c r="GD239" s="93"/>
      <c r="GE239" s="93"/>
      <c r="GF239" s="93"/>
      <c r="GG239" s="93"/>
      <c r="GH239" s="93"/>
      <c r="GI239" s="93"/>
      <c r="GJ239" s="93"/>
      <c r="GK239" s="93"/>
      <c r="GL239" s="93"/>
      <c r="GM239" s="93"/>
      <c r="GN239" s="93"/>
      <c r="GO239" s="93"/>
      <c r="GP239" s="93"/>
      <c r="GQ239" s="93"/>
      <c r="GR239" s="93"/>
      <c r="GS239" s="93"/>
      <c r="GT239" s="93"/>
      <c r="GU239" s="93"/>
      <c r="GV239" s="93"/>
      <c r="GW239" s="93"/>
      <c r="GX239" s="93"/>
      <c r="GY239" s="93"/>
      <c r="GZ239" s="93"/>
      <c r="HA239" s="93"/>
      <c r="HB239" s="93"/>
      <c r="HC239" s="93"/>
      <c r="HD239" s="93"/>
      <c r="HE239" s="93"/>
      <c r="HF239" s="93"/>
      <c r="HG239" s="93"/>
    </row>
    <row r="240" spans="14:215" x14ac:dyDescent="0.2">
      <c r="N240" s="93" t="s">
        <v>357</v>
      </c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3"/>
      <c r="AW240" s="93"/>
      <c r="AX240" s="93"/>
      <c r="AY240" s="93"/>
      <c r="AZ240" s="93"/>
      <c r="BA240" s="93"/>
      <c r="BB240" s="93"/>
      <c r="BC240" s="93"/>
      <c r="BD240" s="93"/>
      <c r="BE240" s="93"/>
      <c r="BF240" s="93"/>
      <c r="BG240" s="93"/>
      <c r="BH240" s="93"/>
      <c r="BI240" s="93"/>
      <c r="BJ240" s="93"/>
      <c r="BK240" s="93"/>
      <c r="BL240" s="93"/>
      <c r="BM240" s="93"/>
      <c r="BN240" s="93"/>
      <c r="BO240" s="93"/>
      <c r="BP240" s="93"/>
      <c r="BQ240" s="93"/>
      <c r="BR240" s="93"/>
      <c r="BS240" s="93"/>
      <c r="BT240" s="93"/>
      <c r="BU240" s="93"/>
      <c r="BV240" s="93"/>
      <c r="BW240" s="93"/>
      <c r="BX240" s="93"/>
      <c r="BY240" s="93"/>
      <c r="BZ240" s="93"/>
      <c r="CA240" s="93"/>
      <c r="CB240" s="93"/>
      <c r="CC240" s="93"/>
      <c r="CD240" s="93"/>
      <c r="CE240" s="93"/>
      <c r="CF240" s="93"/>
      <c r="CG240" s="93"/>
      <c r="CH240" s="93"/>
      <c r="CI240" s="93"/>
      <c r="CJ240" s="93"/>
      <c r="CK240" s="93"/>
      <c r="CL240" s="93"/>
      <c r="CM240" s="93"/>
      <c r="CN240" s="93"/>
      <c r="CO240" s="93"/>
      <c r="CP240" s="93"/>
      <c r="CQ240" s="93"/>
      <c r="CR240" s="93"/>
      <c r="CS240" s="93"/>
      <c r="CT240" s="93"/>
      <c r="CU240" s="93"/>
      <c r="CV240" s="93"/>
      <c r="CW240" s="93"/>
      <c r="CX240" s="93"/>
      <c r="CY240" s="93"/>
      <c r="CZ240" s="93"/>
      <c r="DA240" s="93"/>
      <c r="DB240" s="93"/>
      <c r="DC240" s="93"/>
      <c r="DD240" s="93"/>
      <c r="DE240" s="93"/>
      <c r="DF240" s="93"/>
      <c r="DG240" s="93"/>
      <c r="DH240" s="93"/>
      <c r="DI240" s="93"/>
      <c r="DJ240" s="93"/>
      <c r="DK240" s="93"/>
      <c r="DL240" s="93"/>
      <c r="DM240" s="93"/>
      <c r="DN240" s="93"/>
      <c r="DO240" s="93"/>
      <c r="DP240" s="93"/>
      <c r="DQ240" s="93"/>
      <c r="DR240" s="93"/>
      <c r="DS240" s="93"/>
      <c r="DT240" s="93"/>
      <c r="DU240" s="93"/>
      <c r="DV240" s="93"/>
      <c r="DW240" s="93"/>
      <c r="DX240" s="93"/>
      <c r="DY240" s="93"/>
      <c r="DZ240" s="93"/>
      <c r="EA240" s="93"/>
      <c r="EB240" s="93"/>
      <c r="EC240" s="93"/>
      <c r="ED240" s="93"/>
      <c r="EE240" s="93"/>
      <c r="EF240" s="93"/>
      <c r="EG240" s="93"/>
      <c r="EH240" s="93"/>
      <c r="EI240" s="93"/>
      <c r="EJ240" s="93"/>
      <c r="EK240" s="93"/>
      <c r="EL240" s="93"/>
      <c r="EM240" s="93"/>
      <c r="EN240" s="93">
        <v>0.33246977547495682</v>
      </c>
      <c r="EO240" s="93"/>
      <c r="EP240" s="93"/>
      <c r="EQ240" s="93"/>
      <c r="ER240" s="93"/>
      <c r="ES240" s="93"/>
      <c r="ET240" s="93"/>
      <c r="EU240" s="93"/>
      <c r="EV240" s="93"/>
      <c r="EW240" s="93"/>
      <c r="EX240" s="93"/>
      <c r="EY240" s="93"/>
      <c r="EZ240" s="93"/>
      <c r="FA240" s="93"/>
      <c r="FB240" s="93"/>
      <c r="FC240" s="93"/>
      <c r="FD240" s="93"/>
      <c r="FE240" s="93"/>
      <c r="FF240" s="93"/>
      <c r="FG240" s="93"/>
      <c r="FH240" s="93"/>
      <c r="FI240" s="93"/>
      <c r="FJ240" s="93"/>
      <c r="FK240" s="93"/>
      <c r="FL240" s="93"/>
      <c r="FM240" s="93"/>
      <c r="FN240" s="93"/>
      <c r="FO240" s="93"/>
      <c r="FP240" s="93"/>
      <c r="FQ240" s="93"/>
      <c r="FR240" s="93"/>
      <c r="FS240" s="93"/>
      <c r="FT240" s="93"/>
      <c r="FU240" s="93"/>
      <c r="FV240" s="93"/>
      <c r="FW240" s="93"/>
      <c r="FX240" s="93"/>
      <c r="FY240" s="93"/>
      <c r="FZ240" s="93"/>
      <c r="GA240" s="93"/>
      <c r="GB240" s="93"/>
      <c r="GC240" s="93"/>
      <c r="GD240" s="93"/>
      <c r="GE240" s="93"/>
      <c r="GF240" s="93"/>
      <c r="GG240" s="93"/>
      <c r="GH240" s="93"/>
      <c r="GI240" s="93"/>
      <c r="GJ240" s="93"/>
      <c r="GK240" s="93"/>
      <c r="GL240" s="93"/>
      <c r="GM240" s="93"/>
      <c r="GN240" s="93"/>
      <c r="GO240" s="93"/>
      <c r="GP240" s="93"/>
      <c r="GQ240" s="93"/>
      <c r="GR240" s="93"/>
      <c r="GS240" s="93"/>
      <c r="GT240" s="93"/>
      <c r="GU240" s="93"/>
      <c r="GV240" s="93"/>
      <c r="GW240" s="93"/>
      <c r="GX240" s="93"/>
      <c r="GY240" s="93"/>
      <c r="GZ240" s="93"/>
      <c r="HA240" s="93"/>
      <c r="HB240" s="93"/>
      <c r="HC240" s="93"/>
      <c r="HD240" s="93"/>
      <c r="HE240" s="93"/>
      <c r="HF240" s="93"/>
      <c r="HG240" s="93"/>
    </row>
    <row r="241" spans="14:215" x14ac:dyDescent="0.2">
      <c r="N241" s="93" t="s">
        <v>358</v>
      </c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  <c r="BI241" s="93"/>
      <c r="BJ241" s="93"/>
      <c r="BK241" s="93"/>
      <c r="BL241" s="93"/>
      <c r="BM241" s="93"/>
      <c r="BN241" s="93"/>
      <c r="BO241" s="93"/>
      <c r="BP241" s="93"/>
      <c r="BQ241" s="93"/>
      <c r="BR241" s="93"/>
      <c r="BS241" s="93"/>
      <c r="BT241" s="93"/>
      <c r="BU241" s="93"/>
      <c r="BV241" s="93"/>
      <c r="BW241" s="93"/>
      <c r="BX241" s="93"/>
      <c r="BY241" s="93"/>
      <c r="BZ241" s="93"/>
      <c r="CA241" s="93"/>
      <c r="CB241" s="93"/>
      <c r="CC241" s="93"/>
      <c r="CD241" s="93"/>
      <c r="CE241" s="93"/>
      <c r="CF241" s="93"/>
      <c r="CG241" s="93"/>
      <c r="CH241" s="93"/>
      <c r="CI241" s="93"/>
      <c r="CJ241" s="93"/>
      <c r="CK241" s="93"/>
      <c r="CL241" s="93"/>
      <c r="CM241" s="93"/>
      <c r="CN241" s="93"/>
      <c r="CO241" s="93"/>
      <c r="CP241" s="93"/>
      <c r="CQ241" s="93"/>
      <c r="CR241" s="93"/>
      <c r="CS241" s="93"/>
      <c r="CT241" s="93"/>
      <c r="CU241" s="93"/>
      <c r="CV241" s="93"/>
      <c r="CW241" s="93"/>
      <c r="CX241" s="93"/>
      <c r="CY241" s="93"/>
      <c r="CZ241" s="93"/>
      <c r="DA241" s="93"/>
      <c r="DB241" s="93"/>
      <c r="DC241" s="93"/>
      <c r="DD241" s="93"/>
      <c r="DE241" s="93"/>
      <c r="DF241" s="93"/>
      <c r="DG241" s="93"/>
      <c r="DH241" s="93"/>
      <c r="DI241" s="93"/>
      <c r="DJ241" s="93"/>
      <c r="DK241" s="93"/>
      <c r="DL241" s="93"/>
      <c r="DM241" s="93"/>
      <c r="DN241" s="93"/>
      <c r="DO241" s="93"/>
      <c r="DP241" s="93"/>
      <c r="DQ241" s="93"/>
      <c r="DR241" s="93"/>
      <c r="DS241" s="93"/>
      <c r="DT241" s="93"/>
      <c r="DU241" s="93"/>
      <c r="DV241" s="93"/>
      <c r="DW241" s="93"/>
      <c r="DX241" s="93"/>
      <c r="DY241" s="93"/>
      <c r="DZ241" s="93"/>
      <c r="EA241" s="93"/>
      <c r="EB241" s="93"/>
      <c r="EC241" s="93"/>
      <c r="ED241" s="93"/>
      <c r="EE241" s="93"/>
      <c r="EF241" s="93"/>
      <c r="EG241" s="93"/>
      <c r="EH241" s="93"/>
      <c r="EI241" s="93"/>
      <c r="EJ241" s="93"/>
      <c r="EK241" s="93"/>
      <c r="EL241" s="93"/>
      <c r="EM241" s="93"/>
      <c r="EN241" s="93"/>
      <c r="EO241" s="93">
        <v>0.33247643530419879</v>
      </c>
      <c r="EP241" s="93"/>
      <c r="EQ241" s="93"/>
      <c r="ER241" s="93"/>
      <c r="ES241" s="93"/>
      <c r="ET241" s="93"/>
      <c r="EU241" s="93"/>
      <c r="EV241" s="93"/>
      <c r="EW241" s="93"/>
      <c r="EX241" s="93"/>
      <c r="EY241" s="93"/>
      <c r="EZ241" s="93"/>
      <c r="FA241" s="93"/>
      <c r="FB241" s="93"/>
      <c r="FC241" s="93"/>
      <c r="FD241" s="93"/>
      <c r="FE241" s="93"/>
      <c r="FF241" s="93"/>
      <c r="FG241" s="93"/>
      <c r="FH241" s="93"/>
      <c r="FI241" s="93"/>
      <c r="FJ241" s="93"/>
      <c r="FK241" s="93"/>
      <c r="FL241" s="93"/>
      <c r="FM241" s="93"/>
      <c r="FN241" s="93"/>
      <c r="FO241" s="93"/>
      <c r="FP241" s="93"/>
      <c r="FQ241" s="93"/>
      <c r="FR241" s="93"/>
      <c r="FS241" s="93"/>
      <c r="FT241" s="93"/>
      <c r="FU241" s="93"/>
      <c r="FV241" s="93"/>
      <c r="FW241" s="93"/>
      <c r="FX241" s="93"/>
      <c r="FY241" s="93"/>
      <c r="FZ241" s="93"/>
      <c r="GA241" s="93"/>
      <c r="GB241" s="93"/>
      <c r="GC241" s="93"/>
      <c r="GD241" s="93"/>
      <c r="GE241" s="93"/>
      <c r="GF241" s="93"/>
      <c r="GG241" s="93"/>
      <c r="GH241" s="93"/>
      <c r="GI241" s="93"/>
      <c r="GJ241" s="93"/>
      <c r="GK241" s="93"/>
      <c r="GL241" s="93"/>
      <c r="GM241" s="93"/>
      <c r="GN241" s="93"/>
      <c r="GO241" s="93"/>
      <c r="GP241" s="93"/>
      <c r="GQ241" s="93"/>
      <c r="GR241" s="93"/>
      <c r="GS241" s="93"/>
      <c r="GT241" s="93"/>
      <c r="GU241" s="93"/>
      <c r="GV241" s="93"/>
      <c r="GW241" s="93"/>
      <c r="GX241" s="93"/>
      <c r="GY241" s="93"/>
      <c r="GZ241" s="93"/>
      <c r="HA241" s="93"/>
      <c r="HB241" s="93"/>
      <c r="HC241" s="93"/>
      <c r="HD241" s="93"/>
      <c r="HE241" s="93"/>
      <c r="HF241" s="93"/>
      <c r="HG241" s="93"/>
    </row>
    <row r="242" spans="14:215" x14ac:dyDescent="0.2">
      <c r="N242" s="93" t="s">
        <v>359</v>
      </c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3"/>
      <c r="AW242" s="93"/>
      <c r="AX242" s="93"/>
      <c r="AY242" s="93"/>
      <c r="AZ242" s="93"/>
      <c r="BA242" s="93"/>
      <c r="BB242" s="93"/>
      <c r="BC242" s="93"/>
      <c r="BD242" s="93"/>
      <c r="BE242" s="93"/>
      <c r="BF242" s="93"/>
      <c r="BG242" s="93"/>
      <c r="BH242" s="93"/>
      <c r="BI242" s="93"/>
      <c r="BJ242" s="93"/>
      <c r="BK242" s="93"/>
      <c r="BL242" s="93"/>
      <c r="BM242" s="93"/>
      <c r="BN242" s="93"/>
      <c r="BO242" s="93"/>
      <c r="BP242" s="93"/>
      <c r="BQ242" s="93"/>
      <c r="BR242" s="93"/>
      <c r="BS242" s="93"/>
      <c r="BT242" s="93"/>
      <c r="BU242" s="93"/>
      <c r="BV242" s="93"/>
      <c r="BW242" s="93"/>
      <c r="BX242" s="93"/>
      <c r="BY242" s="93"/>
      <c r="BZ242" s="93"/>
      <c r="CA242" s="93"/>
      <c r="CB242" s="93"/>
      <c r="CC242" s="93"/>
      <c r="CD242" s="93"/>
      <c r="CE242" s="93"/>
      <c r="CF242" s="93"/>
      <c r="CG242" s="93"/>
      <c r="CH242" s="93"/>
      <c r="CI242" s="93"/>
      <c r="CJ242" s="93"/>
      <c r="CK242" s="93"/>
      <c r="CL242" s="93"/>
      <c r="CM242" s="93"/>
      <c r="CN242" s="93"/>
      <c r="CO242" s="93"/>
      <c r="CP242" s="93"/>
      <c r="CQ242" s="93"/>
      <c r="CR242" s="93"/>
      <c r="CS242" s="93"/>
      <c r="CT242" s="93"/>
      <c r="CU242" s="93"/>
      <c r="CV242" s="93"/>
      <c r="CW242" s="93"/>
      <c r="CX242" s="93"/>
      <c r="CY242" s="93"/>
      <c r="CZ242" s="93"/>
      <c r="DA242" s="93"/>
      <c r="DB242" s="93"/>
      <c r="DC242" s="93"/>
      <c r="DD242" s="93"/>
      <c r="DE242" s="93"/>
      <c r="DF242" s="93"/>
      <c r="DG242" s="93"/>
      <c r="DH242" s="93"/>
      <c r="DI242" s="93"/>
      <c r="DJ242" s="93"/>
      <c r="DK242" s="93"/>
      <c r="DL242" s="93"/>
      <c r="DM242" s="93"/>
      <c r="DN242" s="93"/>
      <c r="DO242" s="93"/>
      <c r="DP242" s="93"/>
      <c r="DQ242" s="93"/>
      <c r="DR242" s="93"/>
      <c r="DS242" s="93"/>
      <c r="DT242" s="93"/>
      <c r="DU242" s="93"/>
      <c r="DV242" s="93"/>
      <c r="DW242" s="93"/>
      <c r="DX242" s="93"/>
      <c r="DY242" s="93"/>
      <c r="DZ242" s="93"/>
      <c r="EA242" s="93"/>
      <c r="EB242" s="93"/>
      <c r="EC242" s="93"/>
      <c r="ED242" s="93"/>
      <c r="EE242" s="93"/>
      <c r="EF242" s="93"/>
      <c r="EG242" s="93"/>
      <c r="EH242" s="93"/>
      <c r="EI242" s="93"/>
      <c r="EJ242" s="93"/>
      <c r="EK242" s="93"/>
      <c r="EL242" s="93"/>
      <c r="EM242" s="93"/>
      <c r="EN242" s="93"/>
      <c r="EO242" s="93"/>
      <c r="EP242" s="93">
        <v>0.33248299319727892</v>
      </c>
      <c r="EQ242" s="93"/>
      <c r="ER242" s="93"/>
      <c r="ES242" s="93"/>
      <c r="ET242" s="93"/>
      <c r="EU242" s="93"/>
      <c r="EV242" s="93"/>
      <c r="EW242" s="93"/>
      <c r="EX242" s="93"/>
      <c r="EY242" s="93"/>
      <c r="EZ242" s="93"/>
      <c r="FA242" s="93"/>
      <c r="FB242" s="93"/>
      <c r="FC242" s="93"/>
      <c r="FD242" s="93"/>
      <c r="FE242" s="93"/>
      <c r="FF242" s="93"/>
      <c r="FG242" s="93"/>
      <c r="FH242" s="93"/>
      <c r="FI242" s="93"/>
      <c r="FJ242" s="93"/>
      <c r="FK242" s="93"/>
      <c r="FL242" s="93"/>
      <c r="FM242" s="93"/>
      <c r="FN242" s="93"/>
      <c r="FO242" s="93"/>
      <c r="FP242" s="93"/>
      <c r="FQ242" s="93"/>
      <c r="FR242" s="93"/>
      <c r="FS242" s="93"/>
      <c r="FT242" s="93"/>
      <c r="FU242" s="93"/>
      <c r="FV242" s="93"/>
      <c r="FW242" s="93"/>
      <c r="FX242" s="93"/>
      <c r="FY242" s="93"/>
      <c r="FZ242" s="93"/>
      <c r="GA242" s="93"/>
      <c r="GB242" s="93"/>
      <c r="GC242" s="93"/>
      <c r="GD242" s="93"/>
      <c r="GE242" s="93"/>
      <c r="GF242" s="93"/>
      <c r="GG242" s="93"/>
      <c r="GH242" s="93"/>
      <c r="GI242" s="93"/>
      <c r="GJ242" s="93"/>
      <c r="GK242" s="93"/>
      <c r="GL242" s="93"/>
      <c r="GM242" s="93"/>
      <c r="GN242" s="93"/>
      <c r="GO242" s="93"/>
      <c r="GP242" s="93"/>
      <c r="GQ242" s="93"/>
      <c r="GR242" s="93"/>
      <c r="GS242" s="93"/>
      <c r="GT242" s="93"/>
      <c r="GU242" s="93"/>
      <c r="GV242" s="93"/>
      <c r="GW242" s="93"/>
      <c r="GX242" s="93"/>
      <c r="GY242" s="93"/>
      <c r="GZ242" s="93"/>
      <c r="HA242" s="93"/>
      <c r="HB242" s="93"/>
      <c r="HC242" s="93"/>
      <c r="HD242" s="93"/>
      <c r="HE242" s="93"/>
      <c r="HF242" s="93"/>
      <c r="HG242" s="93"/>
    </row>
    <row r="243" spans="14:215" x14ac:dyDescent="0.2">
      <c r="N243" s="93" t="s">
        <v>360</v>
      </c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  <c r="BI243" s="93"/>
      <c r="BJ243" s="93"/>
      <c r="BK243" s="93"/>
      <c r="BL243" s="93"/>
      <c r="BM243" s="93"/>
      <c r="BN243" s="93"/>
      <c r="BO243" s="93"/>
      <c r="BP243" s="93"/>
      <c r="BQ243" s="93"/>
      <c r="BR243" s="93"/>
      <c r="BS243" s="93"/>
      <c r="BT243" s="93"/>
      <c r="BU243" s="93"/>
      <c r="BV243" s="93"/>
      <c r="BW243" s="93"/>
      <c r="BX243" s="93"/>
      <c r="BY243" s="93"/>
      <c r="BZ243" s="93"/>
      <c r="CA243" s="93"/>
      <c r="CB243" s="93"/>
      <c r="CC243" s="93"/>
      <c r="CD243" s="93"/>
      <c r="CE243" s="93"/>
      <c r="CF243" s="93"/>
      <c r="CG243" s="93"/>
      <c r="CH243" s="93"/>
      <c r="CI243" s="93"/>
      <c r="CJ243" s="93"/>
      <c r="CK243" s="93"/>
      <c r="CL243" s="93"/>
      <c r="CM243" s="93"/>
      <c r="CN243" s="93"/>
      <c r="CO243" s="93"/>
      <c r="CP243" s="93"/>
      <c r="CQ243" s="93"/>
      <c r="CR243" s="93"/>
      <c r="CS243" s="93"/>
      <c r="CT243" s="93"/>
      <c r="CU243" s="93"/>
      <c r="CV243" s="93"/>
      <c r="CW243" s="93"/>
      <c r="CX243" s="93"/>
      <c r="CY243" s="93"/>
      <c r="CZ243" s="93"/>
      <c r="DA243" s="93"/>
      <c r="DB243" s="93"/>
      <c r="DC243" s="93"/>
      <c r="DD243" s="93"/>
      <c r="DE243" s="93"/>
      <c r="DF243" s="93"/>
      <c r="DG243" s="93"/>
      <c r="DH243" s="93"/>
      <c r="DI243" s="93"/>
      <c r="DJ243" s="93"/>
      <c r="DK243" s="93"/>
      <c r="DL243" s="93"/>
      <c r="DM243" s="93"/>
      <c r="DN243" s="93"/>
      <c r="DO243" s="93"/>
      <c r="DP243" s="93"/>
      <c r="DQ243" s="93"/>
      <c r="DR243" s="93"/>
      <c r="DS243" s="93"/>
      <c r="DT243" s="93"/>
      <c r="DU243" s="93"/>
      <c r="DV243" s="93"/>
      <c r="DW243" s="93"/>
      <c r="DX243" s="93"/>
      <c r="DY243" s="93"/>
      <c r="DZ243" s="93"/>
      <c r="EA243" s="93"/>
      <c r="EB243" s="93"/>
      <c r="EC243" s="93"/>
      <c r="ED243" s="93"/>
      <c r="EE243" s="93"/>
      <c r="EF243" s="93"/>
      <c r="EG243" s="93"/>
      <c r="EH243" s="93"/>
      <c r="EI243" s="93"/>
      <c r="EJ243" s="93"/>
      <c r="EK243" s="93"/>
      <c r="EL243" s="93"/>
      <c r="EM243" s="93"/>
      <c r="EN243" s="93"/>
      <c r="EO243" s="93"/>
      <c r="EP243" s="93"/>
      <c r="EQ243" s="93">
        <v>0.33248945147679326</v>
      </c>
      <c r="ER243" s="93"/>
      <c r="ES243" s="93"/>
      <c r="ET243" s="93"/>
      <c r="EU243" s="93"/>
      <c r="EV243" s="93"/>
      <c r="EW243" s="93"/>
      <c r="EX243" s="93"/>
      <c r="EY243" s="93"/>
      <c r="EZ243" s="93"/>
      <c r="FA243" s="93"/>
      <c r="FB243" s="93"/>
      <c r="FC243" s="93"/>
      <c r="FD243" s="93"/>
      <c r="FE243" s="93"/>
      <c r="FF243" s="93"/>
      <c r="FG243" s="93"/>
      <c r="FH243" s="93"/>
      <c r="FI243" s="93"/>
      <c r="FJ243" s="93"/>
      <c r="FK243" s="93"/>
      <c r="FL243" s="93"/>
      <c r="FM243" s="93"/>
      <c r="FN243" s="93"/>
      <c r="FO243" s="93"/>
      <c r="FP243" s="93"/>
      <c r="FQ243" s="93"/>
      <c r="FR243" s="93"/>
      <c r="FS243" s="93"/>
      <c r="FT243" s="93"/>
      <c r="FU243" s="93"/>
      <c r="FV243" s="93"/>
      <c r="FW243" s="93"/>
      <c r="FX243" s="93"/>
      <c r="FY243" s="93"/>
      <c r="FZ243" s="93"/>
      <c r="GA243" s="93"/>
      <c r="GB243" s="93"/>
      <c r="GC243" s="93"/>
      <c r="GD243" s="93"/>
      <c r="GE243" s="93"/>
      <c r="GF243" s="93"/>
      <c r="GG243" s="93"/>
      <c r="GH243" s="93"/>
      <c r="GI243" s="93"/>
      <c r="GJ243" s="93"/>
      <c r="GK243" s="93"/>
      <c r="GL243" s="93"/>
      <c r="GM243" s="93"/>
      <c r="GN243" s="93"/>
      <c r="GO243" s="93"/>
      <c r="GP243" s="93"/>
      <c r="GQ243" s="93"/>
      <c r="GR243" s="93"/>
      <c r="GS243" s="93"/>
      <c r="GT243" s="93"/>
      <c r="GU243" s="93"/>
      <c r="GV243" s="93"/>
      <c r="GW243" s="93"/>
      <c r="GX243" s="93"/>
      <c r="GY243" s="93"/>
      <c r="GZ243" s="93"/>
      <c r="HA243" s="93"/>
      <c r="HB243" s="93"/>
      <c r="HC243" s="93"/>
      <c r="HD243" s="93"/>
      <c r="HE243" s="93"/>
      <c r="HF243" s="93"/>
      <c r="HG243" s="93"/>
    </row>
    <row r="244" spans="14:215" x14ac:dyDescent="0.2">
      <c r="N244" s="93" t="s">
        <v>361</v>
      </c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3"/>
      <c r="AW244" s="93"/>
      <c r="AX244" s="93"/>
      <c r="AY244" s="93"/>
      <c r="AZ244" s="93"/>
      <c r="BA244" s="93"/>
      <c r="BB244" s="93"/>
      <c r="BC244" s="93"/>
      <c r="BD244" s="93"/>
      <c r="BE244" s="93"/>
      <c r="BF244" s="93"/>
      <c r="BG244" s="93"/>
      <c r="BH244" s="93"/>
      <c r="BI244" s="93"/>
      <c r="BJ244" s="93"/>
      <c r="BK244" s="93"/>
      <c r="BL244" s="93"/>
      <c r="BM244" s="93"/>
      <c r="BN244" s="93"/>
      <c r="BO244" s="93"/>
      <c r="BP244" s="93"/>
      <c r="BQ244" s="93"/>
      <c r="BR244" s="93"/>
      <c r="BS244" s="93"/>
      <c r="BT244" s="93"/>
      <c r="BU244" s="93"/>
      <c r="BV244" s="93"/>
      <c r="BW244" s="93"/>
      <c r="BX244" s="93"/>
      <c r="BY244" s="93"/>
      <c r="BZ244" s="93"/>
      <c r="CA244" s="93"/>
      <c r="CB244" s="93"/>
      <c r="CC244" s="93"/>
      <c r="CD244" s="93"/>
      <c r="CE244" s="93"/>
      <c r="CF244" s="93"/>
      <c r="CG244" s="93"/>
      <c r="CH244" s="93"/>
      <c r="CI244" s="93"/>
      <c r="CJ244" s="93"/>
      <c r="CK244" s="93"/>
      <c r="CL244" s="93"/>
      <c r="CM244" s="93"/>
      <c r="CN244" s="93"/>
      <c r="CO244" s="93"/>
      <c r="CP244" s="93"/>
      <c r="CQ244" s="93"/>
      <c r="CR244" s="93"/>
      <c r="CS244" s="93"/>
      <c r="CT244" s="93"/>
      <c r="CU244" s="93"/>
      <c r="CV244" s="93"/>
      <c r="CW244" s="93"/>
      <c r="CX244" s="93"/>
      <c r="CY244" s="93"/>
      <c r="CZ244" s="93"/>
      <c r="DA244" s="93"/>
      <c r="DB244" s="93"/>
      <c r="DC244" s="93"/>
      <c r="DD244" s="93"/>
      <c r="DE244" s="93"/>
      <c r="DF244" s="93"/>
      <c r="DG244" s="93"/>
      <c r="DH244" s="93"/>
      <c r="DI244" s="93"/>
      <c r="DJ244" s="93"/>
      <c r="DK244" s="93"/>
      <c r="DL244" s="93"/>
      <c r="DM244" s="93"/>
      <c r="DN244" s="93"/>
      <c r="DO244" s="93"/>
      <c r="DP244" s="93"/>
      <c r="DQ244" s="93"/>
      <c r="DR244" s="93"/>
      <c r="DS244" s="93"/>
      <c r="DT244" s="93"/>
      <c r="DU244" s="93"/>
      <c r="DV244" s="93"/>
      <c r="DW244" s="93"/>
      <c r="DX244" s="93"/>
      <c r="DY244" s="93"/>
      <c r="DZ244" s="93"/>
      <c r="EA244" s="93"/>
      <c r="EB244" s="93"/>
      <c r="EC244" s="93"/>
      <c r="ED244" s="93"/>
      <c r="EE244" s="93"/>
      <c r="EF244" s="93"/>
      <c r="EG244" s="93"/>
      <c r="EH244" s="93"/>
      <c r="EI244" s="93"/>
      <c r="EJ244" s="93"/>
      <c r="EK244" s="93"/>
      <c r="EL244" s="93"/>
      <c r="EM244" s="93"/>
      <c r="EN244" s="93"/>
      <c r="EO244" s="93"/>
      <c r="EP244" s="93"/>
      <c r="EQ244" s="93"/>
      <c r="ER244" s="93">
        <v>0.3324958123953099</v>
      </c>
      <c r="ES244" s="93"/>
      <c r="ET244" s="93"/>
      <c r="EU244" s="93"/>
      <c r="EV244" s="93"/>
      <c r="EW244" s="93"/>
      <c r="EX244" s="93"/>
      <c r="EY244" s="93"/>
      <c r="EZ244" s="93"/>
      <c r="FA244" s="93"/>
      <c r="FB244" s="93"/>
      <c r="FC244" s="93"/>
      <c r="FD244" s="93"/>
      <c r="FE244" s="93"/>
      <c r="FF244" s="93"/>
      <c r="FG244" s="93"/>
      <c r="FH244" s="93"/>
      <c r="FI244" s="93"/>
      <c r="FJ244" s="93"/>
      <c r="FK244" s="93"/>
      <c r="FL244" s="93"/>
      <c r="FM244" s="93"/>
      <c r="FN244" s="93"/>
      <c r="FO244" s="93"/>
      <c r="FP244" s="93"/>
      <c r="FQ244" s="93"/>
      <c r="FR244" s="93"/>
      <c r="FS244" s="93"/>
      <c r="FT244" s="93"/>
      <c r="FU244" s="93"/>
      <c r="FV244" s="93"/>
      <c r="FW244" s="93"/>
      <c r="FX244" s="93"/>
      <c r="FY244" s="93"/>
      <c r="FZ244" s="93"/>
      <c r="GA244" s="93"/>
      <c r="GB244" s="93"/>
      <c r="GC244" s="93"/>
      <c r="GD244" s="93"/>
      <c r="GE244" s="93"/>
      <c r="GF244" s="93"/>
      <c r="GG244" s="93"/>
      <c r="GH244" s="93"/>
      <c r="GI244" s="93"/>
      <c r="GJ244" s="93"/>
      <c r="GK244" s="93"/>
      <c r="GL244" s="93"/>
      <c r="GM244" s="93"/>
      <c r="GN244" s="93"/>
      <c r="GO244" s="93"/>
      <c r="GP244" s="93"/>
      <c r="GQ244" s="93"/>
      <c r="GR244" s="93"/>
      <c r="GS244" s="93"/>
      <c r="GT244" s="93"/>
      <c r="GU244" s="93"/>
      <c r="GV244" s="93"/>
      <c r="GW244" s="93"/>
      <c r="GX244" s="93"/>
      <c r="GY244" s="93"/>
      <c r="GZ244" s="93"/>
      <c r="HA244" s="93"/>
      <c r="HB244" s="93"/>
      <c r="HC244" s="93"/>
      <c r="HD244" s="93"/>
      <c r="HE244" s="93"/>
      <c r="HF244" s="93"/>
      <c r="HG244" s="93"/>
    </row>
    <row r="245" spans="14:215" x14ac:dyDescent="0.2">
      <c r="N245" s="93" t="s">
        <v>362</v>
      </c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  <c r="BI245" s="93"/>
      <c r="BJ245" s="93"/>
      <c r="BK245" s="93"/>
      <c r="BL245" s="93"/>
      <c r="BM245" s="93"/>
      <c r="BN245" s="93"/>
      <c r="BO245" s="93"/>
      <c r="BP245" s="93"/>
      <c r="BQ245" s="93"/>
      <c r="BR245" s="93"/>
      <c r="BS245" s="93"/>
      <c r="BT245" s="93"/>
      <c r="BU245" s="93"/>
      <c r="BV245" s="93"/>
      <c r="BW245" s="93"/>
      <c r="BX245" s="93"/>
      <c r="BY245" s="93"/>
      <c r="BZ245" s="93"/>
      <c r="CA245" s="93"/>
      <c r="CB245" s="93"/>
      <c r="CC245" s="93"/>
      <c r="CD245" s="93"/>
      <c r="CE245" s="93"/>
      <c r="CF245" s="93"/>
      <c r="CG245" s="93"/>
      <c r="CH245" s="93"/>
      <c r="CI245" s="93"/>
      <c r="CJ245" s="93"/>
      <c r="CK245" s="93"/>
      <c r="CL245" s="93"/>
      <c r="CM245" s="93"/>
      <c r="CN245" s="93"/>
      <c r="CO245" s="93"/>
      <c r="CP245" s="93"/>
      <c r="CQ245" s="93"/>
      <c r="CR245" s="93"/>
      <c r="CS245" s="93"/>
      <c r="CT245" s="93"/>
      <c r="CU245" s="93"/>
      <c r="CV245" s="93"/>
      <c r="CW245" s="93"/>
      <c r="CX245" s="93"/>
      <c r="CY245" s="93"/>
      <c r="CZ245" s="93"/>
      <c r="DA245" s="93"/>
      <c r="DB245" s="93"/>
      <c r="DC245" s="93"/>
      <c r="DD245" s="93"/>
      <c r="DE245" s="93"/>
      <c r="DF245" s="93"/>
      <c r="DG245" s="93"/>
      <c r="DH245" s="93"/>
      <c r="DI245" s="93"/>
      <c r="DJ245" s="93"/>
      <c r="DK245" s="93"/>
      <c r="DL245" s="93"/>
      <c r="DM245" s="93"/>
      <c r="DN245" s="93"/>
      <c r="DO245" s="93"/>
      <c r="DP245" s="93"/>
      <c r="DQ245" s="93"/>
      <c r="DR245" s="93"/>
      <c r="DS245" s="93"/>
      <c r="DT245" s="93"/>
      <c r="DU245" s="93"/>
      <c r="DV245" s="93"/>
      <c r="DW245" s="93"/>
      <c r="DX245" s="93"/>
      <c r="DY245" s="93"/>
      <c r="DZ245" s="93"/>
      <c r="EA245" s="93"/>
      <c r="EB245" s="93"/>
      <c r="EC245" s="93"/>
      <c r="ED245" s="93"/>
      <c r="EE245" s="93"/>
      <c r="EF245" s="93"/>
      <c r="EG245" s="93"/>
      <c r="EH245" s="93"/>
      <c r="EI245" s="93"/>
      <c r="EJ245" s="93"/>
      <c r="EK245" s="93"/>
      <c r="EL245" s="93"/>
      <c r="EM245" s="93"/>
      <c r="EN245" s="93"/>
      <c r="EO245" s="93"/>
      <c r="EP245" s="93"/>
      <c r="EQ245" s="93"/>
      <c r="ER245" s="93"/>
      <c r="ES245" s="93">
        <v>0.33250207813798838</v>
      </c>
      <c r="ET245" s="93"/>
      <c r="EU245" s="93"/>
      <c r="EV245" s="93"/>
      <c r="EW245" s="93"/>
      <c r="EX245" s="93"/>
      <c r="EY245" s="93"/>
      <c r="EZ245" s="93"/>
      <c r="FA245" s="93"/>
      <c r="FB245" s="93"/>
      <c r="FC245" s="93"/>
      <c r="FD245" s="93"/>
      <c r="FE245" s="93"/>
      <c r="FF245" s="93"/>
      <c r="FG245" s="93"/>
      <c r="FH245" s="93"/>
      <c r="FI245" s="93"/>
      <c r="FJ245" s="93"/>
      <c r="FK245" s="93"/>
      <c r="FL245" s="93"/>
      <c r="FM245" s="93"/>
      <c r="FN245" s="93"/>
      <c r="FO245" s="93"/>
      <c r="FP245" s="93"/>
      <c r="FQ245" s="93"/>
      <c r="FR245" s="93"/>
      <c r="FS245" s="93"/>
      <c r="FT245" s="93"/>
      <c r="FU245" s="93"/>
      <c r="FV245" s="93"/>
      <c r="FW245" s="93"/>
      <c r="FX245" s="93"/>
      <c r="FY245" s="93"/>
      <c r="FZ245" s="93"/>
      <c r="GA245" s="93"/>
      <c r="GB245" s="93"/>
      <c r="GC245" s="93"/>
      <c r="GD245" s="93"/>
      <c r="GE245" s="93"/>
      <c r="GF245" s="93"/>
      <c r="GG245" s="93"/>
      <c r="GH245" s="93"/>
      <c r="GI245" s="93"/>
      <c r="GJ245" s="93"/>
      <c r="GK245" s="93"/>
      <c r="GL245" s="93"/>
      <c r="GM245" s="93"/>
      <c r="GN245" s="93"/>
      <c r="GO245" s="93"/>
      <c r="GP245" s="93"/>
      <c r="GQ245" s="93"/>
      <c r="GR245" s="93"/>
      <c r="GS245" s="93"/>
      <c r="GT245" s="93"/>
      <c r="GU245" s="93"/>
      <c r="GV245" s="93"/>
      <c r="GW245" s="93"/>
      <c r="GX245" s="93"/>
      <c r="GY245" s="93"/>
      <c r="GZ245" s="93"/>
      <c r="HA245" s="93"/>
      <c r="HB245" s="93"/>
      <c r="HC245" s="93"/>
      <c r="HD245" s="93"/>
      <c r="HE245" s="93"/>
      <c r="HF245" s="93"/>
      <c r="HG245" s="93"/>
    </row>
    <row r="246" spans="14:215" x14ac:dyDescent="0.2">
      <c r="N246" s="93" t="s">
        <v>363</v>
      </c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3"/>
      <c r="AW246" s="93"/>
      <c r="AX246" s="93"/>
      <c r="AY246" s="93"/>
      <c r="AZ246" s="93"/>
      <c r="BA246" s="93"/>
      <c r="BB246" s="93"/>
      <c r="BC246" s="93"/>
      <c r="BD246" s="93"/>
      <c r="BE246" s="93"/>
      <c r="BF246" s="93"/>
      <c r="BG246" s="93"/>
      <c r="BH246" s="93"/>
      <c r="BI246" s="93"/>
      <c r="BJ246" s="93"/>
      <c r="BK246" s="93"/>
      <c r="BL246" s="93"/>
      <c r="BM246" s="93"/>
      <c r="BN246" s="93"/>
      <c r="BO246" s="93"/>
      <c r="BP246" s="93"/>
      <c r="BQ246" s="93"/>
      <c r="BR246" s="93"/>
      <c r="BS246" s="93"/>
      <c r="BT246" s="93"/>
      <c r="BU246" s="93"/>
      <c r="BV246" s="93"/>
      <c r="BW246" s="93"/>
      <c r="BX246" s="93"/>
      <c r="BY246" s="93"/>
      <c r="BZ246" s="93"/>
      <c r="CA246" s="93"/>
      <c r="CB246" s="93"/>
      <c r="CC246" s="93"/>
      <c r="CD246" s="93"/>
      <c r="CE246" s="93"/>
      <c r="CF246" s="93"/>
      <c r="CG246" s="93"/>
      <c r="CH246" s="93"/>
      <c r="CI246" s="93"/>
      <c r="CJ246" s="93"/>
      <c r="CK246" s="93"/>
      <c r="CL246" s="93"/>
      <c r="CM246" s="93"/>
      <c r="CN246" s="93"/>
      <c r="CO246" s="93"/>
      <c r="CP246" s="93"/>
      <c r="CQ246" s="93"/>
      <c r="CR246" s="93"/>
      <c r="CS246" s="93"/>
      <c r="CT246" s="93"/>
      <c r="CU246" s="93"/>
      <c r="CV246" s="93"/>
      <c r="CW246" s="93"/>
      <c r="CX246" s="93"/>
      <c r="CY246" s="93"/>
      <c r="CZ246" s="93"/>
      <c r="DA246" s="93"/>
      <c r="DB246" s="93"/>
      <c r="DC246" s="93"/>
      <c r="DD246" s="93"/>
      <c r="DE246" s="93"/>
      <c r="DF246" s="93"/>
      <c r="DG246" s="93"/>
      <c r="DH246" s="93"/>
      <c r="DI246" s="93"/>
      <c r="DJ246" s="93"/>
      <c r="DK246" s="93"/>
      <c r="DL246" s="93"/>
      <c r="DM246" s="93"/>
      <c r="DN246" s="93"/>
      <c r="DO246" s="93"/>
      <c r="DP246" s="93"/>
      <c r="DQ246" s="93"/>
      <c r="DR246" s="93"/>
      <c r="DS246" s="93"/>
      <c r="DT246" s="93"/>
      <c r="DU246" s="93"/>
      <c r="DV246" s="93"/>
      <c r="DW246" s="93"/>
      <c r="DX246" s="93"/>
      <c r="DY246" s="93"/>
      <c r="DZ246" s="93"/>
      <c r="EA246" s="93"/>
      <c r="EB246" s="93"/>
      <c r="EC246" s="93"/>
      <c r="ED246" s="93"/>
      <c r="EE246" s="93"/>
      <c r="EF246" s="93"/>
      <c r="EG246" s="93"/>
      <c r="EH246" s="93"/>
      <c r="EI246" s="93"/>
      <c r="EJ246" s="93"/>
      <c r="EK246" s="93"/>
      <c r="EL246" s="93"/>
      <c r="EM246" s="93"/>
      <c r="EN246" s="93"/>
      <c r="EO246" s="93"/>
      <c r="EP246" s="93"/>
      <c r="EQ246" s="93"/>
      <c r="ER246" s="93"/>
      <c r="ES246" s="93"/>
      <c r="ET246" s="93">
        <v>0.33250825082508251</v>
      </c>
      <c r="EU246" s="93"/>
      <c r="EV246" s="93"/>
      <c r="EW246" s="93"/>
      <c r="EX246" s="93"/>
      <c r="EY246" s="93"/>
      <c r="EZ246" s="93"/>
      <c r="FA246" s="93"/>
      <c r="FB246" s="93"/>
      <c r="FC246" s="93"/>
      <c r="FD246" s="93"/>
      <c r="FE246" s="93"/>
      <c r="FF246" s="93"/>
      <c r="FG246" s="93"/>
      <c r="FH246" s="93"/>
      <c r="FI246" s="93"/>
      <c r="FJ246" s="93"/>
      <c r="FK246" s="93"/>
      <c r="FL246" s="93"/>
      <c r="FM246" s="93"/>
      <c r="FN246" s="93"/>
      <c r="FO246" s="93"/>
      <c r="FP246" s="93"/>
      <c r="FQ246" s="93"/>
      <c r="FR246" s="93"/>
      <c r="FS246" s="93"/>
      <c r="FT246" s="93"/>
      <c r="FU246" s="93"/>
      <c r="FV246" s="93"/>
      <c r="FW246" s="93"/>
      <c r="FX246" s="93"/>
      <c r="FY246" s="93"/>
      <c r="FZ246" s="93"/>
      <c r="GA246" s="93"/>
      <c r="GB246" s="93"/>
      <c r="GC246" s="93"/>
      <c r="GD246" s="93"/>
      <c r="GE246" s="93"/>
      <c r="GF246" s="93"/>
      <c r="GG246" s="93"/>
      <c r="GH246" s="93"/>
      <c r="GI246" s="93"/>
      <c r="GJ246" s="93"/>
      <c r="GK246" s="93"/>
      <c r="GL246" s="93"/>
      <c r="GM246" s="93"/>
      <c r="GN246" s="93"/>
      <c r="GO246" s="93"/>
      <c r="GP246" s="93"/>
      <c r="GQ246" s="93"/>
      <c r="GR246" s="93"/>
      <c r="GS246" s="93"/>
      <c r="GT246" s="93"/>
      <c r="GU246" s="93"/>
      <c r="GV246" s="93"/>
      <c r="GW246" s="93"/>
      <c r="GX246" s="93"/>
      <c r="GY246" s="93"/>
      <c r="GZ246" s="93"/>
      <c r="HA246" s="93"/>
      <c r="HB246" s="93"/>
      <c r="HC246" s="93"/>
      <c r="HD246" s="93"/>
      <c r="HE246" s="93"/>
      <c r="HF246" s="93"/>
      <c r="HG246" s="93"/>
    </row>
    <row r="247" spans="14:215" x14ac:dyDescent="0.2">
      <c r="N247" s="93" t="s">
        <v>364</v>
      </c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  <c r="BI247" s="93"/>
      <c r="BJ247" s="93"/>
      <c r="BK247" s="93"/>
      <c r="BL247" s="93"/>
      <c r="BM247" s="93"/>
      <c r="BN247" s="93"/>
      <c r="BO247" s="93"/>
      <c r="BP247" s="93"/>
      <c r="BQ247" s="93"/>
      <c r="BR247" s="93"/>
      <c r="BS247" s="93"/>
      <c r="BT247" s="93"/>
      <c r="BU247" s="93"/>
      <c r="BV247" s="93"/>
      <c r="BW247" s="93"/>
      <c r="BX247" s="93"/>
      <c r="BY247" s="93"/>
      <c r="BZ247" s="93"/>
      <c r="CA247" s="93"/>
      <c r="CB247" s="93"/>
      <c r="CC247" s="93"/>
      <c r="CD247" s="93"/>
      <c r="CE247" s="93"/>
      <c r="CF247" s="93"/>
      <c r="CG247" s="93"/>
      <c r="CH247" s="93"/>
      <c r="CI247" s="93"/>
      <c r="CJ247" s="93"/>
      <c r="CK247" s="93"/>
      <c r="CL247" s="93"/>
      <c r="CM247" s="93"/>
      <c r="CN247" s="93"/>
      <c r="CO247" s="93"/>
      <c r="CP247" s="93"/>
      <c r="CQ247" s="93"/>
      <c r="CR247" s="93"/>
      <c r="CS247" s="93"/>
      <c r="CT247" s="93"/>
      <c r="CU247" s="93"/>
      <c r="CV247" s="93"/>
      <c r="CW247" s="93"/>
      <c r="CX247" s="93"/>
      <c r="CY247" s="93"/>
      <c r="CZ247" s="93"/>
      <c r="DA247" s="93"/>
      <c r="DB247" s="93"/>
      <c r="DC247" s="93"/>
      <c r="DD247" s="93"/>
      <c r="DE247" s="93"/>
      <c r="DF247" s="93"/>
      <c r="DG247" s="93"/>
      <c r="DH247" s="93"/>
      <c r="DI247" s="93"/>
      <c r="DJ247" s="93"/>
      <c r="DK247" s="93"/>
      <c r="DL247" s="93"/>
      <c r="DM247" s="93"/>
      <c r="DN247" s="93"/>
      <c r="DO247" s="93"/>
      <c r="DP247" s="93"/>
      <c r="DQ247" s="93"/>
      <c r="DR247" s="93"/>
      <c r="DS247" s="93"/>
      <c r="DT247" s="93"/>
      <c r="DU247" s="93"/>
      <c r="DV247" s="93"/>
      <c r="DW247" s="93"/>
      <c r="DX247" s="93"/>
      <c r="DY247" s="93"/>
      <c r="DZ247" s="93"/>
      <c r="EA247" s="93"/>
      <c r="EB247" s="93"/>
      <c r="EC247" s="93"/>
      <c r="ED247" s="93"/>
      <c r="EE247" s="93"/>
      <c r="EF247" s="93"/>
      <c r="EG247" s="93"/>
      <c r="EH247" s="93"/>
      <c r="EI247" s="93"/>
      <c r="EJ247" s="93"/>
      <c r="EK247" s="93"/>
      <c r="EL247" s="93"/>
      <c r="EM247" s="93"/>
      <c r="EN247" s="93"/>
      <c r="EO247" s="93"/>
      <c r="EP247" s="93"/>
      <c r="EQ247" s="93"/>
      <c r="ER247" s="93"/>
      <c r="ES247" s="93"/>
      <c r="ET247" s="93"/>
      <c r="EU247" s="93">
        <v>0.33251433251433249</v>
      </c>
      <c r="EV247" s="93"/>
      <c r="EW247" s="93"/>
      <c r="EX247" s="93"/>
      <c r="EY247" s="93"/>
      <c r="EZ247" s="93"/>
      <c r="FA247" s="93"/>
      <c r="FB247" s="93"/>
      <c r="FC247" s="93"/>
      <c r="FD247" s="93"/>
      <c r="FE247" s="93"/>
      <c r="FF247" s="93"/>
      <c r="FG247" s="93"/>
      <c r="FH247" s="93"/>
      <c r="FI247" s="93"/>
      <c r="FJ247" s="93"/>
      <c r="FK247" s="93"/>
      <c r="FL247" s="93"/>
      <c r="FM247" s="93"/>
      <c r="FN247" s="93"/>
      <c r="FO247" s="93"/>
      <c r="FP247" s="93"/>
      <c r="FQ247" s="93"/>
      <c r="FR247" s="93"/>
      <c r="FS247" s="93"/>
      <c r="FT247" s="93"/>
      <c r="FU247" s="93"/>
      <c r="FV247" s="93"/>
      <c r="FW247" s="93"/>
      <c r="FX247" s="93"/>
      <c r="FY247" s="93"/>
      <c r="FZ247" s="93"/>
      <c r="GA247" s="93"/>
      <c r="GB247" s="93"/>
      <c r="GC247" s="93"/>
      <c r="GD247" s="93"/>
      <c r="GE247" s="93"/>
      <c r="GF247" s="93"/>
      <c r="GG247" s="93"/>
      <c r="GH247" s="93"/>
      <c r="GI247" s="93"/>
      <c r="GJ247" s="93"/>
      <c r="GK247" s="93"/>
      <c r="GL247" s="93"/>
      <c r="GM247" s="93"/>
      <c r="GN247" s="93"/>
      <c r="GO247" s="93"/>
      <c r="GP247" s="93"/>
      <c r="GQ247" s="93"/>
      <c r="GR247" s="93"/>
      <c r="GS247" s="93"/>
      <c r="GT247" s="93"/>
      <c r="GU247" s="93"/>
      <c r="GV247" s="93"/>
      <c r="GW247" s="93"/>
      <c r="GX247" s="93"/>
      <c r="GY247" s="93"/>
      <c r="GZ247" s="93"/>
      <c r="HA247" s="93"/>
      <c r="HB247" s="93"/>
      <c r="HC247" s="93"/>
      <c r="HD247" s="93"/>
      <c r="HE247" s="93"/>
      <c r="HF247" s="93"/>
      <c r="HG247" s="93"/>
    </row>
    <row r="248" spans="14:215" x14ac:dyDescent="0.2">
      <c r="N248" s="93" t="s">
        <v>365</v>
      </c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3"/>
      <c r="AW248" s="93"/>
      <c r="AX248" s="93"/>
      <c r="AY248" s="93"/>
      <c r="AZ248" s="93"/>
      <c r="BA248" s="93"/>
      <c r="BB248" s="93"/>
      <c r="BC248" s="93"/>
      <c r="BD248" s="93"/>
      <c r="BE248" s="93"/>
      <c r="BF248" s="93"/>
      <c r="BG248" s="93"/>
      <c r="BH248" s="93"/>
      <c r="BI248" s="93"/>
      <c r="BJ248" s="93"/>
      <c r="BK248" s="93"/>
      <c r="BL248" s="93"/>
      <c r="BM248" s="93"/>
      <c r="BN248" s="93"/>
      <c r="BO248" s="93"/>
      <c r="BP248" s="93"/>
      <c r="BQ248" s="93"/>
      <c r="BR248" s="93"/>
      <c r="BS248" s="93"/>
      <c r="BT248" s="93"/>
      <c r="BU248" s="93"/>
      <c r="BV248" s="93"/>
      <c r="BW248" s="93"/>
      <c r="BX248" s="93"/>
      <c r="BY248" s="93"/>
      <c r="BZ248" s="93"/>
      <c r="CA248" s="93"/>
      <c r="CB248" s="93"/>
      <c r="CC248" s="93"/>
      <c r="CD248" s="93"/>
      <c r="CE248" s="93"/>
      <c r="CF248" s="93"/>
      <c r="CG248" s="93"/>
      <c r="CH248" s="93"/>
      <c r="CI248" s="93"/>
      <c r="CJ248" s="93"/>
      <c r="CK248" s="93"/>
      <c r="CL248" s="93"/>
      <c r="CM248" s="93"/>
      <c r="CN248" s="93"/>
      <c r="CO248" s="93"/>
      <c r="CP248" s="93"/>
      <c r="CQ248" s="93"/>
      <c r="CR248" s="93"/>
      <c r="CS248" s="93"/>
      <c r="CT248" s="93"/>
      <c r="CU248" s="93"/>
      <c r="CV248" s="93"/>
      <c r="CW248" s="93"/>
      <c r="CX248" s="93"/>
      <c r="CY248" s="93"/>
      <c r="CZ248" s="93"/>
      <c r="DA248" s="93"/>
      <c r="DB248" s="93"/>
      <c r="DC248" s="93"/>
      <c r="DD248" s="93"/>
      <c r="DE248" s="93"/>
      <c r="DF248" s="93"/>
      <c r="DG248" s="93"/>
      <c r="DH248" s="93"/>
      <c r="DI248" s="93"/>
      <c r="DJ248" s="93"/>
      <c r="DK248" s="93"/>
      <c r="DL248" s="93"/>
      <c r="DM248" s="93"/>
      <c r="DN248" s="93"/>
      <c r="DO248" s="93"/>
      <c r="DP248" s="93"/>
      <c r="DQ248" s="93"/>
      <c r="DR248" s="93"/>
      <c r="DS248" s="93"/>
      <c r="DT248" s="93"/>
      <c r="DU248" s="93"/>
      <c r="DV248" s="93"/>
      <c r="DW248" s="93"/>
      <c r="DX248" s="93"/>
      <c r="DY248" s="93"/>
      <c r="DZ248" s="93"/>
      <c r="EA248" s="93"/>
      <c r="EB248" s="93"/>
      <c r="EC248" s="93"/>
      <c r="ED248" s="93"/>
      <c r="EE248" s="93"/>
      <c r="EF248" s="93"/>
      <c r="EG248" s="93"/>
      <c r="EH248" s="93"/>
      <c r="EI248" s="93"/>
      <c r="EJ248" s="93"/>
      <c r="EK248" s="93"/>
      <c r="EL248" s="93"/>
      <c r="EM248" s="93"/>
      <c r="EN248" s="93"/>
      <c r="EO248" s="93"/>
      <c r="EP248" s="93"/>
      <c r="EQ248" s="93"/>
      <c r="ER248" s="93"/>
      <c r="ES248" s="93"/>
      <c r="ET248" s="93"/>
      <c r="EU248" s="93"/>
      <c r="EV248" s="93">
        <v>0.33252032520325203</v>
      </c>
      <c r="EW248" s="93"/>
      <c r="EX248" s="93"/>
      <c r="EY248" s="93"/>
      <c r="EZ248" s="93"/>
      <c r="FA248" s="93"/>
      <c r="FB248" s="93"/>
      <c r="FC248" s="93"/>
      <c r="FD248" s="93"/>
      <c r="FE248" s="93"/>
      <c r="FF248" s="93"/>
      <c r="FG248" s="93"/>
      <c r="FH248" s="93"/>
      <c r="FI248" s="93"/>
      <c r="FJ248" s="93"/>
      <c r="FK248" s="93"/>
      <c r="FL248" s="93"/>
      <c r="FM248" s="93"/>
      <c r="FN248" s="93"/>
      <c r="FO248" s="93"/>
      <c r="FP248" s="93"/>
      <c r="FQ248" s="93"/>
      <c r="FR248" s="93"/>
      <c r="FS248" s="93"/>
      <c r="FT248" s="93"/>
      <c r="FU248" s="93"/>
      <c r="FV248" s="93"/>
      <c r="FW248" s="93"/>
      <c r="FX248" s="93"/>
      <c r="FY248" s="93"/>
      <c r="FZ248" s="93"/>
      <c r="GA248" s="93"/>
      <c r="GB248" s="93"/>
      <c r="GC248" s="93"/>
      <c r="GD248" s="93"/>
      <c r="GE248" s="93"/>
      <c r="GF248" s="93"/>
      <c r="GG248" s="93"/>
      <c r="GH248" s="93"/>
      <c r="GI248" s="93"/>
      <c r="GJ248" s="93"/>
      <c r="GK248" s="93"/>
      <c r="GL248" s="93"/>
      <c r="GM248" s="93"/>
      <c r="GN248" s="93"/>
      <c r="GO248" s="93"/>
      <c r="GP248" s="93"/>
      <c r="GQ248" s="93"/>
      <c r="GR248" s="93"/>
      <c r="GS248" s="93"/>
      <c r="GT248" s="93"/>
      <c r="GU248" s="93"/>
      <c r="GV248" s="93"/>
      <c r="GW248" s="93"/>
      <c r="GX248" s="93"/>
      <c r="GY248" s="93"/>
      <c r="GZ248" s="93"/>
      <c r="HA248" s="93"/>
      <c r="HB248" s="93"/>
      <c r="HC248" s="93"/>
      <c r="HD248" s="93"/>
      <c r="HE248" s="93"/>
      <c r="HF248" s="93"/>
      <c r="HG248" s="93"/>
    </row>
    <row r="249" spans="14:215" x14ac:dyDescent="0.2">
      <c r="N249" s="93" t="s">
        <v>366</v>
      </c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  <c r="BI249" s="93"/>
      <c r="BJ249" s="93"/>
      <c r="BK249" s="93"/>
      <c r="BL249" s="93"/>
      <c r="BM249" s="93"/>
      <c r="BN249" s="93"/>
      <c r="BO249" s="93"/>
      <c r="BP249" s="93"/>
      <c r="BQ249" s="93"/>
      <c r="BR249" s="93"/>
      <c r="BS249" s="93"/>
      <c r="BT249" s="93"/>
      <c r="BU249" s="93"/>
      <c r="BV249" s="93"/>
      <c r="BW249" s="93"/>
      <c r="BX249" s="93"/>
      <c r="BY249" s="93"/>
      <c r="BZ249" s="93"/>
      <c r="CA249" s="93"/>
      <c r="CB249" s="93"/>
      <c r="CC249" s="93"/>
      <c r="CD249" s="93"/>
      <c r="CE249" s="93"/>
      <c r="CF249" s="93"/>
      <c r="CG249" s="93"/>
      <c r="CH249" s="93"/>
      <c r="CI249" s="93"/>
      <c r="CJ249" s="93"/>
      <c r="CK249" s="93"/>
      <c r="CL249" s="93"/>
      <c r="CM249" s="93"/>
      <c r="CN249" s="93"/>
      <c r="CO249" s="93"/>
      <c r="CP249" s="93"/>
      <c r="CQ249" s="93"/>
      <c r="CR249" s="93"/>
      <c r="CS249" s="93"/>
      <c r="CT249" s="93"/>
      <c r="CU249" s="93"/>
      <c r="CV249" s="93"/>
      <c r="CW249" s="93"/>
      <c r="CX249" s="93"/>
      <c r="CY249" s="93"/>
      <c r="CZ249" s="93"/>
      <c r="DA249" s="93"/>
      <c r="DB249" s="93"/>
      <c r="DC249" s="93"/>
      <c r="DD249" s="93"/>
      <c r="DE249" s="93"/>
      <c r="DF249" s="93"/>
      <c r="DG249" s="93"/>
      <c r="DH249" s="93"/>
      <c r="DI249" s="93"/>
      <c r="DJ249" s="93"/>
      <c r="DK249" s="93"/>
      <c r="DL249" s="93"/>
      <c r="DM249" s="93"/>
      <c r="DN249" s="93"/>
      <c r="DO249" s="93"/>
      <c r="DP249" s="93"/>
      <c r="DQ249" s="93"/>
      <c r="DR249" s="93"/>
      <c r="DS249" s="93"/>
      <c r="DT249" s="93"/>
      <c r="DU249" s="93"/>
      <c r="DV249" s="93"/>
      <c r="DW249" s="93"/>
      <c r="DX249" s="93"/>
      <c r="DY249" s="93"/>
      <c r="DZ249" s="93"/>
      <c r="EA249" s="93"/>
      <c r="EB249" s="93"/>
      <c r="EC249" s="93"/>
      <c r="ED249" s="93"/>
      <c r="EE249" s="93"/>
      <c r="EF249" s="93"/>
      <c r="EG249" s="93"/>
      <c r="EH249" s="93"/>
      <c r="EI249" s="93"/>
      <c r="EJ249" s="93"/>
      <c r="EK249" s="93"/>
      <c r="EL249" s="93"/>
      <c r="EM249" s="93"/>
      <c r="EN249" s="93"/>
      <c r="EO249" s="93"/>
      <c r="EP249" s="93"/>
      <c r="EQ249" s="93"/>
      <c r="ER249" s="93"/>
      <c r="ES249" s="93"/>
      <c r="ET249" s="93"/>
      <c r="EU249" s="93"/>
      <c r="EV249" s="93"/>
      <c r="EW249" s="93">
        <v>0.33252623083131555</v>
      </c>
      <c r="EX249" s="93"/>
      <c r="EY249" s="93"/>
      <c r="EZ249" s="93"/>
      <c r="FA249" s="93"/>
      <c r="FB249" s="93"/>
      <c r="FC249" s="93"/>
      <c r="FD249" s="93"/>
      <c r="FE249" s="93"/>
      <c r="FF249" s="93"/>
      <c r="FG249" s="93"/>
      <c r="FH249" s="93"/>
      <c r="FI249" s="93"/>
      <c r="FJ249" s="93"/>
      <c r="FK249" s="93"/>
      <c r="FL249" s="93"/>
      <c r="FM249" s="93"/>
      <c r="FN249" s="93"/>
      <c r="FO249" s="93"/>
      <c r="FP249" s="93"/>
      <c r="FQ249" s="93"/>
      <c r="FR249" s="93"/>
      <c r="FS249" s="93"/>
      <c r="FT249" s="93"/>
      <c r="FU249" s="93"/>
      <c r="FV249" s="93"/>
      <c r="FW249" s="93"/>
      <c r="FX249" s="93"/>
      <c r="FY249" s="93"/>
      <c r="FZ249" s="93"/>
      <c r="GA249" s="93"/>
      <c r="GB249" s="93"/>
      <c r="GC249" s="93"/>
      <c r="GD249" s="93"/>
      <c r="GE249" s="93"/>
      <c r="GF249" s="93"/>
      <c r="GG249" s="93"/>
      <c r="GH249" s="93"/>
      <c r="GI249" s="93"/>
      <c r="GJ249" s="93"/>
      <c r="GK249" s="93"/>
      <c r="GL249" s="93"/>
      <c r="GM249" s="93"/>
      <c r="GN249" s="93"/>
      <c r="GO249" s="93"/>
      <c r="GP249" s="93"/>
      <c r="GQ249" s="93"/>
      <c r="GR249" s="93"/>
      <c r="GS249" s="93"/>
      <c r="GT249" s="93"/>
      <c r="GU249" s="93"/>
      <c r="GV249" s="93"/>
      <c r="GW249" s="93"/>
      <c r="GX249" s="93"/>
      <c r="GY249" s="93"/>
      <c r="GZ249" s="93"/>
      <c r="HA249" s="93"/>
      <c r="HB249" s="93"/>
      <c r="HC249" s="93"/>
      <c r="HD249" s="93"/>
      <c r="HE249" s="93"/>
      <c r="HF249" s="93"/>
      <c r="HG249" s="93"/>
    </row>
    <row r="250" spans="14:215" x14ac:dyDescent="0.2">
      <c r="N250" s="93" t="s">
        <v>367</v>
      </c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3"/>
      <c r="AW250" s="93"/>
      <c r="AX250" s="93"/>
      <c r="AY250" s="93"/>
      <c r="AZ250" s="93"/>
      <c r="BA250" s="93"/>
      <c r="BB250" s="93"/>
      <c r="BC250" s="93"/>
      <c r="BD250" s="93"/>
      <c r="BE250" s="93"/>
      <c r="BF250" s="93"/>
      <c r="BG250" s="93"/>
      <c r="BH250" s="93"/>
      <c r="BI250" s="93"/>
      <c r="BJ250" s="93"/>
      <c r="BK250" s="93"/>
      <c r="BL250" s="93"/>
      <c r="BM250" s="93"/>
      <c r="BN250" s="93"/>
      <c r="BO250" s="93"/>
      <c r="BP250" s="93"/>
      <c r="BQ250" s="93"/>
      <c r="BR250" s="93"/>
      <c r="BS250" s="93"/>
      <c r="BT250" s="93"/>
      <c r="BU250" s="93"/>
      <c r="BV250" s="93"/>
      <c r="BW250" s="93"/>
      <c r="BX250" s="93"/>
      <c r="BY250" s="93"/>
      <c r="BZ250" s="93"/>
      <c r="CA250" s="93"/>
      <c r="CB250" s="93"/>
      <c r="CC250" s="93"/>
      <c r="CD250" s="93"/>
      <c r="CE250" s="93"/>
      <c r="CF250" s="93"/>
      <c r="CG250" s="93"/>
      <c r="CH250" s="93"/>
      <c r="CI250" s="93"/>
      <c r="CJ250" s="93"/>
      <c r="CK250" s="93"/>
      <c r="CL250" s="93"/>
      <c r="CM250" s="93"/>
      <c r="CN250" s="93"/>
      <c r="CO250" s="93"/>
      <c r="CP250" s="93"/>
      <c r="CQ250" s="93"/>
      <c r="CR250" s="93"/>
      <c r="CS250" s="93"/>
      <c r="CT250" s="93"/>
      <c r="CU250" s="93"/>
      <c r="CV250" s="93"/>
      <c r="CW250" s="93"/>
      <c r="CX250" s="93"/>
      <c r="CY250" s="93"/>
      <c r="CZ250" s="93"/>
      <c r="DA250" s="93"/>
      <c r="DB250" s="93"/>
      <c r="DC250" s="93"/>
      <c r="DD250" s="93"/>
      <c r="DE250" s="93"/>
      <c r="DF250" s="93"/>
      <c r="DG250" s="93"/>
      <c r="DH250" s="93"/>
      <c r="DI250" s="93"/>
      <c r="DJ250" s="93"/>
      <c r="DK250" s="93"/>
      <c r="DL250" s="93"/>
      <c r="DM250" s="93"/>
      <c r="DN250" s="93"/>
      <c r="DO250" s="93"/>
      <c r="DP250" s="93"/>
      <c r="DQ250" s="93"/>
      <c r="DR250" s="93"/>
      <c r="DS250" s="93"/>
      <c r="DT250" s="93"/>
      <c r="DU250" s="93"/>
      <c r="DV250" s="93"/>
      <c r="DW250" s="93"/>
      <c r="DX250" s="93"/>
      <c r="DY250" s="93"/>
      <c r="DZ250" s="93"/>
      <c r="EA250" s="93"/>
      <c r="EB250" s="93"/>
      <c r="EC250" s="93"/>
      <c r="ED250" s="93"/>
      <c r="EE250" s="93"/>
      <c r="EF250" s="93"/>
      <c r="EG250" s="93"/>
      <c r="EH250" s="93"/>
      <c r="EI250" s="93"/>
      <c r="EJ250" s="93"/>
      <c r="EK250" s="93"/>
      <c r="EL250" s="93"/>
      <c r="EM250" s="93"/>
      <c r="EN250" s="93"/>
      <c r="EO250" s="93"/>
      <c r="EP250" s="93"/>
      <c r="EQ250" s="93"/>
      <c r="ER250" s="93"/>
      <c r="ES250" s="93"/>
      <c r="ET250" s="93"/>
      <c r="EU250" s="93"/>
      <c r="EV250" s="93"/>
      <c r="EW250" s="93"/>
      <c r="EX250" s="93">
        <v>0.33253205128205127</v>
      </c>
      <c r="EY250" s="93"/>
      <c r="EZ250" s="93"/>
      <c r="FA250" s="93"/>
      <c r="FB250" s="93"/>
      <c r="FC250" s="93"/>
      <c r="FD250" s="93"/>
      <c r="FE250" s="93"/>
      <c r="FF250" s="93"/>
      <c r="FG250" s="93"/>
      <c r="FH250" s="93"/>
      <c r="FI250" s="93"/>
      <c r="FJ250" s="93"/>
      <c r="FK250" s="93"/>
      <c r="FL250" s="93"/>
      <c r="FM250" s="93"/>
      <c r="FN250" s="93"/>
      <c r="FO250" s="93"/>
      <c r="FP250" s="93"/>
      <c r="FQ250" s="93"/>
      <c r="FR250" s="93"/>
      <c r="FS250" s="93"/>
      <c r="FT250" s="93"/>
      <c r="FU250" s="93"/>
      <c r="FV250" s="93"/>
      <c r="FW250" s="93"/>
      <c r="FX250" s="93"/>
      <c r="FY250" s="93"/>
      <c r="FZ250" s="93"/>
      <c r="GA250" s="93"/>
      <c r="GB250" s="93"/>
      <c r="GC250" s="93"/>
      <c r="GD250" s="93"/>
      <c r="GE250" s="93"/>
      <c r="GF250" s="93"/>
      <c r="GG250" s="93"/>
      <c r="GH250" s="93"/>
      <c r="GI250" s="93"/>
      <c r="GJ250" s="93"/>
      <c r="GK250" s="93"/>
      <c r="GL250" s="93"/>
      <c r="GM250" s="93"/>
      <c r="GN250" s="93"/>
      <c r="GO250" s="93"/>
      <c r="GP250" s="93"/>
      <c r="GQ250" s="93"/>
      <c r="GR250" s="93"/>
      <c r="GS250" s="93"/>
      <c r="GT250" s="93"/>
      <c r="GU250" s="93"/>
      <c r="GV250" s="93"/>
      <c r="GW250" s="93"/>
      <c r="GX250" s="93"/>
      <c r="GY250" s="93"/>
      <c r="GZ250" s="93"/>
      <c r="HA250" s="93"/>
      <c r="HB250" s="93"/>
      <c r="HC250" s="93"/>
      <c r="HD250" s="93"/>
      <c r="HE250" s="93"/>
      <c r="HF250" s="93"/>
      <c r="HG250" s="93"/>
    </row>
    <row r="251" spans="14:215" x14ac:dyDescent="0.2">
      <c r="N251" s="93" t="s">
        <v>368</v>
      </c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  <c r="BI251" s="93"/>
      <c r="BJ251" s="93"/>
      <c r="BK251" s="93"/>
      <c r="BL251" s="93"/>
      <c r="BM251" s="93"/>
      <c r="BN251" s="93"/>
      <c r="BO251" s="93"/>
      <c r="BP251" s="93"/>
      <c r="BQ251" s="93"/>
      <c r="BR251" s="93"/>
      <c r="BS251" s="93"/>
      <c r="BT251" s="93"/>
      <c r="BU251" s="93"/>
      <c r="BV251" s="93"/>
      <c r="BW251" s="93"/>
      <c r="BX251" s="93"/>
      <c r="BY251" s="93"/>
      <c r="BZ251" s="93"/>
      <c r="CA251" s="93"/>
      <c r="CB251" s="93"/>
      <c r="CC251" s="93"/>
      <c r="CD251" s="93"/>
      <c r="CE251" s="93"/>
      <c r="CF251" s="93"/>
      <c r="CG251" s="93"/>
      <c r="CH251" s="93"/>
      <c r="CI251" s="93"/>
      <c r="CJ251" s="93"/>
      <c r="CK251" s="93"/>
      <c r="CL251" s="93"/>
      <c r="CM251" s="93"/>
      <c r="CN251" s="93"/>
      <c r="CO251" s="93"/>
      <c r="CP251" s="93"/>
      <c r="CQ251" s="93"/>
      <c r="CR251" s="93"/>
      <c r="CS251" s="93"/>
      <c r="CT251" s="93"/>
      <c r="CU251" s="93"/>
      <c r="CV251" s="93"/>
      <c r="CW251" s="93"/>
      <c r="CX251" s="93"/>
      <c r="CY251" s="93"/>
      <c r="CZ251" s="93"/>
      <c r="DA251" s="93"/>
      <c r="DB251" s="93"/>
      <c r="DC251" s="93"/>
      <c r="DD251" s="93"/>
      <c r="DE251" s="93"/>
      <c r="DF251" s="93"/>
      <c r="DG251" s="93"/>
      <c r="DH251" s="93"/>
      <c r="DI251" s="93"/>
      <c r="DJ251" s="93"/>
      <c r="DK251" s="93"/>
      <c r="DL251" s="93"/>
      <c r="DM251" s="93"/>
      <c r="DN251" s="93"/>
      <c r="DO251" s="93"/>
      <c r="DP251" s="93"/>
      <c r="DQ251" s="93"/>
      <c r="DR251" s="93"/>
      <c r="DS251" s="93"/>
      <c r="DT251" s="93"/>
      <c r="DU251" s="93"/>
      <c r="DV251" s="93"/>
      <c r="DW251" s="93"/>
      <c r="DX251" s="93"/>
      <c r="DY251" s="93"/>
      <c r="DZ251" s="93"/>
      <c r="EA251" s="93"/>
      <c r="EB251" s="93"/>
      <c r="EC251" s="93"/>
      <c r="ED251" s="93"/>
      <c r="EE251" s="93"/>
      <c r="EF251" s="93"/>
      <c r="EG251" s="93"/>
      <c r="EH251" s="93"/>
      <c r="EI251" s="93"/>
      <c r="EJ251" s="93"/>
      <c r="EK251" s="93"/>
      <c r="EL251" s="93"/>
      <c r="EM251" s="93"/>
      <c r="EN251" s="93"/>
      <c r="EO251" s="93"/>
      <c r="EP251" s="93"/>
      <c r="EQ251" s="93"/>
      <c r="ER251" s="93"/>
      <c r="ES251" s="93"/>
      <c r="ET251" s="93"/>
      <c r="EU251" s="93"/>
      <c r="EV251" s="93"/>
      <c r="EW251" s="93"/>
      <c r="EX251" s="93"/>
      <c r="EY251" s="93">
        <v>0.33253778838504378</v>
      </c>
      <c r="EZ251" s="93"/>
      <c r="FA251" s="93"/>
      <c r="FB251" s="93"/>
      <c r="FC251" s="93"/>
      <c r="FD251" s="93"/>
      <c r="FE251" s="93"/>
      <c r="FF251" s="93"/>
      <c r="FG251" s="93"/>
      <c r="FH251" s="93"/>
      <c r="FI251" s="93"/>
      <c r="FJ251" s="93"/>
      <c r="FK251" s="93"/>
      <c r="FL251" s="93"/>
      <c r="FM251" s="93"/>
      <c r="FN251" s="93"/>
      <c r="FO251" s="93"/>
      <c r="FP251" s="93"/>
      <c r="FQ251" s="93"/>
      <c r="FR251" s="93"/>
      <c r="FS251" s="93"/>
      <c r="FT251" s="93"/>
      <c r="FU251" s="93"/>
      <c r="FV251" s="93"/>
      <c r="FW251" s="93"/>
      <c r="FX251" s="93"/>
      <c r="FY251" s="93"/>
      <c r="FZ251" s="93"/>
      <c r="GA251" s="93"/>
      <c r="GB251" s="93"/>
      <c r="GC251" s="93"/>
      <c r="GD251" s="93"/>
      <c r="GE251" s="93"/>
      <c r="GF251" s="93"/>
      <c r="GG251" s="93"/>
      <c r="GH251" s="93"/>
      <c r="GI251" s="93"/>
      <c r="GJ251" s="93"/>
      <c r="GK251" s="93"/>
      <c r="GL251" s="93"/>
      <c r="GM251" s="93"/>
      <c r="GN251" s="93"/>
      <c r="GO251" s="93"/>
      <c r="GP251" s="93"/>
      <c r="GQ251" s="93"/>
      <c r="GR251" s="93"/>
      <c r="GS251" s="93"/>
      <c r="GT251" s="93"/>
      <c r="GU251" s="93"/>
      <c r="GV251" s="93"/>
      <c r="GW251" s="93"/>
      <c r="GX251" s="93"/>
      <c r="GY251" s="93"/>
      <c r="GZ251" s="93"/>
      <c r="HA251" s="93"/>
      <c r="HB251" s="93"/>
      <c r="HC251" s="93"/>
      <c r="HD251" s="93"/>
      <c r="HE251" s="93"/>
      <c r="HF251" s="93"/>
      <c r="HG251" s="93"/>
    </row>
    <row r="252" spans="14:215" x14ac:dyDescent="0.2">
      <c r="N252" s="93" t="s">
        <v>369</v>
      </c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3"/>
      <c r="AW252" s="93"/>
      <c r="AX252" s="93"/>
      <c r="AY252" s="93"/>
      <c r="AZ252" s="93"/>
      <c r="BA252" s="93"/>
      <c r="BB252" s="93"/>
      <c r="BC252" s="93"/>
      <c r="BD252" s="93"/>
      <c r="BE252" s="93"/>
      <c r="BF252" s="93"/>
      <c r="BG252" s="93"/>
      <c r="BH252" s="93"/>
      <c r="BI252" s="93"/>
      <c r="BJ252" s="93"/>
      <c r="BK252" s="93"/>
      <c r="BL252" s="93"/>
      <c r="BM252" s="93"/>
      <c r="BN252" s="93"/>
      <c r="BO252" s="93"/>
      <c r="BP252" s="93"/>
      <c r="BQ252" s="93"/>
      <c r="BR252" s="93"/>
      <c r="BS252" s="93"/>
      <c r="BT252" s="93"/>
      <c r="BU252" s="93"/>
      <c r="BV252" s="93"/>
      <c r="BW252" s="93"/>
      <c r="BX252" s="93"/>
      <c r="BY252" s="93"/>
      <c r="BZ252" s="93"/>
      <c r="CA252" s="93"/>
      <c r="CB252" s="93"/>
      <c r="CC252" s="93"/>
      <c r="CD252" s="93"/>
      <c r="CE252" s="93"/>
      <c r="CF252" s="93"/>
      <c r="CG252" s="93"/>
      <c r="CH252" s="93"/>
      <c r="CI252" s="93"/>
      <c r="CJ252" s="93"/>
      <c r="CK252" s="93"/>
      <c r="CL252" s="93"/>
      <c r="CM252" s="93"/>
      <c r="CN252" s="93"/>
      <c r="CO252" s="93"/>
      <c r="CP252" s="93"/>
      <c r="CQ252" s="93"/>
      <c r="CR252" s="93"/>
      <c r="CS252" s="93"/>
      <c r="CT252" s="93"/>
      <c r="CU252" s="93"/>
      <c r="CV252" s="93"/>
      <c r="CW252" s="93"/>
      <c r="CX252" s="93"/>
      <c r="CY252" s="93"/>
      <c r="CZ252" s="93"/>
      <c r="DA252" s="93"/>
      <c r="DB252" s="93"/>
      <c r="DC252" s="93"/>
      <c r="DD252" s="93"/>
      <c r="DE252" s="93"/>
      <c r="DF252" s="93"/>
      <c r="DG252" s="93"/>
      <c r="DH252" s="93"/>
      <c r="DI252" s="93"/>
      <c r="DJ252" s="93"/>
      <c r="DK252" s="93"/>
      <c r="DL252" s="93"/>
      <c r="DM252" s="93"/>
      <c r="DN252" s="93"/>
      <c r="DO252" s="93"/>
      <c r="DP252" s="93"/>
      <c r="DQ252" s="93"/>
      <c r="DR252" s="93"/>
      <c r="DS252" s="93"/>
      <c r="DT252" s="93"/>
      <c r="DU252" s="93"/>
      <c r="DV252" s="93"/>
      <c r="DW252" s="93"/>
      <c r="DX252" s="93"/>
      <c r="DY252" s="93"/>
      <c r="DZ252" s="93"/>
      <c r="EA252" s="93"/>
      <c r="EB252" s="93"/>
      <c r="EC252" s="93"/>
      <c r="ED252" s="93"/>
      <c r="EE252" s="93"/>
      <c r="EF252" s="93"/>
      <c r="EG252" s="93"/>
      <c r="EH252" s="93"/>
      <c r="EI252" s="93"/>
      <c r="EJ252" s="93"/>
      <c r="EK252" s="93"/>
      <c r="EL252" s="93"/>
      <c r="EM252" s="93"/>
      <c r="EN252" s="93"/>
      <c r="EO252" s="93"/>
      <c r="EP252" s="93"/>
      <c r="EQ252" s="93"/>
      <c r="ER252" s="93"/>
      <c r="ES252" s="93"/>
      <c r="ET252" s="93"/>
      <c r="EU252" s="93"/>
      <c r="EV252" s="93"/>
      <c r="EW252" s="93"/>
      <c r="EX252" s="93"/>
      <c r="EY252" s="93"/>
      <c r="EZ252" s="93">
        <v>0.33254344391785151</v>
      </c>
      <c r="FA252" s="93"/>
      <c r="FB252" s="93"/>
      <c r="FC252" s="93"/>
      <c r="FD252" s="93"/>
      <c r="FE252" s="93"/>
      <c r="FF252" s="93"/>
      <c r="FG252" s="93"/>
      <c r="FH252" s="93"/>
      <c r="FI252" s="93"/>
      <c r="FJ252" s="93"/>
      <c r="FK252" s="93"/>
      <c r="FL252" s="93"/>
      <c r="FM252" s="93"/>
      <c r="FN252" s="93"/>
      <c r="FO252" s="93"/>
      <c r="FP252" s="93"/>
      <c r="FQ252" s="93"/>
      <c r="FR252" s="93"/>
      <c r="FS252" s="93"/>
      <c r="FT252" s="93"/>
      <c r="FU252" s="93"/>
      <c r="FV252" s="93"/>
      <c r="FW252" s="93"/>
      <c r="FX252" s="93"/>
      <c r="FY252" s="93"/>
      <c r="FZ252" s="93"/>
      <c r="GA252" s="93"/>
      <c r="GB252" s="93"/>
      <c r="GC252" s="93"/>
      <c r="GD252" s="93"/>
      <c r="GE252" s="93"/>
      <c r="GF252" s="93"/>
      <c r="GG252" s="93"/>
      <c r="GH252" s="93"/>
      <c r="GI252" s="93"/>
      <c r="GJ252" s="93"/>
      <c r="GK252" s="93"/>
      <c r="GL252" s="93"/>
      <c r="GM252" s="93"/>
      <c r="GN252" s="93"/>
      <c r="GO252" s="93"/>
      <c r="GP252" s="93"/>
      <c r="GQ252" s="93"/>
      <c r="GR252" s="93"/>
      <c r="GS252" s="93"/>
      <c r="GT252" s="93"/>
      <c r="GU252" s="93"/>
      <c r="GV252" s="93"/>
      <c r="GW252" s="93"/>
      <c r="GX252" s="93"/>
      <c r="GY252" s="93"/>
      <c r="GZ252" s="93"/>
      <c r="HA252" s="93"/>
      <c r="HB252" s="93"/>
      <c r="HC252" s="93"/>
      <c r="HD252" s="93"/>
      <c r="HE252" s="93"/>
      <c r="HF252" s="93"/>
      <c r="HG252" s="93"/>
    </row>
    <row r="253" spans="14:215" x14ac:dyDescent="0.2">
      <c r="N253" s="93" t="s">
        <v>370</v>
      </c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  <c r="BI253" s="93"/>
      <c r="BJ253" s="93"/>
      <c r="BK253" s="93"/>
      <c r="BL253" s="93"/>
      <c r="BM253" s="93"/>
      <c r="BN253" s="93"/>
      <c r="BO253" s="93"/>
      <c r="BP253" s="93"/>
      <c r="BQ253" s="93"/>
      <c r="BR253" s="93"/>
      <c r="BS253" s="93"/>
      <c r="BT253" s="93"/>
      <c r="BU253" s="93"/>
      <c r="BV253" s="93"/>
      <c r="BW253" s="93"/>
      <c r="BX253" s="93"/>
      <c r="BY253" s="93"/>
      <c r="BZ253" s="93"/>
      <c r="CA253" s="93"/>
      <c r="CB253" s="93"/>
      <c r="CC253" s="93"/>
      <c r="CD253" s="93"/>
      <c r="CE253" s="93"/>
      <c r="CF253" s="93"/>
      <c r="CG253" s="93"/>
      <c r="CH253" s="93"/>
      <c r="CI253" s="93"/>
      <c r="CJ253" s="93"/>
      <c r="CK253" s="93"/>
      <c r="CL253" s="93"/>
      <c r="CM253" s="93"/>
      <c r="CN253" s="93"/>
      <c r="CO253" s="93"/>
      <c r="CP253" s="93"/>
      <c r="CQ253" s="93"/>
      <c r="CR253" s="93"/>
      <c r="CS253" s="93"/>
      <c r="CT253" s="93"/>
      <c r="CU253" s="93"/>
      <c r="CV253" s="93"/>
      <c r="CW253" s="93"/>
      <c r="CX253" s="93"/>
      <c r="CY253" s="93"/>
      <c r="CZ253" s="93"/>
      <c r="DA253" s="93"/>
      <c r="DB253" s="93"/>
      <c r="DC253" s="93"/>
      <c r="DD253" s="93"/>
      <c r="DE253" s="93"/>
      <c r="DF253" s="93"/>
      <c r="DG253" s="93"/>
      <c r="DH253" s="93"/>
      <c r="DI253" s="93"/>
      <c r="DJ253" s="93"/>
      <c r="DK253" s="93"/>
      <c r="DL253" s="93"/>
      <c r="DM253" s="93"/>
      <c r="DN253" s="93"/>
      <c r="DO253" s="93"/>
      <c r="DP253" s="93"/>
      <c r="DQ253" s="93"/>
      <c r="DR253" s="93"/>
      <c r="DS253" s="93"/>
      <c r="DT253" s="93"/>
      <c r="DU253" s="93"/>
      <c r="DV253" s="93"/>
      <c r="DW253" s="93"/>
      <c r="DX253" s="93"/>
      <c r="DY253" s="93"/>
      <c r="DZ253" s="93"/>
      <c r="EA253" s="93"/>
      <c r="EB253" s="93"/>
      <c r="EC253" s="93"/>
      <c r="ED253" s="93"/>
      <c r="EE253" s="93"/>
      <c r="EF253" s="93"/>
      <c r="EG253" s="93"/>
      <c r="EH253" s="93"/>
      <c r="EI253" s="93"/>
      <c r="EJ253" s="93"/>
      <c r="EK253" s="93"/>
      <c r="EL253" s="93"/>
      <c r="EM253" s="93"/>
      <c r="EN253" s="93"/>
      <c r="EO253" s="93"/>
      <c r="EP253" s="93"/>
      <c r="EQ253" s="93"/>
      <c r="ER253" s="93"/>
      <c r="ES253" s="93"/>
      <c r="ET253" s="93"/>
      <c r="EU253" s="93"/>
      <c r="EV253" s="93"/>
      <c r="EW253" s="93"/>
      <c r="EX253" s="93"/>
      <c r="EY253" s="93"/>
      <c r="EZ253" s="93"/>
      <c r="FA253" s="93">
        <v>0.33254901960784311</v>
      </c>
      <c r="FB253" s="93"/>
      <c r="FC253" s="93"/>
      <c r="FD253" s="93"/>
      <c r="FE253" s="93"/>
      <c r="FF253" s="93"/>
      <c r="FG253" s="93"/>
      <c r="FH253" s="93"/>
      <c r="FI253" s="93"/>
      <c r="FJ253" s="93"/>
      <c r="FK253" s="93"/>
      <c r="FL253" s="93"/>
      <c r="FM253" s="93"/>
      <c r="FN253" s="93"/>
      <c r="FO253" s="93"/>
      <c r="FP253" s="93"/>
      <c r="FQ253" s="93"/>
      <c r="FR253" s="93"/>
      <c r="FS253" s="93"/>
      <c r="FT253" s="93"/>
      <c r="FU253" s="93"/>
      <c r="FV253" s="93"/>
      <c r="FW253" s="93"/>
      <c r="FX253" s="93"/>
      <c r="FY253" s="93"/>
      <c r="FZ253" s="93"/>
      <c r="GA253" s="93"/>
      <c r="GB253" s="93"/>
      <c r="GC253" s="93"/>
      <c r="GD253" s="93"/>
      <c r="GE253" s="93"/>
      <c r="GF253" s="93"/>
      <c r="GG253" s="93"/>
      <c r="GH253" s="93"/>
      <c r="GI253" s="93"/>
      <c r="GJ253" s="93"/>
      <c r="GK253" s="93"/>
      <c r="GL253" s="93"/>
      <c r="GM253" s="93"/>
      <c r="GN253" s="93"/>
      <c r="GO253" s="93"/>
      <c r="GP253" s="93"/>
      <c r="GQ253" s="93"/>
      <c r="GR253" s="93"/>
      <c r="GS253" s="93"/>
      <c r="GT253" s="93"/>
      <c r="GU253" s="93"/>
      <c r="GV253" s="93"/>
      <c r="GW253" s="93"/>
      <c r="GX253" s="93"/>
      <c r="GY253" s="93"/>
      <c r="GZ253" s="93"/>
      <c r="HA253" s="93"/>
      <c r="HB253" s="93"/>
      <c r="HC253" s="93"/>
      <c r="HD253" s="93"/>
      <c r="HE253" s="93"/>
      <c r="HF253" s="93"/>
      <c r="HG253" s="93"/>
    </row>
    <row r="254" spans="14:215" x14ac:dyDescent="0.2">
      <c r="N254" s="93" t="s">
        <v>371</v>
      </c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  <c r="AX254" s="93"/>
      <c r="AY254" s="93"/>
      <c r="AZ254" s="93"/>
      <c r="BA254" s="93"/>
      <c r="BB254" s="93"/>
      <c r="BC254" s="93"/>
      <c r="BD254" s="93"/>
      <c r="BE254" s="93"/>
      <c r="BF254" s="93"/>
      <c r="BG254" s="93"/>
      <c r="BH254" s="93"/>
      <c r="BI254" s="93"/>
      <c r="BJ254" s="93"/>
      <c r="BK254" s="93"/>
      <c r="BL254" s="93"/>
      <c r="BM254" s="93"/>
      <c r="BN254" s="93"/>
      <c r="BO254" s="93"/>
      <c r="BP254" s="93"/>
      <c r="BQ254" s="93"/>
      <c r="BR254" s="93"/>
      <c r="BS254" s="93"/>
      <c r="BT254" s="93"/>
      <c r="BU254" s="93"/>
      <c r="BV254" s="93"/>
      <c r="BW254" s="93"/>
      <c r="BX254" s="93"/>
      <c r="BY254" s="93"/>
      <c r="BZ254" s="93"/>
      <c r="CA254" s="93"/>
      <c r="CB254" s="93"/>
      <c r="CC254" s="93"/>
      <c r="CD254" s="93"/>
      <c r="CE254" s="93"/>
      <c r="CF254" s="93"/>
      <c r="CG254" s="93"/>
      <c r="CH254" s="93"/>
      <c r="CI254" s="93"/>
      <c r="CJ254" s="93"/>
      <c r="CK254" s="93"/>
      <c r="CL254" s="93"/>
      <c r="CM254" s="93"/>
      <c r="CN254" s="93"/>
      <c r="CO254" s="93"/>
      <c r="CP254" s="93"/>
      <c r="CQ254" s="93"/>
      <c r="CR254" s="93"/>
      <c r="CS254" s="93"/>
      <c r="CT254" s="93"/>
      <c r="CU254" s="93"/>
      <c r="CV254" s="93"/>
      <c r="CW254" s="93"/>
      <c r="CX254" s="93"/>
      <c r="CY254" s="93"/>
      <c r="CZ254" s="93"/>
      <c r="DA254" s="93"/>
      <c r="DB254" s="93"/>
      <c r="DC254" s="93"/>
      <c r="DD254" s="93"/>
      <c r="DE254" s="93"/>
      <c r="DF254" s="93"/>
      <c r="DG254" s="93"/>
      <c r="DH254" s="93"/>
      <c r="DI254" s="93"/>
      <c r="DJ254" s="93"/>
      <c r="DK254" s="93"/>
      <c r="DL254" s="93"/>
      <c r="DM254" s="93"/>
      <c r="DN254" s="93"/>
      <c r="DO254" s="93"/>
      <c r="DP254" s="93"/>
      <c r="DQ254" s="93"/>
      <c r="DR254" s="93"/>
      <c r="DS254" s="93"/>
      <c r="DT254" s="93"/>
      <c r="DU254" s="93"/>
      <c r="DV254" s="93"/>
      <c r="DW254" s="93"/>
      <c r="DX254" s="93"/>
      <c r="DY254" s="93"/>
      <c r="DZ254" s="93"/>
      <c r="EA254" s="93"/>
      <c r="EB254" s="93"/>
      <c r="EC254" s="93"/>
      <c r="ED254" s="93"/>
      <c r="EE254" s="93"/>
      <c r="EF254" s="93"/>
      <c r="EG254" s="93"/>
      <c r="EH254" s="93"/>
      <c r="EI254" s="93"/>
      <c r="EJ254" s="93"/>
      <c r="EK254" s="93"/>
      <c r="EL254" s="93"/>
      <c r="EM254" s="93"/>
      <c r="EN254" s="93"/>
      <c r="EO254" s="93"/>
      <c r="EP254" s="93"/>
      <c r="EQ254" s="93"/>
      <c r="ER254" s="93"/>
      <c r="ES254" s="93"/>
      <c r="ET254" s="93"/>
      <c r="EU254" s="93"/>
      <c r="EV254" s="93"/>
      <c r="EW254" s="93"/>
      <c r="EX254" s="93"/>
      <c r="EY254" s="93"/>
      <c r="EZ254" s="93"/>
      <c r="FA254" s="93"/>
      <c r="FB254" s="93">
        <v>0.3325545171339564</v>
      </c>
      <c r="FC254" s="93"/>
      <c r="FD254" s="93"/>
      <c r="FE254" s="93"/>
      <c r="FF254" s="93"/>
      <c r="FG254" s="93"/>
      <c r="FH254" s="93"/>
      <c r="FI254" s="93"/>
      <c r="FJ254" s="93"/>
      <c r="FK254" s="93"/>
      <c r="FL254" s="93"/>
      <c r="FM254" s="93"/>
      <c r="FN254" s="93"/>
      <c r="FO254" s="93"/>
      <c r="FP254" s="93"/>
      <c r="FQ254" s="93"/>
      <c r="FR254" s="93"/>
      <c r="FS254" s="93"/>
      <c r="FT254" s="93"/>
      <c r="FU254" s="93"/>
      <c r="FV254" s="93"/>
      <c r="FW254" s="93"/>
      <c r="FX254" s="93"/>
      <c r="FY254" s="93"/>
      <c r="FZ254" s="93"/>
      <c r="GA254" s="93"/>
      <c r="GB254" s="93"/>
      <c r="GC254" s="93"/>
      <c r="GD254" s="93"/>
      <c r="GE254" s="93"/>
      <c r="GF254" s="93"/>
      <c r="GG254" s="93"/>
      <c r="GH254" s="93"/>
      <c r="GI254" s="93"/>
      <c r="GJ254" s="93"/>
      <c r="GK254" s="93"/>
      <c r="GL254" s="93"/>
      <c r="GM254" s="93"/>
      <c r="GN254" s="93"/>
      <c r="GO254" s="93"/>
      <c r="GP254" s="93"/>
      <c r="GQ254" s="93"/>
      <c r="GR254" s="93"/>
      <c r="GS254" s="93"/>
      <c r="GT254" s="93"/>
      <c r="GU254" s="93"/>
      <c r="GV254" s="93"/>
      <c r="GW254" s="93"/>
      <c r="GX254" s="93"/>
      <c r="GY254" s="93"/>
      <c r="GZ254" s="93"/>
      <c r="HA254" s="93"/>
      <c r="HB254" s="93"/>
      <c r="HC254" s="93"/>
      <c r="HD254" s="93"/>
      <c r="HE254" s="93"/>
      <c r="HF254" s="93"/>
      <c r="HG254" s="93"/>
    </row>
    <row r="255" spans="14:215" x14ac:dyDescent="0.2">
      <c r="N255" s="93" t="s">
        <v>372</v>
      </c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  <c r="BI255" s="93"/>
      <c r="BJ255" s="93"/>
      <c r="BK255" s="93"/>
      <c r="BL255" s="93"/>
      <c r="BM255" s="93"/>
      <c r="BN255" s="93"/>
      <c r="BO255" s="93"/>
      <c r="BP255" s="93"/>
      <c r="BQ255" s="93"/>
      <c r="BR255" s="93"/>
      <c r="BS255" s="93"/>
      <c r="BT255" s="93"/>
      <c r="BU255" s="93"/>
      <c r="BV255" s="93"/>
      <c r="BW255" s="93"/>
      <c r="BX255" s="93"/>
      <c r="BY255" s="93"/>
      <c r="BZ255" s="93"/>
      <c r="CA255" s="93"/>
      <c r="CB255" s="93"/>
      <c r="CC255" s="93"/>
      <c r="CD255" s="93"/>
      <c r="CE255" s="93"/>
      <c r="CF255" s="93"/>
      <c r="CG255" s="93"/>
      <c r="CH255" s="93"/>
      <c r="CI255" s="93"/>
      <c r="CJ255" s="93"/>
      <c r="CK255" s="93"/>
      <c r="CL255" s="93"/>
      <c r="CM255" s="93"/>
      <c r="CN255" s="93"/>
      <c r="CO255" s="93"/>
      <c r="CP255" s="93"/>
      <c r="CQ255" s="93"/>
      <c r="CR255" s="93"/>
      <c r="CS255" s="93"/>
      <c r="CT255" s="93"/>
      <c r="CU255" s="93"/>
      <c r="CV255" s="93"/>
      <c r="CW255" s="93"/>
      <c r="CX255" s="93"/>
      <c r="CY255" s="93"/>
      <c r="CZ255" s="93"/>
      <c r="DA255" s="93"/>
      <c r="DB255" s="93"/>
      <c r="DC255" s="93"/>
      <c r="DD255" s="93"/>
      <c r="DE255" s="93"/>
      <c r="DF255" s="93"/>
      <c r="DG255" s="93"/>
      <c r="DH255" s="93"/>
      <c r="DI255" s="93"/>
      <c r="DJ255" s="93"/>
      <c r="DK255" s="93"/>
      <c r="DL255" s="93"/>
      <c r="DM255" s="93"/>
      <c r="DN255" s="93"/>
      <c r="DO255" s="93"/>
      <c r="DP255" s="93"/>
      <c r="DQ255" s="93"/>
      <c r="DR255" s="93"/>
      <c r="DS255" s="93"/>
      <c r="DT255" s="93"/>
      <c r="DU255" s="93"/>
      <c r="DV255" s="93"/>
      <c r="DW255" s="93"/>
      <c r="DX255" s="93"/>
      <c r="DY255" s="93"/>
      <c r="DZ255" s="93"/>
      <c r="EA255" s="93"/>
      <c r="EB255" s="93"/>
      <c r="EC255" s="93"/>
      <c r="ED255" s="93"/>
      <c r="EE255" s="93"/>
      <c r="EF255" s="93"/>
      <c r="EG255" s="93"/>
      <c r="EH255" s="93"/>
      <c r="EI255" s="93"/>
      <c r="EJ255" s="93"/>
      <c r="EK255" s="93"/>
      <c r="EL255" s="93"/>
      <c r="EM255" s="93"/>
      <c r="EN255" s="93"/>
      <c r="EO255" s="93"/>
      <c r="EP255" s="93"/>
      <c r="EQ255" s="93"/>
      <c r="ER255" s="93"/>
      <c r="ES255" s="93"/>
      <c r="ET255" s="93"/>
      <c r="EU255" s="93"/>
      <c r="EV255" s="93"/>
      <c r="EW255" s="93"/>
      <c r="EX255" s="93"/>
      <c r="EY255" s="93"/>
      <c r="EZ255" s="93"/>
      <c r="FA255" s="93"/>
      <c r="FB255" s="93"/>
      <c r="FC255" s="93">
        <v>0.33255993812838358</v>
      </c>
      <c r="FD255" s="93"/>
      <c r="FE255" s="93"/>
      <c r="FF255" s="93"/>
      <c r="FG255" s="93"/>
      <c r="FH255" s="93"/>
      <c r="FI255" s="93"/>
      <c r="FJ255" s="93"/>
      <c r="FK255" s="93"/>
      <c r="FL255" s="93"/>
      <c r="FM255" s="93"/>
      <c r="FN255" s="93"/>
      <c r="FO255" s="93"/>
      <c r="FP255" s="93"/>
      <c r="FQ255" s="93"/>
      <c r="FR255" s="93"/>
      <c r="FS255" s="93"/>
      <c r="FT255" s="93"/>
      <c r="FU255" s="93"/>
      <c r="FV255" s="93"/>
      <c r="FW255" s="93"/>
      <c r="FX255" s="93"/>
      <c r="FY255" s="93"/>
      <c r="FZ255" s="93"/>
      <c r="GA255" s="93"/>
      <c r="GB255" s="93"/>
      <c r="GC255" s="93"/>
      <c r="GD255" s="93"/>
      <c r="GE255" s="93"/>
      <c r="GF255" s="93"/>
      <c r="GG255" s="93"/>
      <c r="GH255" s="93"/>
      <c r="GI255" s="93"/>
      <c r="GJ255" s="93"/>
      <c r="GK255" s="93"/>
      <c r="GL255" s="93"/>
      <c r="GM255" s="93"/>
      <c r="GN255" s="93"/>
      <c r="GO255" s="93"/>
      <c r="GP255" s="93"/>
      <c r="GQ255" s="93"/>
      <c r="GR255" s="93"/>
      <c r="GS255" s="93"/>
      <c r="GT255" s="93"/>
      <c r="GU255" s="93"/>
      <c r="GV255" s="93"/>
      <c r="GW255" s="93"/>
      <c r="GX255" s="93"/>
      <c r="GY255" s="93"/>
      <c r="GZ255" s="93"/>
      <c r="HA255" s="93"/>
      <c r="HB255" s="93"/>
      <c r="HC255" s="93"/>
      <c r="HD255" s="93"/>
      <c r="HE255" s="93"/>
      <c r="HF255" s="93"/>
      <c r="HG255" s="93"/>
    </row>
    <row r="256" spans="14:215" x14ac:dyDescent="0.2">
      <c r="N256" s="93" t="s">
        <v>373</v>
      </c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93"/>
      <c r="AG256" s="93"/>
      <c r="AH256" s="93"/>
      <c r="AI256" s="93"/>
      <c r="AJ256" s="93"/>
      <c r="AK256" s="93"/>
      <c r="AL256" s="93"/>
      <c r="AM256" s="93"/>
      <c r="AN256" s="93"/>
      <c r="AO256" s="93"/>
      <c r="AP256" s="93"/>
      <c r="AQ256" s="93"/>
      <c r="AR256" s="93"/>
      <c r="AS256" s="93"/>
      <c r="AT256" s="93"/>
      <c r="AU256" s="93"/>
      <c r="AV256" s="93"/>
      <c r="AW256" s="93"/>
      <c r="AX256" s="93"/>
      <c r="AY256" s="93"/>
      <c r="AZ256" s="93"/>
      <c r="BA256" s="93"/>
      <c r="BB256" s="93"/>
      <c r="BC256" s="93"/>
      <c r="BD256" s="93"/>
      <c r="BE256" s="93"/>
      <c r="BF256" s="93"/>
      <c r="BG256" s="93"/>
      <c r="BH256" s="93"/>
      <c r="BI256" s="93"/>
      <c r="BJ256" s="93"/>
      <c r="BK256" s="93"/>
      <c r="BL256" s="93"/>
      <c r="BM256" s="93"/>
      <c r="BN256" s="93"/>
      <c r="BO256" s="93"/>
      <c r="BP256" s="93"/>
      <c r="BQ256" s="93"/>
      <c r="BR256" s="93"/>
      <c r="BS256" s="93"/>
      <c r="BT256" s="93"/>
      <c r="BU256" s="93"/>
      <c r="BV256" s="93"/>
      <c r="BW256" s="93"/>
      <c r="BX256" s="93"/>
      <c r="BY256" s="93"/>
      <c r="BZ256" s="93"/>
      <c r="CA256" s="93"/>
      <c r="CB256" s="93"/>
      <c r="CC256" s="93"/>
      <c r="CD256" s="93"/>
      <c r="CE256" s="93"/>
      <c r="CF256" s="93"/>
      <c r="CG256" s="93"/>
      <c r="CH256" s="93"/>
      <c r="CI256" s="93"/>
      <c r="CJ256" s="93"/>
      <c r="CK256" s="93"/>
      <c r="CL256" s="93"/>
      <c r="CM256" s="93"/>
      <c r="CN256" s="93"/>
      <c r="CO256" s="93"/>
      <c r="CP256" s="93"/>
      <c r="CQ256" s="93"/>
      <c r="CR256" s="93"/>
      <c r="CS256" s="93"/>
      <c r="CT256" s="93"/>
      <c r="CU256" s="93"/>
      <c r="CV256" s="93"/>
      <c r="CW256" s="93"/>
      <c r="CX256" s="93"/>
      <c r="CY256" s="93"/>
      <c r="CZ256" s="93"/>
      <c r="DA256" s="93"/>
      <c r="DB256" s="93"/>
      <c r="DC256" s="93"/>
      <c r="DD256" s="93"/>
      <c r="DE256" s="93"/>
      <c r="DF256" s="93"/>
      <c r="DG256" s="93"/>
      <c r="DH256" s="93"/>
      <c r="DI256" s="93"/>
      <c r="DJ256" s="93"/>
      <c r="DK256" s="93"/>
      <c r="DL256" s="93"/>
      <c r="DM256" s="93"/>
      <c r="DN256" s="93"/>
      <c r="DO256" s="93"/>
      <c r="DP256" s="93"/>
      <c r="DQ256" s="93"/>
      <c r="DR256" s="93"/>
      <c r="DS256" s="93"/>
      <c r="DT256" s="93"/>
      <c r="DU256" s="93"/>
      <c r="DV256" s="93"/>
      <c r="DW256" s="93"/>
      <c r="DX256" s="93"/>
      <c r="DY256" s="93"/>
      <c r="DZ256" s="93"/>
      <c r="EA256" s="93"/>
      <c r="EB256" s="93"/>
      <c r="EC256" s="93"/>
      <c r="ED256" s="93"/>
      <c r="EE256" s="93"/>
      <c r="EF256" s="93"/>
      <c r="EG256" s="93"/>
      <c r="EH256" s="93"/>
      <c r="EI256" s="93"/>
      <c r="EJ256" s="93"/>
      <c r="EK256" s="93"/>
      <c r="EL256" s="93"/>
      <c r="EM256" s="93"/>
      <c r="EN256" s="93"/>
      <c r="EO256" s="93"/>
      <c r="EP256" s="93"/>
      <c r="EQ256" s="93"/>
      <c r="ER256" s="93"/>
      <c r="ES256" s="93"/>
      <c r="ET256" s="93"/>
      <c r="EU256" s="93"/>
      <c r="EV256" s="93"/>
      <c r="EW256" s="93"/>
      <c r="EX256" s="93"/>
      <c r="EY256" s="93"/>
      <c r="EZ256" s="93"/>
      <c r="FA256" s="93"/>
      <c r="FB256" s="93"/>
      <c r="FC256" s="93"/>
      <c r="FD256" s="93">
        <v>0.33256528417818743</v>
      </c>
      <c r="FE256" s="93"/>
      <c r="FF256" s="93"/>
      <c r="FG256" s="93"/>
      <c r="FH256" s="93"/>
      <c r="FI256" s="93"/>
      <c r="FJ256" s="93"/>
      <c r="FK256" s="93"/>
      <c r="FL256" s="93"/>
      <c r="FM256" s="93"/>
      <c r="FN256" s="93"/>
      <c r="FO256" s="93"/>
      <c r="FP256" s="93"/>
      <c r="FQ256" s="93"/>
      <c r="FR256" s="93"/>
      <c r="FS256" s="93"/>
      <c r="FT256" s="93"/>
      <c r="FU256" s="93"/>
      <c r="FV256" s="93"/>
      <c r="FW256" s="93"/>
      <c r="FX256" s="93"/>
      <c r="FY256" s="93"/>
      <c r="FZ256" s="93"/>
      <c r="GA256" s="93"/>
      <c r="GB256" s="93"/>
      <c r="GC256" s="93"/>
      <c r="GD256" s="93"/>
      <c r="GE256" s="93"/>
      <c r="GF256" s="93"/>
      <c r="GG256" s="93"/>
      <c r="GH256" s="93"/>
      <c r="GI256" s="93"/>
      <c r="GJ256" s="93"/>
      <c r="GK256" s="93"/>
      <c r="GL256" s="93"/>
      <c r="GM256" s="93"/>
      <c r="GN256" s="93"/>
      <c r="GO256" s="93"/>
      <c r="GP256" s="93"/>
      <c r="GQ256" s="93"/>
      <c r="GR256" s="93"/>
      <c r="GS256" s="93"/>
      <c r="GT256" s="93"/>
      <c r="GU256" s="93"/>
      <c r="GV256" s="93"/>
      <c r="GW256" s="93"/>
      <c r="GX256" s="93"/>
      <c r="GY256" s="93"/>
      <c r="GZ256" s="93"/>
      <c r="HA256" s="93"/>
      <c r="HB256" s="93"/>
      <c r="HC256" s="93"/>
      <c r="HD256" s="93"/>
      <c r="HE256" s="93"/>
      <c r="HF256" s="93"/>
      <c r="HG256" s="93"/>
    </row>
    <row r="257" spans="14:215" x14ac:dyDescent="0.2">
      <c r="N257" s="93" t="s">
        <v>374</v>
      </c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  <c r="BI257" s="93"/>
      <c r="BJ257" s="93"/>
      <c r="BK257" s="93"/>
      <c r="BL257" s="93"/>
      <c r="BM257" s="93"/>
      <c r="BN257" s="93"/>
      <c r="BO257" s="93"/>
      <c r="BP257" s="93"/>
      <c r="BQ257" s="93"/>
      <c r="BR257" s="93"/>
      <c r="BS257" s="93"/>
      <c r="BT257" s="93"/>
      <c r="BU257" s="93"/>
      <c r="BV257" s="93"/>
      <c r="BW257" s="93"/>
      <c r="BX257" s="93"/>
      <c r="BY257" s="93"/>
      <c r="BZ257" s="93"/>
      <c r="CA257" s="93"/>
      <c r="CB257" s="93"/>
      <c r="CC257" s="93"/>
      <c r="CD257" s="93"/>
      <c r="CE257" s="93"/>
      <c r="CF257" s="93"/>
      <c r="CG257" s="93"/>
      <c r="CH257" s="93"/>
      <c r="CI257" s="93"/>
      <c r="CJ257" s="93"/>
      <c r="CK257" s="93"/>
      <c r="CL257" s="93"/>
      <c r="CM257" s="93"/>
      <c r="CN257" s="93"/>
      <c r="CO257" s="93"/>
      <c r="CP257" s="93"/>
      <c r="CQ257" s="93"/>
      <c r="CR257" s="93"/>
      <c r="CS257" s="93"/>
      <c r="CT257" s="93"/>
      <c r="CU257" s="93"/>
      <c r="CV257" s="93"/>
      <c r="CW257" s="93"/>
      <c r="CX257" s="93"/>
      <c r="CY257" s="93"/>
      <c r="CZ257" s="93"/>
      <c r="DA257" s="93"/>
      <c r="DB257" s="93"/>
      <c r="DC257" s="93"/>
      <c r="DD257" s="93"/>
      <c r="DE257" s="93"/>
      <c r="DF257" s="93"/>
      <c r="DG257" s="93"/>
      <c r="DH257" s="93"/>
      <c r="DI257" s="93"/>
      <c r="DJ257" s="93"/>
      <c r="DK257" s="93"/>
      <c r="DL257" s="93"/>
      <c r="DM257" s="93"/>
      <c r="DN257" s="93"/>
      <c r="DO257" s="93"/>
      <c r="DP257" s="93"/>
      <c r="DQ257" s="93"/>
      <c r="DR257" s="93"/>
      <c r="DS257" s="93"/>
      <c r="DT257" s="93"/>
      <c r="DU257" s="93"/>
      <c r="DV257" s="93"/>
      <c r="DW257" s="93"/>
      <c r="DX257" s="93"/>
      <c r="DY257" s="93"/>
      <c r="DZ257" s="93"/>
      <c r="EA257" s="93"/>
      <c r="EB257" s="93"/>
      <c r="EC257" s="93"/>
      <c r="ED257" s="93"/>
      <c r="EE257" s="93"/>
      <c r="EF257" s="93"/>
      <c r="EG257" s="93"/>
      <c r="EH257" s="93"/>
      <c r="EI257" s="93"/>
      <c r="EJ257" s="93"/>
      <c r="EK257" s="93"/>
      <c r="EL257" s="93"/>
      <c r="EM257" s="93"/>
      <c r="EN257" s="93"/>
      <c r="EO257" s="93"/>
      <c r="EP257" s="93"/>
      <c r="EQ257" s="93"/>
      <c r="ER257" s="93"/>
      <c r="ES257" s="93"/>
      <c r="ET257" s="93"/>
      <c r="EU257" s="93"/>
      <c r="EV257" s="93"/>
      <c r="EW257" s="93"/>
      <c r="EX257" s="93"/>
      <c r="EY257" s="93"/>
      <c r="EZ257" s="93"/>
      <c r="FA257" s="93"/>
      <c r="FB257" s="93"/>
      <c r="FC257" s="93"/>
      <c r="FD257" s="93"/>
      <c r="FE257" s="93">
        <v>0.33257055682684972</v>
      </c>
      <c r="FF257" s="93"/>
      <c r="FG257" s="93"/>
      <c r="FH257" s="93"/>
      <c r="FI257" s="93"/>
      <c r="FJ257" s="93"/>
      <c r="FK257" s="93"/>
      <c r="FL257" s="93"/>
      <c r="FM257" s="93"/>
      <c r="FN257" s="93"/>
      <c r="FO257" s="93"/>
      <c r="FP257" s="93"/>
      <c r="FQ257" s="93"/>
      <c r="FR257" s="93"/>
      <c r="FS257" s="93"/>
      <c r="FT257" s="93"/>
      <c r="FU257" s="93"/>
      <c r="FV257" s="93"/>
      <c r="FW257" s="93"/>
      <c r="FX257" s="93"/>
      <c r="FY257" s="93"/>
      <c r="FZ257" s="93"/>
      <c r="GA257" s="93"/>
      <c r="GB257" s="93"/>
      <c r="GC257" s="93"/>
      <c r="GD257" s="93"/>
      <c r="GE257" s="93"/>
      <c r="GF257" s="93"/>
      <c r="GG257" s="93"/>
      <c r="GH257" s="93"/>
      <c r="GI257" s="93"/>
      <c r="GJ257" s="93"/>
      <c r="GK257" s="93"/>
      <c r="GL257" s="93"/>
      <c r="GM257" s="93"/>
      <c r="GN257" s="93"/>
      <c r="GO257" s="93"/>
      <c r="GP257" s="93"/>
      <c r="GQ257" s="93"/>
      <c r="GR257" s="93"/>
      <c r="GS257" s="93"/>
      <c r="GT257" s="93"/>
      <c r="GU257" s="93"/>
      <c r="GV257" s="93"/>
      <c r="GW257" s="93"/>
      <c r="GX257" s="93"/>
      <c r="GY257" s="93"/>
      <c r="GZ257" s="93"/>
      <c r="HA257" s="93"/>
      <c r="HB257" s="93"/>
      <c r="HC257" s="93"/>
      <c r="HD257" s="93"/>
      <c r="HE257" s="93"/>
      <c r="HF257" s="93"/>
      <c r="HG257" s="93"/>
    </row>
    <row r="258" spans="14:215" x14ac:dyDescent="0.2">
      <c r="N258" s="93" t="s">
        <v>375</v>
      </c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  <c r="AF258" s="93"/>
      <c r="AG258" s="93"/>
      <c r="AH258" s="93"/>
      <c r="AI258" s="93"/>
      <c r="AJ258" s="93"/>
      <c r="AK258" s="93"/>
      <c r="AL258" s="93"/>
      <c r="AM258" s="93"/>
      <c r="AN258" s="93"/>
      <c r="AO258" s="93"/>
      <c r="AP258" s="93"/>
      <c r="AQ258" s="93"/>
      <c r="AR258" s="93"/>
      <c r="AS258" s="93"/>
      <c r="AT258" s="93"/>
      <c r="AU258" s="93"/>
      <c r="AV258" s="93"/>
      <c r="AW258" s="93"/>
      <c r="AX258" s="93"/>
      <c r="AY258" s="93"/>
      <c r="AZ258" s="93"/>
      <c r="BA258" s="93"/>
      <c r="BB258" s="93"/>
      <c r="BC258" s="93"/>
      <c r="BD258" s="93"/>
      <c r="BE258" s="93"/>
      <c r="BF258" s="93"/>
      <c r="BG258" s="93"/>
      <c r="BH258" s="93"/>
      <c r="BI258" s="93"/>
      <c r="BJ258" s="93"/>
      <c r="BK258" s="93"/>
      <c r="BL258" s="93"/>
      <c r="BM258" s="93"/>
      <c r="BN258" s="93"/>
      <c r="BO258" s="93"/>
      <c r="BP258" s="93"/>
      <c r="BQ258" s="93"/>
      <c r="BR258" s="93"/>
      <c r="BS258" s="93"/>
      <c r="BT258" s="93"/>
      <c r="BU258" s="93"/>
      <c r="BV258" s="93"/>
      <c r="BW258" s="93"/>
      <c r="BX258" s="93"/>
      <c r="BY258" s="93"/>
      <c r="BZ258" s="93"/>
      <c r="CA258" s="93"/>
      <c r="CB258" s="93"/>
      <c r="CC258" s="93"/>
      <c r="CD258" s="93"/>
      <c r="CE258" s="93"/>
      <c r="CF258" s="93"/>
      <c r="CG258" s="93"/>
      <c r="CH258" s="93"/>
      <c r="CI258" s="93"/>
      <c r="CJ258" s="93"/>
      <c r="CK258" s="93"/>
      <c r="CL258" s="93"/>
      <c r="CM258" s="93"/>
      <c r="CN258" s="93"/>
      <c r="CO258" s="93"/>
      <c r="CP258" s="93"/>
      <c r="CQ258" s="93"/>
      <c r="CR258" s="93"/>
      <c r="CS258" s="93"/>
      <c r="CT258" s="93"/>
      <c r="CU258" s="93"/>
      <c r="CV258" s="93"/>
      <c r="CW258" s="93"/>
      <c r="CX258" s="93"/>
      <c r="CY258" s="93"/>
      <c r="CZ258" s="93"/>
      <c r="DA258" s="93"/>
      <c r="DB258" s="93"/>
      <c r="DC258" s="93"/>
      <c r="DD258" s="93"/>
      <c r="DE258" s="93"/>
      <c r="DF258" s="93"/>
      <c r="DG258" s="93"/>
      <c r="DH258" s="93"/>
      <c r="DI258" s="93"/>
      <c r="DJ258" s="93"/>
      <c r="DK258" s="93"/>
      <c r="DL258" s="93"/>
      <c r="DM258" s="93"/>
      <c r="DN258" s="93"/>
      <c r="DO258" s="93"/>
      <c r="DP258" s="93"/>
      <c r="DQ258" s="93"/>
      <c r="DR258" s="93"/>
      <c r="DS258" s="93"/>
      <c r="DT258" s="93"/>
      <c r="DU258" s="93"/>
      <c r="DV258" s="93"/>
      <c r="DW258" s="93"/>
      <c r="DX258" s="93"/>
      <c r="DY258" s="93"/>
      <c r="DZ258" s="93"/>
      <c r="EA258" s="93"/>
      <c r="EB258" s="93"/>
      <c r="EC258" s="93"/>
      <c r="ED258" s="93"/>
      <c r="EE258" s="93"/>
      <c r="EF258" s="93"/>
      <c r="EG258" s="93"/>
      <c r="EH258" s="93"/>
      <c r="EI258" s="93"/>
      <c r="EJ258" s="93"/>
      <c r="EK258" s="93"/>
      <c r="EL258" s="93"/>
      <c r="EM258" s="93"/>
      <c r="EN258" s="93"/>
      <c r="EO258" s="93"/>
      <c r="EP258" s="93"/>
      <c r="EQ258" s="93"/>
      <c r="ER258" s="93"/>
      <c r="ES258" s="93"/>
      <c r="ET258" s="93"/>
      <c r="EU258" s="93"/>
      <c r="EV258" s="93"/>
      <c r="EW258" s="93"/>
      <c r="EX258" s="93"/>
      <c r="EY258" s="93"/>
      <c r="EZ258" s="93"/>
      <c r="FA258" s="93"/>
      <c r="FB258" s="93"/>
      <c r="FC258" s="93"/>
      <c r="FD258" s="93"/>
      <c r="FE258" s="93"/>
      <c r="FF258" s="93">
        <v>0.33257575757575758</v>
      </c>
      <c r="FG258" s="93"/>
      <c r="FH258" s="93"/>
      <c r="FI258" s="93"/>
      <c r="FJ258" s="93"/>
      <c r="FK258" s="93"/>
      <c r="FL258" s="93"/>
      <c r="FM258" s="93"/>
      <c r="FN258" s="93"/>
      <c r="FO258" s="93"/>
      <c r="FP258" s="93"/>
      <c r="FQ258" s="93"/>
      <c r="FR258" s="93"/>
      <c r="FS258" s="93"/>
      <c r="FT258" s="93"/>
      <c r="FU258" s="93"/>
      <c r="FV258" s="93"/>
      <c r="FW258" s="93"/>
      <c r="FX258" s="93"/>
      <c r="FY258" s="93"/>
      <c r="FZ258" s="93"/>
      <c r="GA258" s="93"/>
      <c r="GB258" s="93"/>
      <c r="GC258" s="93"/>
      <c r="GD258" s="93"/>
      <c r="GE258" s="93"/>
      <c r="GF258" s="93"/>
      <c r="GG258" s="93"/>
      <c r="GH258" s="93"/>
      <c r="GI258" s="93"/>
      <c r="GJ258" s="93"/>
      <c r="GK258" s="93"/>
      <c r="GL258" s="93"/>
      <c r="GM258" s="93"/>
      <c r="GN258" s="93"/>
      <c r="GO258" s="93"/>
      <c r="GP258" s="93"/>
      <c r="GQ258" s="93"/>
      <c r="GR258" s="93"/>
      <c r="GS258" s="93"/>
      <c r="GT258" s="93"/>
      <c r="GU258" s="93"/>
      <c r="GV258" s="93"/>
      <c r="GW258" s="93"/>
      <c r="GX258" s="93"/>
      <c r="GY258" s="93"/>
      <c r="GZ258" s="93"/>
      <c r="HA258" s="93"/>
      <c r="HB258" s="93"/>
      <c r="HC258" s="93"/>
      <c r="HD258" s="93"/>
      <c r="HE258" s="93"/>
      <c r="HF258" s="93"/>
      <c r="HG258" s="93"/>
    </row>
    <row r="259" spans="14:215" x14ac:dyDescent="0.2">
      <c r="N259" s="93" t="s">
        <v>376</v>
      </c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  <c r="BI259" s="93"/>
      <c r="BJ259" s="93"/>
      <c r="BK259" s="93"/>
      <c r="BL259" s="93"/>
      <c r="BM259" s="93"/>
      <c r="BN259" s="93"/>
      <c r="BO259" s="93"/>
      <c r="BP259" s="93"/>
      <c r="BQ259" s="93"/>
      <c r="BR259" s="93"/>
      <c r="BS259" s="93"/>
      <c r="BT259" s="93"/>
      <c r="BU259" s="93"/>
      <c r="BV259" s="93"/>
      <c r="BW259" s="93"/>
      <c r="BX259" s="93"/>
      <c r="BY259" s="93"/>
      <c r="BZ259" s="93"/>
      <c r="CA259" s="93"/>
      <c r="CB259" s="93"/>
      <c r="CC259" s="93"/>
      <c r="CD259" s="93"/>
      <c r="CE259" s="93"/>
      <c r="CF259" s="93"/>
      <c r="CG259" s="93"/>
      <c r="CH259" s="93"/>
      <c r="CI259" s="93"/>
      <c r="CJ259" s="93"/>
      <c r="CK259" s="93"/>
      <c r="CL259" s="93"/>
      <c r="CM259" s="93"/>
      <c r="CN259" s="93"/>
      <c r="CO259" s="93"/>
      <c r="CP259" s="93"/>
      <c r="CQ259" s="93"/>
      <c r="CR259" s="93"/>
      <c r="CS259" s="93"/>
      <c r="CT259" s="93"/>
      <c r="CU259" s="93"/>
      <c r="CV259" s="93"/>
      <c r="CW259" s="93"/>
      <c r="CX259" s="93"/>
      <c r="CY259" s="93"/>
      <c r="CZ259" s="93"/>
      <c r="DA259" s="93"/>
      <c r="DB259" s="93"/>
      <c r="DC259" s="93"/>
      <c r="DD259" s="93"/>
      <c r="DE259" s="93"/>
      <c r="DF259" s="93"/>
      <c r="DG259" s="93"/>
      <c r="DH259" s="93"/>
      <c r="DI259" s="93"/>
      <c r="DJ259" s="93"/>
      <c r="DK259" s="93"/>
      <c r="DL259" s="93"/>
      <c r="DM259" s="93"/>
      <c r="DN259" s="93"/>
      <c r="DO259" s="93"/>
      <c r="DP259" s="93"/>
      <c r="DQ259" s="93"/>
      <c r="DR259" s="93"/>
      <c r="DS259" s="93"/>
      <c r="DT259" s="93"/>
      <c r="DU259" s="93"/>
      <c r="DV259" s="93"/>
      <c r="DW259" s="93"/>
      <c r="DX259" s="93"/>
      <c r="DY259" s="93"/>
      <c r="DZ259" s="93"/>
      <c r="EA259" s="93"/>
      <c r="EB259" s="93"/>
      <c r="EC259" s="93"/>
      <c r="ED259" s="93"/>
      <c r="EE259" s="93"/>
      <c r="EF259" s="93"/>
      <c r="EG259" s="93"/>
      <c r="EH259" s="93"/>
      <c r="EI259" s="93"/>
      <c r="EJ259" s="93"/>
      <c r="EK259" s="93"/>
      <c r="EL259" s="93"/>
      <c r="EM259" s="93"/>
      <c r="EN259" s="93"/>
      <c r="EO259" s="93"/>
      <c r="EP259" s="93"/>
      <c r="EQ259" s="93"/>
      <c r="ER259" s="93"/>
      <c r="ES259" s="93"/>
      <c r="ET259" s="93"/>
      <c r="EU259" s="93"/>
      <c r="EV259" s="93"/>
      <c r="EW259" s="93"/>
      <c r="EX259" s="93"/>
      <c r="EY259" s="93"/>
      <c r="EZ259" s="93"/>
      <c r="FA259" s="93"/>
      <c r="FB259" s="93"/>
      <c r="FC259" s="93"/>
      <c r="FD259" s="93"/>
      <c r="FE259" s="93"/>
      <c r="FF259" s="93"/>
      <c r="FG259" s="93">
        <v>0.33258088788562828</v>
      </c>
      <c r="FH259" s="93"/>
      <c r="FI259" s="93"/>
      <c r="FJ259" s="93"/>
      <c r="FK259" s="93"/>
      <c r="FL259" s="93"/>
      <c r="FM259" s="93"/>
      <c r="FN259" s="93"/>
      <c r="FO259" s="93"/>
      <c r="FP259" s="93"/>
      <c r="FQ259" s="93"/>
      <c r="FR259" s="93"/>
      <c r="FS259" s="93"/>
      <c r="FT259" s="93"/>
      <c r="FU259" s="93"/>
      <c r="FV259" s="93"/>
      <c r="FW259" s="93"/>
      <c r="FX259" s="93"/>
      <c r="FY259" s="93"/>
      <c r="FZ259" s="93"/>
      <c r="GA259" s="93"/>
      <c r="GB259" s="93"/>
      <c r="GC259" s="93"/>
      <c r="GD259" s="93"/>
      <c r="GE259" s="93"/>
      <c r="GF259" s="93"/>
      <c r="GG259" s="93"/>
      <c r="GH259" s="93"/>
      <c r="GI259" s="93"/>
      <c r="GJ259" s="93"/>
      <c r="GK259" s="93"/>
      <c r="GL259" s="93"/>
      <c r="GM259" s="93"/>
      <c r="GN259" s="93"/>
      <c r="GO259" s="93"/>
      <c r="GP259" s="93"/>
      <c r="GQ259" s="93"/>
      <c r="GR259" s="93"/>
      <c r="GS259" s="93"/>
      <c r="GT259" s="93"/>
      <c r="GU259" s="93"/>
      <c r="GV259" s="93"/>
      <c r="GW259" s="93"/>
      <c r="GX259" s="93"/>
      <c r="GY259" s="93"/>
      <c r="GZ259" s="93"/>
      <c r="HA259" s="93"/>
      <c r="HB259" s="93"/>
      <c r="HC259" s="93"/>
      <c r="HD259" s="93"/>
      <c r="HE259" s="93"/>
      <c r="HF259" s="93"/>
      <c r="HG259" s="93"/>
    </row>
    <row r="260" spans="14:215" x14ac:dyDescent="0.2">
      <c r="N260" s="93" t="s">
        <v>377</v>
      </c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93"/>
      <c r="AG260" s="93"/>
      <c r="AH260" s="93"/>
      <c r="AI260" s="93"/>
      <c r="AJ260" s="93"/>
      <c r="AK260" s="93"/>
      <c r="AL260" s="93"/>
      <c r="AM260" s="93"/>
      <c r="AN260" s="93"/>
      <c r="AO260" s="93"/>
      <c r="AP260" s="93"/>
      <c r="AQ260" s="93"/>
      <c r="AR260" s="93"/>
      <c r="AS260" s="93"/>
      <c r="AT260" s="93"/>
      <c r="AU260" s="93"/>
      <c r="AV260" s="93"/>
      <c r="AW260" s="93"/>
      <c r="AX260" s="93"/>
      <c r="AY260" s="93"/>
      <c r="AZ260" s="93"/>
      <c r="BA260" s="93"/>
      <c r="BB260" s="93"/>
      <c r="BC260" s="93"/>
      <c r="BD260" s="93"/>
      <c r="BE260" s="93"/>
      <c r="BF260" s="93"/>
      <c r="BG260" s="93"/>
      <c r="BH260" s="93"/>
      <c r="BI260" s="93"/>
      <c r="BJ260" s="93"/>
      <c r="BK260" s="93"/>
      <c r="BL260" s="93"/>
      <c r="BM260" s="93"/>
      <c r="BN260" s="93"/>
      <c r="BO260" s="93"/>
      <c r="BP260" s="93"/>
      <c r="BQ260" s="93"/>
      <c r="BR260" s="93"/>
      <c r="BS260" s="93"/>
      <c r="BT260" s="93"/>
      <c r="BU260" s="93"/>
      <c r="BV260" s="93"/>
      <c r="BW260" s="93"/>
      <c r="BX260" s="93"/>
      <c r="BY260" s="93"/>
      <c r="BZ260" s="93"/>
      <c r="CA260" s="93"/>
      <c r="CB260" s="93"/>
      <c r="CC260" s="93"/>
      <c r="CD260" s="93"/>
      <c r="CE260" s="93"/>
      <c r="CF260" s="93"/>
      <c r="CG260" s="93"/>
      <c r="CH260" s="93"/>
      <c r="CI260" s="93"/>
      <c r="CJ260" s="93"/>
      <c r="CK260" s="93"/>
      <c r="CL260" s="93"/>
      <c r="CM260" s="93"/>
      <c r="CN260" s="93"/>
      <c r="CO260" s="93"/>
      <c r="CP260" s="93"/>
      <c r="CQ260" s="93"/>
      <c r="CR260" s="93"/>
      <c r="CS260" s="93"/>
      <c r="CT260" s="93"/>
      <c r="CU260" s="93"/>
      <c r="CV260" s="93"/>
      <c r="CW260" s="93"/>
      <c r="CX260" s="93"/>
      <c r="CY260" s="93"/>
      <c r="CZ260" s="93"/>
      <c r="DA260" s="93"/>
      <c r="DB260" s="93"/>
      <c r="DC260" s="93"/>
      <c r="DD260" s="93"/>
      <c r="DE260" s="93"/>
      <c r="DF260" s="93"/>
      <c r="DG260" s="93"/>
      <c r="DH260" s="93"/>
      <c r="DI260" s="93"/>
      <c r="DJ260" s="93"/>
      <c r="DK260" s="93"/>
      <c r="DL260" s="93"/>
      <c r="DM260" s="93"/>
      <c r="DN260" s="93"/>
      <c r="DO260" s="93"/>
      <c r="DP260" s="93"/>
      <c r="DQ260" s="93"/>
      <c r="DR260" s="93"/>
      <c r="DS260" s="93"/>
      <c r="DT260" s="93"/>
      <c r="DU260" s="93"/>
      <c r="DV260" s="93"/>
      <c r="DW260" s="93"/>
      <c r="DX260" s="93"/>
      <c r="DY260" s="93"/>
      <c r="DZ260" s="93"/>
      <c r="EA260" s="93"/>
      <c r="EB260" s="93"/>
      <c r="EC260" s="93"/>
      <c r="ED260" s="93"/>
      <c r="EE260" s="93"/>
      <c r="EF260" s="93"/>
      <c r="EG260" s="93"/>
      <c r="EH260" s="93"/>
      <c r="EI260" s="93"/>
      <c r="EJ260" s="93"/>
      <c r="EK260" s="93"/>
      <c r="EL260" s="93"/>
      <c r="EM260" s="93"/>
      <c r="EN260" s="93"/>
      <c r="EO260" s="93"/>
      <c r="EP260" s="93"/>
      <c r="EQ260" s="93"/>
      <c r="ER260" s="93"/>
      <c r="ES260" s="93"/>
      <c r="ET260" s="93"/>
      <c r="EU260" s="93"/>
      <c r="EV260" s="93"/>
      <c r="EW260" s="93"/>
      <c r="EX260" s="93"/>
      <c r="EY260" s="93"/>
      <c r="EZ260" s="93"/>
      <c r="FA260" s="93"/>
      <c r="FB260" s="93"/>
      <c r="FC260" s="93"/>
      <c r="FD260" s="93"/>
      <c r="FE260" s="93"/>
      <c r="FF260" s="93"/>
      <c r="FG260" s="93"/>
      <c r="FH260" s="93">
        <v>0.33258594917787743</v>
      </c>
      <c r="FI260" s="93"/>
      <c r="FJ260" s="93"/>
      <c r="FK260" s="93"/>
      <c r="FL260" s="93"/>
      <c r="FM260" s="93"/>
      <c r="FN260" s="93"/>
      <c r="FO260" s="93"/>
      <c r="FP260" s="93"/>
      <c r="FQ260" s="93"/>
      <c r="FR260" s="93"/>
      <c r="FS260" s="93"/>
      <c r="FT260" s="93"/>
      <c r="FU260" s="93"/>
      <c r="FV260" s="93"/>
      <c r="FW260" s="93"/>
      <c r="FX260" s="93"/>
      <c r="FY260" s="93"/>
      <c r="FZ260" s="93"/>
      <c r="GA260" s="93"/>
      <c r="GB260" s="93"/>
      <c r="GC260" s="93"/>
      <c r="GD260" s="93"/>
      <c r="GE260" s="93"/>
      <c r="GF260" s="93"/>
      <c r="GG260" s="93"/>
      <c r="GH260" s="93"/>
      <c r="GI260" s="93"/>
      <c r="GJ260" s="93"/>
      <c r="GK260" s="93"/>
      <c r="GL260" s="93"/>
      <c r="GM260" s="93"/>
      <c r="GN260" s="93"/>
      <c r="GO260" s="93"/>
      <c r="GP260" s="93"/>
      <c r="GQ260" s="93"/>
      <c r="GR260" s="93"/>
      <c r="GS260" s="93"/>
      <c r="GT260" s="93"/>
      <c r="GU260" s="93"/>
      <c r="GV260" s="93"/>
      <c r="GW260" s="93"/>
      <c r="GX260" s="93"/>
      <c r="GY260" s="93"/>
      <c r="GZ260" s="93"/>
      <c r="HA260" s="93"/>
      <c r="HB260" s="93"/>
      <c r="HC260" s="93"/>
      <c r="HD260" s="93"/>
      <c r="HE260" s="93"/>
      <c r="HF260" s="93"/>
      <c r="HG260" s="93"/>
    </row>
    <row r="261" spans="14:215" x14ac:dyDescent="0.2">
      <c r="N261" s="93" t="s">
        <v>378</v>
      </c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  <c r="BI261" s="93"/>
      <c r="BJ261" s="93"/>
      <c r="BK261" s="93"/>
      <c r="BL261" s="93"/>
      <c r="BM261" s="93"/>
      <c r="BN261" s="93"/>
      <c r="BO261" s="93"/>
      <c r="BP261" s="93"/>
      <c r="BQ261" s="93"/>
      <c r="BR261" s="93"/>
      <c r="BS261" s="93"/>
      <c r="BT261" s="93"/>
      <c r="BU261" s="93"/>
      <c r="BV261" s="93"/>
      <c r="BW261" s="93"/>
      <c r="BX261" s="93"/>
      <c r="BY261" s="93"/>
      <c r="BZ261" s="93"/>
      <c r="CA261" s="93"/>
      <c r="CB261" s="93"/>
      <c r="CC261" s="93"/>
      <c r="CD261" s="93"/>
      <c r="CE261" s="93"/>
      <c r="CF261" s="93"/>
      <c r="CG261" s="93"/>
      <c r="CH261" s="93"/>
      <c r="CI261" s="93"/>
      <c r="CJ261" s="93"/>
      <c r="CK261" s="93"/>
      <c r="CL261" s="93"/>
      <c r="CM261" s="93"/>
      <c r="CN261" s="93"/>
      <c r="CO261" s="93"/>
      <c r="CP261" s="93"/>
      <c r="CQ261" s="93"/>
      <c r="CR261" s="93"/>
      <c r="CS261" s="93"/>
      <c r="CT261" s="93"/>
      <c r="CU261" s="93"/>
      <c r="CV261" s="93"/>
      <c r="CW261" s="93"/>
      <c r="CX261" s="93"/>
      <c r="CY261" s="93"/>
      <c r="CZ261" s="93"/>
      <c r="DA261" s="93"/>
      <c r="DB261" s="93"/>
      <c r="DC261" s="93"/>
      <c r="DD261" s="93"/>
      <c r="DE261" s="93"/>
      <c r="DF261" s="93"/>
      <c r="DG261" s="93"/>
      <c r="DH261" s="93"/>
      <c r="DI261" s="93"/>
      <c r="DJ261" s="93"/>
      <c r="DK261" s="93"/>
      <c r="DL261" s="93"/>
      <c r="DM261" s="93"/>
      <c r="DN261" s="93"/>
      <c r="DO261" s="93"/>
      <c r="DP261" s="93"/>
      <c r="DQ261" s="93"/>
      <c r="DR261" s="93"/>
      <c r="DS261" s="93"/>
      <c r="DT261" s="93"/>
      <c r="DU261" s="93"/>
      <c r="DV261" s="93"/>
      <c r="DW261" s="93"/>
      <c r="DX261" s="93"/>
      <c r="DY261" s="93"/>
      <c r="DZ261" s="93"/>
      <c r="EA261" s="93"/>
      <c r="EB261" s="93"/>
      <c r="EC261" s="93"/>
      <c r="ED261" s="93"/>
      <c r="EE261" s="93"/>
      <c r="EF261" s="93"/>
      <c r="EG261" s="93"/>
      <c r="EH261" s="93"/>
      <c r="EI261" s="93"/>
      <c r="EJ261" s="93"/>
      <c r="EK261" s="93"/>
      <c r="EL261" s="93"/>
      <c r="EM261" s="93"/>
      <c r="EN261" s="93"/>
      <c r="EO261" s="93"/>
      <c r="EP261" s="93"/>
      <c r="EQ261" s="93"/>
      <c r="ER261" s="93"/>
      <c r="ES261" s="93"/>
      <c r="ET261" s="93"/>
      <c r="EU261" s="93"/>
      <c r="EV261" s="93"/>
      <c r="EW261" s="93"/>
      <c r="EX261" s="93"/>
      <c r="EY261" s="93"/>
      <c r="EZ261" s="93"/>
      <c r="FA261" s="93"/>
      <c r="FB261" s="93"/>
      <c r="FC261" s="93"/>
      <c r="FD261" s="93"/>
      <c r="FE261" s="93"/>
      <c r="FF261" s="93"/>
      <c r="FG261" s="93"/>
      <c r="FH261" s="93"/>
      <c r="FI261" s="93">
        <v>0.33259094283593171</v>
      </c>
      <c r="FJ261" s="93"/>
      <c r="FK261" s="93"/>
      <c r="FL261" s="93"/>
      <c r="FM261" s="93"/>
      <c r="FN261" s="93"/>
      <c r="FO261" s="93"/>
      <c r="FP261" s="93"/>
      <c r="FQ261" s="93"/>
      <c r="FR261" s="93"/>
      <c r="FS261" s="93"/>
      <c r="FT261" s="93"/>
      <c r="FU261" s="93"/>
      <c r="FV261" s="93"/>
      <c r="FW261" s="93"/>
      <c r="FX261" s="93"/>
      <c r="FY261" s="93"/>
      <c r="FZ261" s="93"/>
      <c r="GA261" s="93"/>
      <c r="GB261" s="93"/>
      <c r="GC261" s="93"/>
      <c r="GD261" s="93"/>
      <c r="GE261" s="93"/>
      <c r="GF261" s="93"/>
      <c r="GG261" s="93"/>
      <c r="GH261" s="93"/>
      <c r="GI261" s="93"/>
      <c r="GJ261" s="93"/>
      <c r="GK261" s="93"/>
      <c r="GL261" s="93"/>
      <c r="GM261" s="93"/>
      <c r="GN261" s="93"/>
      <c r="GO261" s="93"/>
      <c r="GP261" s="93"/>
      <c r="GQ261" s="93"/>
      <c r="GR261" s="93"/>
      <c r="GS261" s="93"/>
      <c r="GT261" s="93"/>
      <c r="GU261" s="93"/>
      <c r="GV261" s="93"/>
      <c r="GW261" s="93"/>
      <c r="GX261" s="93"/>
      <c r="GY261" s="93"/>
      <c r="GZ261" s="93"/>
      <c r="HA261" s="93"/>
      <c r="HB261" s="93"/>
      <c r="HC261" s="93"/>
      <c r="HD261" s="93"/>
      <c r="HE261" s="93"/>
      <c r="HF261" s="93"/>
      <c r="HG261" s="93"/>
    </row>
    <row r="262" spans="14:215" x14ac:dyDescent="0.2">
      <c r="N262" s="93" t="s">
        <v>379</v>
      </c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93"/>
      <c r="AG262" s="93"/>
      <c r="AH262" s="93"/>
      <c r="AI262" s="93"/>
      <c r="AJ262" s="93"/>
      <c r="AK262" s="93"/>
      <c r="AL262" s="93"/>
      <c r="AM262" s="93"/>
      <c r="AN262" s="93"/>
      <c r="AO262" s="93"/>
      <c r="AP262" s="93"/>
      <c r="AQ262" s="93"/>
      <c r="AR262" s="93"/>
      <c r="AS262" s="93"/>
      <c r="AT262" s="93"/>
      <c r="AU262" s="93"/>
      <c r="AV262" s="93"/>
      <c r="AW262" s="93"/>
      <c r="AX262" s="93"/>
      <c r="AY262" s="93"/>
      <c r="AZ262" s="93"/>
      <c r="BA262" s="93"/>
      <c r="BB262" s="93"/>
      <c r="BC262" s="93"/>
      <c r="BD262" s="93"/>
      <c r="BE262" s="93"/>
      <c r="BF262" s="93"/>
      <c r="BG262" s="93"/>
      <c r="BH262" s="93"/>
      <c r="BI262" s="93"/>
      <c r="BJ262" s="93"/>
      <c r="BK262" s="93"/>
      <c r="BL262" s="93"/>
      <c r="BM262" s="93"/>
      <c r="BN262" s="93"/>
      <c r="BO262" s="93"/>
      <c r="BP262" s="93"/>
      <c r="BQ262" s="93"/>
      <c r="BR262" s="93"/>
      <c r="BS262" s="93"/>
      <c r="BT262" s="93"/>
      <c r="BU262" s="93"/>
      <c r="BV262" s="93"/>
      <c r="BW262" s="93"/>
      <c r="BX262" s="93"/>
      <c r="BY262" s="93"/>
      <c r="BZ262" s="93"/>
      <c r="CA262" s="93"/>
      <c r="CB262" s="93"/>
      <c r="CC262" s="93"/>
      <c r="CD262" s="93"/>
      <c r="CE262" s="93"/>
      <c r="CF262" s="93"/>
      <c r="CG262" s="93"/>
      <c r="CH262" s="93"/>
      <c r="CI262" s="93"/>
      <c r="CJ262" s="93"/>
      <c r="CK262" s="93"/>
      <c r="CL262" s="93"/>
      <c r="CM262" s="93"/>
      <c r="CN262" s="93"/>
      <c r="CO262" s="93"/>
      <c r="CP262" s="93"/>
      <c r="CQ262" s="93"/>
      <c r="CR262" s="93"/>
      <c r="CS262" s="93"/>
      <c r="CT262" s="93"/>
      <c r="CU262" s="93"/>
      <c r="CV262" s="93"/>
      <c r="CW262" s="93"/>
      <c r="CX262" s="93"/>
      <c r="CY262" s="93"/>
      <c r="CZ262" s="93"/>
      <c r="DA262" s="93"/>
      <c r="DB262" s="93"/>
      <c r="DC262" s="93"/>
      <c r="DD262" s="93"/>
      <c r="DE262" s="93"/>
      <c r="DF262" s="93"/>
      <c r="DG262" s="93"/>
      <c r="DH262" s="93"/>
      <c r="DI262" s="93"/>
      <c r="DJ262" s="93"/>
      <c r="DK262" s="93"/>
      <c r="DL262" s="93"/>
      <c r="DM262" s="93"/>
      <c r="DN262" s="93"/>
      <c r="DO262" s="93"/>
      <c r="DP262" s="93"/>
      <c r="DQ262" s="93"/>
      <c r="DR262" s="93"/>
      <c r="DS262" s="93"/>
      <c r="DT262" s="93"/>
      <c r="DU262" s="93"/>
      <c r="DV262" s="93"/>
      <c r="DW262" s="93"/>
      <c r="DX262" s="93"/>
      <c r="DY262" s="93"/>
      <c r="DZ262" s="93"/>
      <c r="EA262" s="93"/>
      <c r="EB262" s="93"/>
      <c r="EC262" s="93"/>
      <c r="ED262" s="93"/>
      <c r="EE262" s="93"/>
      <c r="EF262" s="93"/>
      <c r="EG262" s="93"/>
      <c r="EH262" s="93"/>
      <c r="EI262" s="93"/>
      <c r="EJ262" s="93"/>
      <c r="EK262" s="93"/>
      <c r="EL262" s="93"/>
      <c r="EM262" s="93"/>
      <c r="EN262" s="93"/>
      <c r="EO262" s="93"/>
      <c r="EP262" s="93"/>
      <c r="EQ262" s="93"/>
      <c r="ER262" s="93"/>
      <c r="ES262" s="93"/>
      <c r="ET262" s="93"/>
      <c r="EU262" s="93"/>
      <c r="EV262" s="93"/>
      <c r="EW262" s="93"/>
      <c r="EX262" s="93"/>
      <c r="EY262" s="93"/>
      <c r="EZ262" s="93"/>
      <c r="FA262" s="93"/>
      <c r="FB262" s="93"/>
      <c r="FC262" s="93"/>
      <c r="FD262" s="93"/>
      <c r="FE262" s="93"/>
      <c r="FF262" s="93"/>
      <c r="FG262" s="93"/>
      <c r="FH262" s="93"/>
      <c r="FI262" s="93"/>
      <c r="FJ262" s="93">
        <v>0.33259587020648967</v>
      </c>
      <c r="FK262" s="93"/>
      <c r="FL262" s="93"/>
      <c r="FM262" s="93"/>
      <c r="FN262" s="93"/>
      <c r="FO262" s="93"/>
      <c r="FP262" s="93"/>
      <c r="FQ262" s="93"/>
      <c r="FR262" s="93"/>
      <c r="FS262" s="93"/>
      <c r="FT262" s="93"/>
      <c r="FU262" s="93"/>
      <c r="FV262" s="93"/>
      <c r="FW262" s="93"/>
      <c r="FX262" s="93"/>
      <c r="FY262" s="93"/>
      <c r="FZ262" s="93"/>
      <c r="GA262" s="93"/>
      <c r="GB262" s="93"/>
      <c r="GC262" s="93"/>
      <c r="GD262" s="93"/>
      <c r="GE262" s="93"/>
      <c r="GF262" s="93"/>
      <c r="GG262" s="93"/>
      <c r="GH262" s="93"/>
      <c r="GI262" s="93"/>
      <c r="GJ262" s="93"/>
      <c r="GK262" s="93"/>
      <c r="GL262" s="93"/>
      <c r="GM262" s="93"/>
      <c r="GN262" s="93"/>
      <c r="GO262" s="93"/>
      <c r="GP262" s="93"/>
      <c r="GQ262" s="93"/>
      <c r="GR262" s="93"/>
      <c r="GS262" s="93"/>
      <c r="GT262" s="93"/>
      <c r="GU262" s="93"/>
      <c r="GV262" s="93"/>
      <c r="GW262" s="93"/>
      <c r="GX262" s="93"/>
      <c r="GY262" s="93"/>
      <c r="GZ262" s="93"/>
      <c r="HA262" s="93"/>
      <c r="HB262" s="93"/>
      <c r="HC262" s="93"/>
      <c r="HD262" s="93"/>
      <c r="HE262" s="93"/>
      <c r="HF262" s="93"/>
      <c r="HG262" s="93"/>
    </row>
    <row r="263" spans="14:215" x14ac:dyDescent="0.2">
      <c r="N263" s="93" t="s">
        <v>380</v>
      </c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  <c r="BI263" s="93"/>
      <c r="BJ263" s="93"/>
      <c r="BK263" s="93"/>
      <c r="BL263" s="93"/>
      <c r="BM263" s="93"/>
      <c r="BN263" s="93"/>
      <c r="BO263" s="93"/>
      <c r="BP263" s="93"/>
      <c r="BQ263" s="93"/>
      <c r="BR263" s="93"/>
      <c r="BS263" s="93"/>
      <c r="BT263" s="93"/>
      <c r="BU263" s="93"/>
      <c r="BV263" s="93"/>
      <c r="BW263" s="93"/>
      <c r="BX263" s="93"/>
      <c r="BY263" s="93"/>
      <c r="BZ263" s="93"/>
      <c r="CA263" s="93"/>
      <c r="CB263" s="93"/>
      <c r="CC263" s="93"/>
      <c r="CD263" s="93"/>
      <c r="CE263" s="93"/>
      <c r="CF263" s="93"/>
      <c r="CG263" s="93"/>
      <c r="CH263" s="93"/>
      <c r="CI263" s="93"/>
      <c r="CJ263" s="93"/>
      <c r="CK263" s="93"/>
      <c r="CL263" s="93"/>
      <c r="CM263" s="93"/>
      <c r="CN263" s="93"/>
      <c r="CO263" s="93"/>
      <c r="CP263" s="93"/>
      <c r="CQ263" s="93"/>
      <c r="CR263" s="93"/>
      <c r="CS263" s="93"/>
      <c r="CT263" s="93"/>
      <c r="CU263" s="93"/>
      <c r="CV263" s="93"/>
      <c r="CW263" s="93"/>
      <c r="CX263" s="93"/>
      <c r="CY263" s="93"/>
      <c r="CZ263" s="93"/>
      <c r="DA263" s="93"/>
      <c r="DB263" s="93"/>
      <c r="DC263" s="93"/>
      <c r="DD263" s="93"/>
      <c r="DE263" s="93"/>
      <c r="DF263" s="93"/>
      <c r="DG263" s="93"/>
      <c r="DH263" s="93"/>
      <c r="DI263" s="93"/>
      <c r="DJ263" s="93"/>
      <c r="DK263" s="93"/>
      <c r="DL263" s="93"/>
      <c r="DM263" s="93"/>
      <c r="DN263" s="93"/>
      <c r="DO263" s="93"/>
      <c r="DP263" s="93"/>
      <c r="DQ263" s="93"/>
      <c r="DR263" s="93"/>
      <c r="DS263" s="93"/>
      <c r="DT263" s="93"/>
      <c r="DU263" s="93"/>
      <c r="DV263" s="93"/>
      <c r="DW263" s="93"/>
      <c r="DX263" s="93"/>
      <c r="DY263" s="93"/>
      <c r="DZ263" s="93"/>
      <c r="EA263" s="93"/>
      <c r="EB263" s="93"/>
      <c r="EC263" s="93"/>
      <c r="ED263" s="93"/>
      <c r="EE263" s="93"/>
      <c r="EF263" s="93"/>
      <c r="EG263" s="93"/>
      <c r="EH263" s="93"/>
      <c r="EI263" s="93"/>
      <c r="EJ263" s="93"/>
      <c r="EK263" s="93"/>
      <c r="EL263" s="93"/>
      <c r="EM263" s="93"/>
      <c r="EN263" s="93"/>
      <c r="EO263" s="93"/>
      <c r="EP263" s="93"/>
      <c r="EQ263" s="93"/>
      <c r="ER263" s="93"/>
      <c r="ES263" s="93"/>
      <c r="ET263" s="93"/>
      <c r="EU263" s="93"/>
      <c r="EV263" s="93"/>
      <c r="EW263" s="93"/>
      <c r="EX263" s="93"/>
      <c r="EY263" s="93"/>
      <c r="EZ263" s="93"/>
      <c r="FA263" s="93"/>
      <c r="FB263" s="93"/>
      <c r="FC263" s="93"/>
      <c r="FD263" s="93"/>
      <c r="FE263" s="93"/>
      <c r="FF263" s="93"/>
      <c r="FG263" s="93"/>
      <c r="FH263" s="93"/>
      <c r="FI263" s="93"/>
      <c r="FJ263" s="93"/>
      <c r="FK263" s="93">
        <v>0.33260073260073258</v>
      </c>
      <c r="FL263" s="93"/>
      <c r="FM263" s="93"/>
      <c r="FN263" s="93"/>
      <c r="FO263" s="93"/>
      <c r="FP263" s="93"/>
      <c r="FQ263" s="93"/>
      <c r="FR263" s="93"/>
      <c r="FS263" s="93"/>
      <c r="FT263" s="93"/>
      <c r="FU263" s="93"/>
      <c r="FV263" s="93"/>
      <c r="FW263" s="93"/>
      <c r="FX263" s="93"/>
      <c r="FY263" s="93"/>
      <c r="FZ263" s="93"/>
      <c r="GA263" s="93"/>
      <c r="GB263" s="93"/>
      <c r="GC263" s="93"/>
      <c r="GD263" s="93"/>
      <c r="GE263" s="93"/>
      <c r="GF263" s="93"/>
      <c r="GG263" s="93"/>
      <c r="GH263" s="93"/>
      <c r="GI263" s="93"/>
      <c r="GJ263" s="93"/>
      <c r="GK263" s="93"/>
      <c r="GL263" s="93"/>
      <c r="GM263" s="93"/>
      <c r="GN263" s="93"/>
      <c r="GO263" s="93"/>
      <c r="GP263" s="93"/>
      <c r="GQ263" s="93"/>
      <c r="GR263" s="93"/>
      <c r="GS263" s="93"/>
      <c r="GT263" s="93"/>
      <c r="GU263" s="93"/>
      <c r="GV263" s="93"/>
      <c r="GW263" s="93"/>
      <c r="GX263" s="93"/>
      <c r="GY263" s="93"/>
      <c r="GZ263" s="93"/>
      <c r="HA263" s="93"/>
      <c r="HB263" s="93"/>
      <c r="HC263" s="93"/>
      <c r="HD263" s="93"/>
      <c r="HE263" s="93"/>
      <c r="HF263" s="93"/>
      <c r="HG263" s="93"/>
    </row>
    <row r="264" spans="14:215" x14ac:dyDescent="0.2">
      <c r="N264" s="93" t="s">
        <v>381</v>
      </c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93"/>
      <c r="BG264" s="93"/>
      <c r="BH264" s="93"/>
      <c r="BI264" s="93"/>
      <c r="BJ264" s="93"/>
      <c r="BK264" s="93"/>
      <c r="BL264" s="93"/>
      <c r="BM264" s="93"/>
      <c r="BN264" s="93"/>
      <c r="BO264" s="93"/>
      <c r="BP264" s="93"/>
      <c r="BQ264" s="93"/>
      <c r="BR264" s="93"/>
      <c r="BS264" s="93"/>
      <c r="BT264" s="93"/>
      <c r="BU264" s="93"/>
      <c r="BV264" s="93"/>
      <c r="BW264" s="93"/>
      <c r="BX264" s="93"/>
      <c r="BY264" s="93"/>
      <c r="BZ264" s="93"/>
      <c r="CA264" s="93"/>
      <c r="CB264" s="93"/>
      <c r="CC264" s="93"/>
      <c r="CD264" s="93"/>
      <c r="CE264" s="93"/>
      <c r="CF264" s="93"/>
      <c r="CG264" s="93"/>
      <c r="CH264" s="93"/>
      <c r="CI264" s="93"/>
      <c r="CJ264" s="93"/>
      <c r="CK264" s="93"/>
      <c r="CL264" s="93"/>
      <c r="CM264" s="93"/>
      <c r="CN264" s="93"/>
      <c r="CO264" s="93"/>
      <c r="CP264" s="93"/>
      <c r="CQ264" s="93"/>
      <c r="CR264" s="93"/>
      <c r="CS264" s="93"/>
      <c r="CT264" s="93"/>
      <c r="CU264" s="93"/>
      <c r="CV264" s="93"/>
      <c r="CW264" s="93"/>
      <c r="CX264" s="93"/>
      <c r="CY264" s="93"/>
      <c r="CZ264" s="93"/>
      <c r="DA264" s="93"/>
      <c r="DB264" s="93"/>
      <c r="DC264" s="93"/>
      <c r="DD264" s="93"/>
      <c r="DE264" s="93"/>
      <c r="DF264" s="93"/>
      <c r="DG264" s="93"/>
      <c r="DH264" s="93"/>
      <c r="DI264" s="93"/>
      <c r="DJ264" s="93"/>
      <c r="DK264" s="93"/>
      <c r="DL264" s="93"/>
      <c r="DM264" s="93"/>
      <c r="DN264" s="93"/>
      <c r="DO264" s="93"/>
      <c r="DP264" s="93"/>
      <c r="DQ264" s="93"/>
      <c r="DR264" s="93"/>
      <c r="DS264" s="93"/>
      <c r="DT264" s="93"/>
      <c r="DU264" s="93"/>
      <c r="DV264" s="93"/>
      <c r="DW264" s="93"/>
      <c r="DX264" s="93"/>
      <c r="DY264" s="93"/>
      <c r="DZ264" s="93"/>
      <c r="EA264" s="93"/>
      <c r="EB264" s="93"/>
      <c r="EC264" s="93"/>
      <c r="ED264" s="93"/>
      <c r="EE264" s="93"/>
      <c r="EF264" s="93"/>
      <c r="EG264" s="93"/>
      <c r="EH264" s="93"/>
      <c r="EI264" s="93"/>
      <c r="EJ264" s="93"/>
      <c r="EK264" s="93"/>
      <c r="EL264" s="93"/>
      <c r="EM264" s="93"/>
      <c r="EN264" s="93"/>
      <c r="EO264" s="93"/>
      <c r="EP264" s="93"/>
      <c r="EQ264" s="93"/>
      <c r="ER264" s="93"/>
      <c r="ES264" s="93"/>
      <c r="ET264" s="93"/>
      <c r="EU264" s="93"/>
      <c r="EV264" s="93"/>
      <c r="EW264" s="93"/>
      <c r="EX264" s="93"/>
      <c r="EY264" s="93"/>
      <c r="EZ264" s="93"/>
      <c r="FA264" s="93"/>
      <c r="FB264" s="93"/>
      <c r="FC264" s="93"/>
      <c r="FD264" s="93"/>
      <c r="FE264" s="93"/>
      <c r="FF264" s="93"/>
      <c r="FG264" s="93"/>
      <c r="FH264" s="93"/>
      <c r="FI264" s="93"/>
      <c r="FJ264" s="93"/>
      <c r="FK264" s="93"/>
      <c r="FL264" s="93">
        <v>0.33260553129548764</v>
      </c>
      <c r="FM264" s="93"/>
      <c r="FN264" s="93"/>
      <c r="FO264" s="93"/>
      <c r="FP264" s="93"/>
      <c r="FQ264" s="93"/>
      <c r="FR264" s="93"/>
      <c r="FS264" s="93"/>
      <c r="FT264" s="93"/>
      <c r="FU264" s="93"/>
      <c r="FV264" s="93"/>
      <c r="FW264" s="93"/>
      <c r="FX264" s="93"/>
      <c r="FY264" s="93"/>
      <c r="FZ264" s="93"/>
      <c r="GA264" s="93"/>
      <c r="GB264" s="93"/>
      <c r="GC264" s="93"/>
      <c r="GD264" s="93"/>
      <c r="GE264" s="93"/>
      <c r="GF264" s="93"/>
      <c r="GG264" s="93"/>
      <c r="GH264" s="93"/>
      <c r="GI264" s="93"/>
      <c r="GJ264" s="93"/>
      <c r="GK264" s="93"/>
      <c r="GL264" s="93"/>
      <c r="GM264" s="93"/>
      <c r="GN264" s="93"/>
      <c r="GO264" s="93"/>
      <c r="GP264" s="93"/>
      <c r="GQ264" s="93"/>
      <c r="GR264" s="93"/>
      <c r="GS264" s="93"/>
      <c r="GT264" s="93"/>
      <c r="GU264" s="93"/>
      <c r="GV264" s="93"/>
      <c r="GW264" s="93"/>
      <c r="GX264" s="93"/>
      <c r="GY264" s="93"/>
      <c r="GZ264" s="93"/>
      <c r="HA264" s="93"/>
      <c r="HB264" s="93"/>
      <c r="HC264" s="93"/>
      <c r="HD264" s="93"/>
      <c r="HE264" s="93"/>
      <c r="HF264" s="93"/>
      <c r="HG264" s="93"/>
    </row>
    <row r="265" spans="14:215" x14ac:dyDescent="0.2">
      <c r="N265" s="93" t="s">
        <v>382</v>
      </c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  <c r="BI265" s="93"/>
      <c r="BJ265" s="93"/>
      <c r="BK265" s="93"/>
      <c r="BL265" s="93"/>
      <c r="BM265" s="93"/>
      <c r="BN265" s="93"/>
      <c r="BO265" s="93"/>
      <c r="BP265" s="93"/>
      <c r="BQ265" s="93"/>
      <c r="BR265" s="93"/>
      <c r="BS265" s="93"/>
      <c r="BT265" s="93"/>
      <c r="BU265" s="93"/>
      <c r="BV265" s="93"/>
      <c r="BW265" s="93"/>
      <c r="BX265" s="93"/>
      <c r="BY265" s="93"/>
      <c r="BZ265" s="93"/>
      <c r="CA265" s="93"/>
      <c r="CB265" s="93"/>
      <c r="CC265" s="93"/>
      <c r="CD265" s="93"/>
      <c r="CE265" s="93"/>
      <c r="CF265" s="93"/>
      <c r="CG265" s="93"/>
      <c r="CH265" s="93"/>
      <c r="CI265" s="93"/>
      <c r="CJ265" s="93"/>
      <c r="CK265" s="93"/>
      <c r="CL265" s="93"/>
      <c r="CM265" s="93"/>
      <c r="CN265" s="93"/>
      <c r="CO265" s="93"/>
      <c r="CP265" s="93"/>
      <c r="CQ265" s="93"/>
      <c r="CR265" s="93"/>
      <c r="CS265" s="93"/>
      <c r="CT265" s="93"/>
      <c r="CU265" s="93"/>
      <c r="CV265" s="93"/>
      <c r="CW265" s="93"/>
      <c r="CX265" s="93"/>
      <c r="CY265" s="93"/>
      <c r="CZ265" s="93"/>
      <c r="DA265" s="93"/>
      <c r="DB265" s="93"/>
      <c r="DC265" s="93"/>
      <c r="DD265" s="93"/>
      <c r="DE265" s="93"/>
      <c r="DF265" s="93"/>
      <c r="DG265" s="93"/>
      <c r="DH265" s="93"/>
      <c r="DI265" s="93"/>
      <c r="DJ265" s="93"/>
      <c r="DK265" s="93"/>
      <c r="DL265" s="93"/>
      <c r="DM265" s="93"/>
      <c r="DN265" s="93"/>
      <c r="DO265" s="93"/>
      <c r="DP265" s="93"/>
      <c r="DQ265" s="93"/>
      <c r="DR265" s="93"/>
      <c r="DS265" s="93"/>
      <c r="DT265" s="93"/>
      <c r="DU265" s="93"/>
      <c r="DV265" s="93"/>
      <c r="DW265" s="93"/>
      <c r="DX265" s="93"/>
      <c r="DY265" s="93"/>
      <c r="DZ265" s="93"/>
      <c r="EA265" s="93"/>
      <c r="EB265" s="93"/>
      <c r="EC265" s="93"/>
      <c r="ED265" s="93"/>
      <c r="EE265" s="93"/>
      <c r="EF265" s="93"/>
      <c r="EG265" s="93"/>
      <c r="EH265" s="93"/>
      <c r="EI265" s="93"/>
      <c r="EJ265" s="93"/>
      <c r="EK265" s="93"/>
      <c r="EL265" s="93"/>
      <c r="EM265" s="93"/>
      <c r="EN265" s="93"/>
      <c r="EO265" s="93"/>
      <c r="EP265" s="93"/>
      <c r="EQ265" s="93"/>
      <c r="ER265" s="93"/>
      <c r="ES265" s="93"/>
      <c r="ET265" s="93"/>
      <c r="EU265" s="93"/>
      <c r="EV265" s="93"/>
      <c r="EW265" s="93"/>
      <c r="EX265" s="93"/>
      <c r="EY265" s="93"/>
      <c r="EZ265" s="93"/>
      <c r="FA265" s="93"/>
      <c r="FB265" s="93"/>
      <c r="FC265" s="93"/>
      <c r="FD265" s="93"/>
      <c r="FE265" s="93"/>
      <c r="FF265" s="93"/>
      <c r="FG265" s="93"/>
      <c r="FH265" s="93"/>
      <c r="FI265" s="93"/>
      <c r="FJ265" s="93"/>
      <c r="FK265" s="93"/>
      <c r="FL265" s="93"/>
      <c r="FM265" s="93">
        <v>0.33261026753434564</v>
      </c>
      <c r="FN265" s="93"/>
      <c r="FO265" s="93"/>
      <c r="FP265" s="93"/>
      <c r="FQ265" s="93"/>
      <c r="FR265" s="93"/>
      <c r="FS265" s="93"/>
      <c r="FT265" s="93"/>
      <c r="FU265" s="93"/>
      <c r="FV265" s="93"/>
      <c r="FW265" s="93"/>
      <c r="FX265" s="93"/>
      <c r="FY265" s="93"/>
      <c r="FZ265" s="93"/>
      <c r="GA265" s="93"/>
      <c r="GB265" s="93"/>
      <c r="GC265" s="93"/>
      <c r="GD265" s="93"/>
      <c r="GE265" s="93"/>
      <c r="GF265" s="93"/>
      <c r="GG265" s="93"/>
      <c r="GH265" s="93"/>
      <c r="GI265" s="93"/>
      <c r="GJ265" s="93"/>
      <c r="GK265" s="93"/>
      <c r="GL265" s="93"/>
      <c r="GM265" s="93"/>
      <c r="GN265" s="93"/>
      <c r="GO265" s="93"/>
      <c r="GP265" s="93"/>
      <c r="GQ265" s="93"/>
      <c r="GR265" s="93"/>
      <c r="GS265" s="93"/>
      <c r="GT265" s="93"/>
      <c r="GU265" s="93"/>
      <c r="GV265" s="93"/>
      <c r="GW265" s="93"/>
      <c r="GX265" s="93"/>
      <c r="GY265" s="93"/>
      <c r="GZ265" s="93"/>
      <c r="HA265" s="93"/>
      <c r="HB265" s="93"/>
      <c r="HC265" s="93"/>
      <c r="HD265" s="93"/>
      <c r="HE265" s="93"/>
      <c r="HF265" s="93"/>
      <c r="HG265" s="93"/>
    </row>
    <row r="266" spans="14:215" x14ac:dyDescent="0.2">
      <c r="N266" s="93" t="s">
        <v>383</v>
      </c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93"/>
      <c r="AG266" s="93"/>
      <c r="AH266" s="93"/>
      <c r="AI266" s="93"/>
      <c r="AJ266" s="93"/>
      <c r="AK266" s="93"/>
      <c r="AL266" s="93"/>
      <c r="AM266" s="93"/>
      <c r="AN266" s="93"/>
      <c r="AO266" s="93"/>
      <c r="AP266" s="93"/>
      <c r="AQ266" s="93"/>
      <c r="AR266" s="93"/>
      <c r="AS266" s="93"/>
      <c r="AT266" s="93"/>
      <c r="AU266" s="93"/>
      <c r="AV266" s="93"/>
      <c r="AW266" s="93"/>
      <c r="AX266" s="93"/>
      <c r="AY266" s="93"/>
      <c r="AZ266" s="93"/>
      <c r="BA266" s="93"/>
      <c r="BB266" s="93"/>
      <c r="BC266" s="93"/>
      <c r="BD266" s="93"/>
      <c r="BE266" s="93"/>
      <c r="BF266" s="93"/>
      <c r="BG266" s="93"/>
      <c r="BH266" s="93"/>
      <c r="BI266" s="93"/>
      <c r="BJ266" s="93"/>
      <c r="BK266" s="93"/>
      <c r="BL266" s="93"/>
      <c r="BM266" s="93"/>
      <c r="BN266" s="93"/>
      <c r="BO266" s="93"/>
      <c r="BP266" s="93"/>
      <c r="BQ266" s="93"/>
      <c r="BR266" s="93"/>
      <c r="BS266" s="93"/>
      <c r="BT266" s="93"/>
      <c r="BU266" s="93"/>
      <c r="BV266" s="93"/>
      <c r="BW266" s="93"/>
      <c r="BX266" s="93"/>
      <c r="BY266" s="93"/>
      <c r="BZ266" s="93"/>
      <c r="CA266" s="93"/>
      <c r="CB266" s="93"/>
      <c r="CC266" s="93"/>
      <c r="CD266" s="93"/>
      <c r="CE266" s="93"/>
      <c r="CF266" s="93"/>
      <c r="CG266" s="93"/>
      <c r="CH266" s="93"/>
      <c r="CI266" s="93"/>
      <c r="CJ266" s="93"/>
      <c r="CK266" s="93"/>
      <c r="CL266" s="93"/>
      <c r="CM266" s="93"/>
      <c r="CN266" s="93"/>
      <c r="CO266" s="93"/>
      <c r="CP266" s="93"/>
      <c r="CQ266" s="93"/>
      <c r="CR266" s="93"/>
      <c r="CS266" s="93"/>
      <c r="CT266" s="93"/>
      <c r="CU266" s="93"/>
      <c r="CV266" s="93"/>
      <c r="CW266" s="93"/>
      <c r="CX266" s="93"/>
      <c r="CY266" s="93"/>
      <c r="CZ266" s="93"/>
      <c r="DA266" s="93"/>
      <c r="DB266" s="93"/>
      <c r="DC266" s="93"/>
      <c r="DD266" s="93"/>
      <c r="DE266" s="93"/>
      <c r="DF266" s="93"/>
      <c r="DG266" s="93"/>
      <c r="DH266" s="93"/>
      <c r="DI266" s="93"/>
      <c r="DJ266" s="93"/>
      <c r="DK266" s="93"/>
      <c r="DL266" s="93"/>
      <c r="DM266" s="93"/>
      <c r="DN266" s="93"/>
      <c r="DO266" s="93"/>
      <c r="DP266" s="93"/>
      <c r="DQ266" s="93"/>
      <c r="DR266" s="93"/>
      <c r="DS266" s="93"/>
      <c r="DT266" s="93"/>
      <c r="DU266" s="93"/>
      <c r="DV266" s="93"/>
      <c r="DW266" s="93"/>
      <c r="DX266" s="93"/>
      <c r="DY266" s="93"/>
      <c r="DZ266" s="93"/>
      <c r="EA266" s="93"/>
      <c r="EB266" s="93"/>
      <c r="EC266" s="93"/>
      <c r="ED266" s="93"/>
      <c r="EE266" s="93"/>
      <c r="EF266" s="93"/>
      <c r="EG266" s="93"/>
      <c r="EH266" s="93"/>
      <c r="EI266" s="93"/>
      <c r="EJ266" s="93"/>
      <c r="EK266" s="93"/>
      <c r="EL266" s="93"/>
      <c r="EM266" s="93"/>
      <c r="EN266" s="93"/>
      <c r="EO266" s="93"/>
      <c r="EP266" s="93"/>
      <c r="EQ266" s="93"/>
      <c r="ER266" s="93"/>
      <c r="ES266" s="93"/>
      <c r="ET266" s="93"/>
      <c r="EU266" s="93"/>
      <c r="EV266" s="93"/>
      <c r="EW266" s="93"/>
      <c r="EX266" s="93"/>
      <c r="EY266" s="93"/>
      <c r="EZ266" s="93"/>
      <c r="FA266" s="93"/>
      <c r="FB266" s="93"/>
      <c r="FC266" s="93"/>
      <c r="FD266" s="93"/>
      <c r="FE266" s="93"/>
      <c r="FF266" s="93"/>
      <c r="FG266" s="93"/>
      <c r="FH266" s="93"/>
      <c r="FI266" s="93"/>
      <c r="FJ266" s="93"/>
      <c r="FK266" s="93"/>
      <c r="FL266" s="93"/>
      <c r="FM266" s="93"/>
      <c r="FN266" s="93">
        <v>0.33261494252873564</v>
      </c>
      <c r="FO266" s="93"/>
      <c r="FP266" s="93"/>
      <c r="FQ266" s="93"/>
      <c r="FR266" s="93"/>
      <c r="FS266" s="93"/>
      <c r="FT266" s="93"/>
      <c r="FU266" s="93"/>
      <c r="FV266" s="93"/>
      <c r="FW266" s="93"/>
      <c r="FX266" s="93"/>
      <c r="FY266" s="93"/>
      <c r="FZ266" s="93"/>
      <c r="GA266" s="93"/>
      <c r="GB266" s="93"/>
      <c r="GC266" s="93"/>
      <c r="GD266" s="93"/>
      <c r="GE266" s="93"/>
      <c r="GF266" s="93"/>
      <c r="GG266" s="93"/>
      <c r="GH266" s="93"/>
      <c r="GI266" s="93"/>
      <c r="GJ266" s="93"/>
      <c r="GK266" s="93"/>
      <c r="GL266" s="93"/>
      <c r="GM266" s="93"/>
      <c r="GN266" s="93"/>
      <c r="GO266" s="93"/>
      <c r="GP266" s="93"/>
      <c r="GQ266" s="93"/>
      <c r="GR266" s="93"/>
      <c r="GS266" s="93"/>
      <c r="GT266" s="93"/>
      <c r="GU266" s="93"/>
      <c r="GV266" s="93"/>
      <c r="GW266" s="93"/>
      <c r="GX266" s="93"/>
      <c r="GY266" s="93"/>
      <c r="GZ266" s="93"/>
      <c r="HA266" s="93"/>
      <c r="HB266" s="93"/>
      <c r="HC266" s="93"/>
      <c r="HD266" s="93"/>
      <c r="HE266" s="93"/>
      <c r="HF266" s="93"/>
      <c r="HG266" s="93"/>
    </row>
    <row r="267" spans="14:215" x14ac:dyDescent="0.2">
      <c r="N267" s="93" t="s">
        <v>384</v>
      </c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  <c r="BI267" s="93"/>
      <c r="BJ267" s="93"/>
      <c r="BK267" s="93"/>
      <c r="BL267" s="93"/>
      <c r="BM267" s="93"/>
      <c r="BN267" s="93"/>
      <c r="BO267" s="93"/>
      <c r="BP267" s="93"/>
      <c r="BQ267" s="93"/>
      <c r="BR267" s="93"/>
      <c r="BS267" s="93"/>
      <c r="BT267" s="93"/>
      <c r="BU267" s="93"/>
      <c r="BV267" s="93"/>
      <c r="BW267" s="93"/>
      <c r="BX267" s="93"/>
      <c r="BY267" s="93"/>
      <c r="BZ267" s="93"/>
      <c r="CA267" s="93"/>
      <c r="CB267" s="93"/>
      <c r="CC267" s="93"/>
      <c r="CD267" s="93"/>
      <c r="CE267" s="93"/>
      <c r="CF267" s="93"/>
      <c r="CG267" s="93"/>
      <c r="CH267" s="93"/>
      <c r="CI267" s="93"/>
      <c r="CJ267" s="93"/>
      <c r="CK267" s="93"/>
      <c r="CL267" s="93"/>
      <c r="CM267" s="93"/>
      <c r="CN267" s="93"/>
      <c r="CO267" s="93"/>
      <c r="CP267" s="93"/>
      <c r="CQ267" s="93"/>
      <c r="CR267" s="93"/>
      <c r="CS267" s="93"/>
      <c r="CT267" s="93"/>
      <c r="CU267" s="93"/>
      <c r="CV267" s="93"/>
      <c r="CW267" s="93"/>
      <c r="CX267" s="93"/>
      <c r="CY267" s="93"/>
      <c r="CZ267" s="93"/>
      <c r="DA267" s="93"/>
      <c r="DB267" s="93"/>
      <c r="DC267" s="93"/>
      <c r="DD267" s="93"/>
      <c r="DE267" s="93"/>
      <c r="DF267" s="93"/>
      <c r="DG267" s="93"/>
      <c r="DH267" s="93"/>
      <c r="DI267" s="93"/>
      <c r="DJ267" s="93"/>
      <c r="DK267" s="93"/>
      <c r="DL267" s="93"/>
      <c r="DM267" s="93"/>
      <c r="DN267" s="93"/>
      <c r="DO267" s="93"/>
      <c r="DP267" s="93"/>
      <c r="DQ267" s="93"/>
      <c r="DR267" s="93"/>
      <c r="DS267" s="93"/>
      <c r="DT267" s="93"/>
      <c r="DU267" s="93"/>
      <c r="DV267" s="93"/>
      <c r="DW267" s="93"/>
      <c r="DX267" s="93"/>
      <c r="DY267" s="93"/>
      <c r="DZ267" s="93"/>
      <c r="EA267" s="93"/>
      <c r="EB267" s="93"/>
      <c r="EC267" s="93"/>
      <c r="ED267" s="93"/>
      <c r="EE267" s="93"/>
      <c r="EF267" s="93"/>
      <c r="EG267" s="93"/>
      <c r="EH267" s="93"/>
      <c r="EI267" s="93"/>
      <c r="EJ267" s="93"/>
      <c r="EK267" s="93"/>
      <c r="EL267" s="93"/>
      <c r="EM267" s="93"/>
      <c r="EN267" s="93"/>
      <c r="EO267" s="93"/>
      <c r="EP267" s="93"/>
      <c r="EQ267" s="93"/>
      <c r="ER267" s="93"/>
      <c r="ES267" s="93"/>
      <c r="ET267" s="93"/>
      <c r="EU267" s="93"/>
      <c r="EV267" s="93"/>
      <c r="EW267" s="93"/>
      <c r="EX267" s="93"/>
      <c r="EY267" s="93"/>
      <c r="EZ267" s="93"/>
      <c r="FA267" s="93"/>
      <c r="FB267" s="93"/>
      <c r="FC267" s="93"/>
      <c r="FD267" s="93"/>
      <c r="FE267" s="93"/>
      <c r="FF267" s="93"/>
      <c r="FG267" s="93"/>
      <c r="FH267" s="93"/>
      <c r="FI267" s="93"/>
      <c r="FJ267" s="93"/>
      <c r="FK267" s="93"/>
      <c r="FL267" s="93"/>
      <c r="FM267" s="93"/>
      <c r="FN267" s="93"/>
      <c r="FO267" s="93">
        <v>0.33261955745895788</v>
      </c>
      <c r="FP267" s="93"/>
      <c r="FQ267" s="93"/>
      <c r="FR267" s="93"/>
      <c r="FS267" s="93"/>
      <c r="FT267" s="93"/>
      <c r="FU267" s="93"/>
      <c r="FV267" s="93"/>
      <c r="FW267" s="93"/>
      <c r="FX267" s="93"/>
      <c r="FY267" s="93"/>
      <c r="FZ267" s="93"/>
      <c r="GA267" s="93"/>
      <c r="GB267" s="93"/>
      <c r="GC267" s="93"/>
      <c r="GD267" s="93"/>
      <c r="GE267" s="93"/>
      <c r="GF267" s="93"/>
      <c r="GG267" s="93"/>
      <c r="GH267" s="93"/>
      <c r="GI267" s="93"/>
      <c r="GJ267" s="93"/>
      <c r="GK267" s="93"/>
      <c r="GL267" s="93"/>
      <c r="GM267" s="93"/>
      <c r="GN267" s="93"/>
      <c r="GO267" s="93"/>
      <c r="GP267" s="93"/>
      <c r="GQ267" s="93"/>
      <c r="GR267" s="93"/>
      <c r="GS267" s="93"/>
      <c r="GT267" s="93"/>
      <c r="GU267" s="93"/>
      <c r="GV267" s="93"/>
      <c r="GW267" s="93"/>
      <c r="GX267" s="93"/>
      <c r="GY267" s="93"/>
      <c r="GZ267" s="93"/>
      <c r="HA267" s="93"/>
      <c r="HB267" s="93"/>
      <c r="HC267" s="93"/>
      <c r="HD267" s="93"/>
      <c r="HE267" s="93"/>
      <c r="HF267" s="93"/>
      <c r="HG267" s="93"/>
    </row>
    <row r="268" spans="14:215" x14ac:dyDescent="0.2">
      <c r="N268" s="93" t="s">
        <v>385</v>
      </c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93"/>
      <c r="AG268" s="93"/>
      <c r="AH268" s="93"/>
      <c r="AI268" s="93"/>
      <c r="AJ268" s="93"/>
      <c r="AK268" s="93"/>
      <c r="AL268" s="93"/>
      <c r="AM268" s="93"/>
      <c r="AN268" s="93"/>
      <c r="AO268" s="93"/>
      <c r="AP268" s="93"/>
      <c r="AQ268" s="93"/>
      <c r="AR268" s="93"/>
      <c r="AS268" s="93"/>
      <c r="AT268" s="93"/>
      <c r="AU268" s="93"/>
      <c r="AV268" s="93"/>
      <c r="AW268" s="93"/>
      <c r="AX268" s="93"/>
      <c r="AY268" s="93"/>
      <c r="AZ268" s="93"/>
      <c r="BA268" s="93"/>
      <c r="BB268" s="93"/>
      <c r="BC268" s="93"/>
      <c r="BD268" s="93"/>
      <c r="BE268" s="93"/>
      <c r="BF268" s="93"/>
      <c r="BG268" s="93"/>
      <c r="BH268" s="93"/>
      <c r="BI268" s="93"/>
      <c r="BJ268" s="93"/>
      <c r="BK268" s="93"/>
      <c r="BL268" s="93"/>
      <c r="BM268" s="93"/>
      <c r="BN268" s="93"/>
      <c r="BO268" s="93"/>
      <c r="BP268" s="93"/>
      <c r="BQ268" s="93"/>
      <c r="BR268" s="93"/>
      <c r="BS268" s="93"/>
      <c r="BT268" s="93"/>
      <c r="BU268" s="93"/>
      <c r="BV268" s="93"/>
      <c r="BW268" s="93"/>
      <c r="BX268" s="93"/>
      <c r="BY268" s="93"/>
      <c r="BZ268" s="93"/>
      <c r="CA268" s="93"/>
      <c r="CB268" s="93"/>
      <c r="CC268" s="93"/>
      <c r="CD268" s="93"/>
      <c r="CE268" s="93"/>
      <c r="CF268" s="93"/>
      <c r="CG268" s="93"/>
      <c r="CH268" s="93"/>
      <c r="CI268" s="93"/>
      <c r="CJ268" s="93"/>
      <c r="CK268" s="93"/>
      <c r="CL268" s="93"/>
      <c r="CM268" s="93"/>
      <c r="CN268" s="93"/>
      <c r="CO268" s="93"/>
      <c r="CP268" s="93"/>
      <c r="CQ268" s="93"/>
      <c r="CR268" s="93"/>
      <c r="CS268" s="93"/>
      <c r="CT268" s="93"/>
      <c r="CU268" s="93"/>
      <c r="CV268" s="93"/>
      <c r="CW268" s="93"/>
      <c r="CX268" s="93"/>
      <c r="CY268" s="93"/>
      <c r="CZ268" s="93"/>
      <c r="DA268" s="93"/>
      <c r="DB268" s="93"/>
      <c r="DC268" s="93"/>
      <c r="DD268" s="93"/>
      <c r="DE268" s="93"/>
      <c r="DF268" s="93"/>
      <c r="DG268" s="93"/>
      <c r="DH268" s="93"/>
      <c r="DI268" s="93"/>
      <c r="DJ268" s="93"/>
      <c r="DK268" s="93"/>
      <c r="DL268" s="93"/>
      <c r="DM268" s="93"/>
      <c r="DN268" s="93"/>
      <c r="DO268" s="93"/>
      <c r="DP268" s="93"/>
      <c r="DQ268" s="93"/>
      <c r="DR268" s="93"/>
      <c r="DS268" s="93"/>
      <c r="DT268" s="93"/>
      <c r="DU268" s="93"/>
      <c r="DV268" s="93"/>
      <c r="DW268" s="93"/>
      <c r="DX268" s="93"/>
      <c r="DY268" s="93"/>
      <c r="DZ268" s="93"/>
      <c r="EA268" s="93"/>
      <c r="EB268" s="93"/>
      <c r="EC268" s="93"/>
      <c r="ED268" s="93"/>
      <c r="EE268" s="93"/>
      <c r="EF268" s="93"/>
      <c r="EG268" s="93"/>
      <c r="EH268" s="93"/>
      <c r="EI268" s="93"/>
      <c r="EJ268" s="93"/>
      <c r="EK268" s="93"/>
      <c r="EL268" s="93"/>
      <c r="EM268" s="93"/>
      <c r="EN268" s="93"/>
      <c r="EO268" s="93"/>
      <c r="EP268" s="93"/>
      <c r="EQ268" s="93"/>
      <c r="ER268" s="93"/>
      <c r="ES268" s="93"/>
      <c r="ET268" s="93"/>
      <c r="EU268" s="93"/>
      <c r="EV268" s="93"/>
      <c r="EW268" s="93"/>
      <c r="EX268" s="93"/>
      <c r="EY268" s="93"/>
      <c r="EZ268" s="93"/>
      <c r="FA268" s="93"/>
      <c r="FB268" s="93"/>
      <c r="FC268" s="93"/>
      <c r="FD268" s="93"/>
      <c r="FE268" s="93"/>
      <c r="FF268" s="93"/>
      <c r="FG268" s="93"/>
      <c r="FH268" s="93"/>
      <c r="FI268" s="93"/>
      <c r="FJ268" s="93"/>
      <c r="FK268" s="93"/>
      <c r="FL268" s="93"/>
      <c r="FM268" s="93"/>
      <c r="FN268" s="93"/>
      <c r="FO268" s="93"/>
      <c r="FP268" s="93">
        <v>0.33262411347517729</v>
      </c>
      <c r="FQ268" s="93"/>
      <c r="FR268" s="93"/>
      <c r="FS268" s="93"/>
      <c r="FT268" s="93"/>
      <c r="FU268" s="93"/>
      <c r="FV268" s="93"/>
      <c r="FW268" s="93"/>
      <c r="FX268" s="93"/>
      <c r="FY268" s="93"/>
      <c r="FZ268" s="93"/>
      <c r="GA268" s="93"/>
      <c r="GB268" s="93"/>
      <c r="GC268" s="93"/>
      <c r="GD268" s="93"/>
      <c r="GE268" s="93"/>
      <c r="GF268" s="93"/>
      <c r="GG268" s="93"/>
      <c r="GH268" s="93"/>
      <c r="GI268" s="93"/>
      <c r="GJ268" s="93"/>
      <c r="GK268" s="93"/>
      <c r="GL268" s="93"/>
      <c r="GM268" s="93"/>
      <c r="GN268" s="93"/>
      <c r="GO268" s="93"/>
      <c r="GP268" s="93"/>
      <c r="GQ268" s="93"/>
      <c r="GR268" s="93"/>
      <c r="GS268" s="93"/>
      <c r="GT268" s="93"/>
      <c r="GU268" s="93"/>
      <c r="GV268" s="93"/>
      <c r="GW268" s="93"/>
      <c r="GX268" s="93"/>
      <c r="GY268" s="93"/>
      <c r="GZ268" s="93"/>
      <c r="HA268" s="93"/>
      <c r="HB268" s="93"/>
      <c r="HC268" s="93"/>
      <c r="HD268" s="93"/>
      <c r="HE268" s="93"/>
      <c r="HF268" s="93"/>
      <c r="HG268" s="93"/>
    </row>
    <row r="269" spans="14:215" x14ac:dyDescent="0.2">
      <c r="N269" s="93" t="s">
        <v>386</v>
      </c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  <c r="BI269" s="93"/>
      <c r="BJ269" s="93"/>
      <c r="BK269" s="93"/>
      <c r="BL269" s="93"/>
      <c r="BM269" s="93"/>
      <c r="BN269" s="93"/>
      <c r="BO269" s="93"/>
      <c r="BP269" s="93"/>
      <c r="BQ269" s="93"/>
      <c r="BR269" s="93"/>
      <c r="BS269" s="93"/>
      <c r="BT269" s="93"/>
      <c r="BU269" s="93"/>
      <c r="BV269" s="93"/>
      <c r="BW269" s="93"/>
      <c r="BX269" s="93"/>
      <c r="BY269" s="93"/>
      <c r="BZ269" s="93"/>
      <c r="CA269" s="93"/>
      <c r="CB269" s="93"/>
      <c r="CC269" s="93"/>
      <c r="CD269" s="93"/>
      <c r="CE269" s="93"/>
      <c r="CF269" s="93"/>
      <c r="CG269" s="93"/>
      <c r="CH269" s="93"/>
      <c r="CI269" s="93"/>
      <c r="CJ269" s="93"/>
      <c r="CK269" s="93"/>
      <c r="CL269" s="93"/>
      <c r="CM269" s="93"/>
      <c r="CN269" s="93"/>
      <c r="CO269" s="93"/>
      <c r="CP269" s="93"/>
      <c r="CQ269" s="93"/>
      <c r="CR269" s="93"/>
      <c r="CS269" s="93"/>
      <c r="CT269" s="93"/>
      <c r="CU269" s="93"/>
      <c r="CV269" s="93"/>
      <c r="CW269" s="93"/>
      <c r="CX269" s="93"/>
      <c r="CY269" s="93"/>
      <c r="CZ269" s="93"/>
      <c r="DA269" s="93"/>
      <c r="DB269" s="93"/>
      <c r="DC269" s="93"/>
      <c r="DD269" s="93"/>
      <c r="DE269" s="93"/>
      <c r="DF269" s="93"/>
      <c r="DG269" s="93"/>
      <c r="DH269" s="93"/>
      <c r="DI269" s="93"/>
      <c r="DJ269" s="93"/>
      <c r="DK269" s="93"/>
      <c r="DL269" s="93"/>
      <c r="DM269" s="93"/>
      <c r="DN269" s="93"/>
      <c r="DO269" s="93"/>
      <c r="DP269" s="93"/>
      <c r="DQ269" s="93"/>
      <c r="DR269" s="93"/>
      <c r="DS269" s="93"/>
      <c r="DT269" s="93"/>
      <c r="DU269" s="93"/>
      <c r="DV269" s="93"/>
      <c r="DW269" s="93"/>
      <c r="DX269" s="93"/>
      <c r="DY269" s="93"/>
      <c r="DZ269" s="93"/>
      <c r="EA269" s="93"/>
      <c r="EB269" s="93"/>
      <c r="EC269" s="93"/>
      <c r="ED269" s="93"/>
      <c r="EE269" s="93"/>
      <c r="EF269" s="93"/>
      <c r="EG269" s="93"/>
      <c r="EH269" s="93"/>
      <c r="EI269" s="93"/>
      <c r="EJ269" s="93"/>
      <c r="EK269" s="93"/>
      <c r="EL269" s="93"/>
      <c r="EM269" s="93"/>
      <c r="EN269" s="93"/>
      <c r="EO269" s="93"/>
      <c r="EP269" s="93"/>
      <c r="EQ269" s="93"/>
      <c r="ER269" s="93"/>
      <c r="ES269" s="93"/>
      <c r="ET269" s="93"/>
      <c r="EU269" s="93"/>
      <c r="EV269" s="93"/>
      <c r="EW269" s="93"/>
      <c r="EX269" s="93"/>
      <c r="EY269" s="93"/>
      <c r="EZ269" s="93"/>
      <c r="FA269" s="93"/>
      <c r="FB269" s="93"/>
      <c r="FC269" s="93"/>
      <c r="FD269" s="93"/>
      <c r="FE269" s="93"/>
      <c r="FF269" s="93"/>
      <c r="FG269" s="93"/>
      <c r="FH269" s="93"/>
      <c r="FI269" s="93"/>
      <c r="FJ269" s="93"/>
      <c r="FK269" s="93"/>
      <c r="FL269" s="93"/>
      <c r="FM269" s="93"/>
      <c r="FN269" s="93"/>
      <c r="FO269" s="93"/>
      <c r="FP269" s="93"/>
      <c r="FQ269" s="93">
        <v>0.33262861169837915</v>
      </c>
      <c r="FR269" s="93"/>
      <c r="FS269" s="93"/>
      <c r="FT269" s="93"/>
      <c r="FU269" s="93"/>
      <c r="FV269" s="93"/>
      <c r="FW269" s="93"/>
      <c r="FX269" s="93"/>
      <c r="FY269" s="93"/>
      <c r="FZ269" s="93"/>
      <c r="GA269" s="93"/>
      <c r="GB269" s="93"/>
      <c r="GC269" s="93"/>
      <c r="GD269" s="93"/>
      <c r="GE269" s="93"/>
      <c r="GF269" s="93"/>
      <c r="GG269" s="93"/>
      <c r="GH269" s="93"/>
      <c r="GI269" s="93"/>
      <c r="GJ269" s="93"/>
      <c r="GK269" s="93"/>
      <c r="GL269" s="93"/>
      <c r="GM269" s="93"/>
      <c r="GN269" s="93"/>
      <c r="GO269" s="93"/>
      <c r="GP269" s="93"/>
      <c r="GQ269" s="93"/>
      <c r="GR269" s="93"/>
      <c r="GS269" s="93"/>
      <c r="GT269" s="93"/>
      <c r="GU269" s="93"/>
      <c r="GV269" s="93"/>
      <c r="GW269" s="93"/>
      <c r="GX269" s="93"/>
      <c r="GY269" s="93"/>
      <c r="GZ269" s="93"/>
      <c r="HA269" s="93"/>
      <c r="HB269" s="93"/>
      <c r="HC269" s="93"/>
      <c r="HD269" s="93"/>
      <c r="HE269" s="93"/>
      <c r="HF269" s="93"/>
      <c r="HG269" s="93"/>
    </row>
    <row r="270" spans="14:215" x14ac:dyDescent="0.2">
      <c r="N270" s="93" t="s">
        <v>387</v>
      </c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3"/>
      <c r="AS270" s="93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3"/>
      <c r="CO270" s="93"/>
      <c r="CP270" s="93"/>
      <c r="CQ270" s="93"/>
      <c r="CR270" s="93"/>
      <c r="CS270" s="93"/>
      <c r="CT270" s="93"/>
      <c r="CU270" s="93"/>
      <c r="CV270" s="93"/>
      <c r="CW270" s="93"/>
      <c r="CX270" s="93"/>
      <c r="CY270" s="93"/>
      <c r="CZ270" s="93"/>
      <c r="DA270" s="93"/>
      <c r="DB270" s="93"/>
      <c r="DC270" s="93"/>
      <c r="DD270" s="93"/>
      <c r="DE270" s="93"/>
      <c r="DF270" s="93"/>
      <c r="DG270" s="93"/>
      <c r="DH270" s="93"/>
      <c r="DI270" s="93"/>
      <c r="DJ270" s="93"/>
      <c r="DK270" s="93"/>
      <c r="DL270" s="93"/>
      <c r="DM270" s="93"/>
      <c r="DN270" s="93"/>
      <c r="DO270" s="93"/>
      <c r="DP270" s="93"/>
      <c r="DQ270" s="93"/>
      <c r="DR270" s="93"/>
      <c r="DS270" s="93"/>
      <c r="DT270" s="93"/>
      <c r="DU270" s="93"/>
      <c r="DV270" s="93"/>
      <c r="DW270" s="93"/>
      <c r="DX270" s="93"/>
      <c r="DY270" s="93"/>
      <c r="DZ270" s="93"/>
      <c r="EA270" s="93"/>
      <c r="EB270" s="93"/>
      <c r="EC270" s="93"/>
      <c r="ED270" s="93"/>
      <c r="EE270" s="93"/>
      <c r="EF270" s="93"/>
      <c r="EG270" s="93"/>
      <c r="EH270" s="93"/>
      <c r="EI270" s="93"/>
      <c r="EJ270" s="93"/>
      <c r="EK270" s="93"/>
      <c r="EL270" s="93"/>
      <c r="EM270" s="93"/>
      <c r="EN270" s="93"/>
      <c r="EO270" s="93"/>
      <c r="EP270" s="93"/>
      <c r="EQ270" s="93"/>
      <c r="ER270" s="93"/>
      <c r="ES270" s="93"/>
      <c r="ET270" s="93"/>
      <c r="EU270" s="93"/>
      <c r="EV270" s="93"/>
      <c r="EW270" s="93"/>
      <c r="EX270" s="93"/>
      <c r="EY270" s="93"/>
      <c r="EZ270" s="93"/>
      <c r="FA270" s="93"/>
      <c r="FB270" s="93"/>
      <c r="FC270" s="93"/>
      <c r="FD270" s="93"/>
      <c r="FE270" s="93"/>
      <c r="FF270" s="93"/>
      <c r="FG270" s="93"/>
      <c r="FH270" s="93"/>
      <c r="FI270" s="93"/>
      <c r="FJ270" s="93"/>
      <c r="FK270" s="93"/>
      <c r="FL270" s="93"/>
      <c r="FM270" s="93"/>
      <c r="FN270" s="93"/>
      <c r="FO270" s="93"/>
      <c r="FP270" s="93"/>
      <c r="FQ270" s="93"/>
      <c r="FR270" s="93">
        <v>0.3326330532212885</v>
      </c>
      <c r="FS270" s="93"/>
      <c r="FT270" s="93"/>
      <c r="FU270" s="93"/>
      <c r="FV270" s="93"/>
      <c r="FW270" s="93"/>
      <c r="FX270" s="93"/>
      <c r="FY270" s="93"/>
      <c r="FZ270" s="93"/>
      <c r="GA270" s="93"/>
      <c r="GB270" s="93"/>
      <c r="GC270" s="93"/>
      <c r="GD270" s="93"/>
      <c r="GE270" s="93"/>
      <c r="GF270" s="93"/>
      <c r="GG270" s="93"/>
      <c r="GH270" s="93"/>
      <c r="GI270" s="93"/>
      <c r="GJ270" s="93"/>
      <c r="GK270" s="93"/>
      <c r="GL270" s="93"/>
      <c r="GM270" s="93"/>
      <c r="GN270" s="93"/>
      <c r="GO270" s="93"/>
      <c r="GP270" s="93"/>
      <c r="GQ270" s="93"/>
      <c r="GR270" s="93"/>
      <c r="GS270" s="93"/>
      <c r="GT270" s="93"/>
      <c r="GU270" s="93"/>
      <c r="GV270" s="93"/>
      <c r="GW270" s="93"/>
      <c r="GX270" s="93"/>
      <c r="GY270" s="93"/>
      <c r="GZ270" s="93"/>
      <c r="HA270" s="93"/>
      <c r="HB270" s="93"/>
      <c r="HC270" s="93"/>
      <c r="HD270" s="93"/>
      <c r="HE270" s="93"/>
      <c r="HF270" s="93"/>
      <c r="HG270" s="93"/>
    </row>
    <row r="271" spans="14:215" x14ac:dyDescent="0.2">
      <c r="N271" s="93" t="s">
        <v>388</v>
      </c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3"/>
      <c r="CO271" s="93"/>
      <c r="CP271" s="93"/>
      <c r="CQ271" s="93"/>
      <c r="CR271" s="93"/>
      <c r="CS271" s="93"/>
      <c r="CT271" s="93"/>
      <c r="CU271" s="93"/>
      <c r="CV271" s="93"/>
      <c r="CW271" s="93"/>
      <c r="CX271" s="93"/>
      <c r="CY271" s="93"/>
      <c r="CZ271" s="93"/>
      <c r="DA271" s="93"/>
      <c r="DB271" s="93"/>
      <c r="DC271" s="93"/>
      <c r="DD271" s="93"/>
      <c r="DE271" s="93"/>
      <c r="DF271" s="93"/>
      <c r="DG271" s="93"/>
      <c r="DH271" s="93"/>
      <c r="DI271" s="93"/>
      <c r="DJ271" s="93"/>
      <c r="DK271" s="93"/>
      <c r="DL271" s="93"/>
      <c r="DM271" s="93"/>
      <c r="DN271" s="93"/>
      <c r="DO271" s="93"/>
      <c r="DP271" s="93"/>
      <c r="DQ271" s="93"/>
      <c r="DR271" s="93"/>
      <c r="DS271" s="93"/>
      <c r="DT271" s="93"/>
      <c r="DU271" s="93"/>
      <c r="DV271" s="93"/>
      <c r="DW271" s="93"/>
      <c r="DX271" s="93"/>
      <c r="DY271" s="93"/>
      <c r="DZ271" s="93"/>
      <c r="EA271" s="93"/>
      <c r="EB271" s="93"/>
      <c r="EC271" s="93"/>
      <c r="ED271" s="93"/>
      <c r="EE271" s="93"/>
      <c r="EF271" s="93"/>
      <c r="EG271" s="93"/>
      <c r="EH271" s="93"/>
      <c r="EI271" s="93"/>
      <c r="EJ271" s="93"/>
      <c r="EK271" s="93"/>
      <c r="EL271" s="93"/>
      <c r="EM271" s="93"/>
      <c r="EN271" s="93"/>
      <c r="EO271" s="93"/>
      <c r="EP271" s="93"/>
      <c r="EQ271" s="93"/>
      <c r="ER271" s="93"/>
      <c r="ES271" s="93"/>
      <c r="ET271" s="93"/>
      <c r="EU271" s="93"/>
      <c r="EV271" s="93"/>
      <c r="EW271" s="93"/>
      <c r="EX271" s="93"/>
      <c r="EY271" s="93"/>
      <c r="EZ271" s="93"/>
      <c r="FA271" s="93"/>
      <c r="FB271" s="93"/>
      <c r="FC271" s="93"/>
      <c r="FD271" s="93"/>
      <c r="FE271" s="93"/>
      <c r="FF271" s="93"/>
      <c r="FG271" s="93"/>
      <c r="FH271" s="93"/>
      <c r="FI271" s="93"/>
      <c r="FJ271" s="93"/>
      <c r="FK271" s="93"/>
      <c r="FL271" s="93"/>
      <c r="FM271" s="93"/>
      <c r="FN271" s="93"/>
      <c r="FO271" s="93"/>
      <c r="FP271" s="93"/>
      <c r="FQ271" s="93"/>
      <c r="FR271" s="93"/>
      <c r="FS271" s="93">
        <v>0.33263743910925542</v>
      </c>
      <c r="FT271" s="93"/>
      <c r="FU271" s="93"/>
      <c r="FV271" s="93"/>
      <c r="FW271" s="93"/>
      <c r="FX271" s="93"/>
      <c r="FY271" s="93"/>
      <c r="FZ271" s="93"/>
      <c r="GA271" s="93"/>
      <c r="GB271" s="93"/>
      <c r="GC271" s="93"/>
      <c r="GD271" s="93"/>
      <c r="GE271" s="93"/>
      <c r="GF271" s="93"/>
      <c r="GG271" s="93"/>
      <c r="GH271" s="93"/>
      <c r="GI271" s="93"/>
      <c r="GJ271" s="93"/>
      <c r="GK271" s="93"/>
      <c r="GL271" s="93"/>
      <c r="GM271" s="93"/>
      <c r="GN271" s="93"/>
      <c r="GO271" s="93"/>
      <c r="GP271" s="93"/>
      <c r="GQ271" s="93"/>
      <c r="GR271" s="93"/>
      <c r="GS271" s="93"/>
      <c r="GT271" s="93"/>
      <c r="GU271" s="93"/>
      <c r="GV271" s="93"/>
      <c r="GW271" s="93"/>
      <c r="GX271" s="93"/>
      <c r="GY271" s="93"/>
      <c r="GZ271" s="93"/>
      <c r="HA271" s="93"/>
      <c r="HB271" s="93"/>
      <c r="HC271" s="93"/>
      <c r="HD271" s="93"/>
      <c r="HE271" s="93"/>
      <c r="HF271" s="93"/>
      <c r="HG271" s="93"/>
    </row>
    <row r="272" spans="14:215" x14ac:dyDescent="0.2">
      <c r="N272" s="93" t="s">
        <v>389</v>
      </c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3"/>
      <c r="AS272" s="93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3"/>
      <c r="CO272" s="93"/>
      <c r="CP272" s="93"/>
      <c r="CQ272" s="93"/>
      <c r="CR272" s="93"/>
      <c r="CS272" s="93"/>
      <c r="CT272" s="93"/>
      <c r="CU272" s="93"/>
      <c r="CV272" s="93"/>
      <c r="CW272" s="93"/>
      <c r="CX272" s="93"/>
      <c r="CY272" s="93"/>
      <c r="CZ272" s="93"/>
      <c r="DA272" s="93"/>
      <c r="DB272" s="93"/>
      <c r="DC272" s="93"/>
      <c r="DD272" s="93"/>
      <c r="DE272" s="93"/>
      <c r="DF272" s="93"/>
      <c r="DG272" s="93"/>
      <c r="DH272" s="93"/>
      <c r="DI272" s="93"/>
      <c r="DJ272" s="93"/>
      <c r="DK272" s="93"/>
      <c r="DL272" s="93"/>
      <c r="DM272" s="93"/>
      <c r="DN272" s="93"/>
      <c r="DO272" s="93"/>
      <c r="DP272" s="93"/>
      <c r="DQ272" s="93"/>
      <c r="DR272" s="93"/>
      <c r="DS272" s="93"/>
      <c r="DT272" s="93"/>
      <c r="DU272" s="93"/>
      <c r="DV272" s="93"/>
      <c r="DW272" s="93"/>
      <c r="DX272" s="93"/>
      <c r="DY272" s="93"/>
      <c r="DZ272" s="93"/>
      <c r="EA272" s="93"/>
      <c r="EB272" s="93"/>
      <c r="EC272" s="93"/>
      <c r="ED272" s="93"/>
      <c r="EE272" s="93"/>
      <c r="EF272" s="93"/>
      <c r="EG272" s="93"/>
      <c r="EH272" s="93"/>
      <c r="EI272" s="93"/>
      <c r="EJ272" s="93"/>
      <c r="EK272" s="93"/>
      <c r="EL272" s="93"/>
      <c r="EM272" s="93"/>
      <c r="EN272" s="93"/>
      <c r="EO272" s="93"/>
      <c r="EP272" s="93"/>
      <c r="EQ272" s="93"/>
      <c r="ER272" s="93"/>
      <c r="ES272" s="93"/>
      <c r="ET272" s="93"/>
      <c r="EU272" s="93"/>
      <c r="EV272" s="93"/>
      <c r="EW272" s="93"/>
      <c r="EX272" s="93"/>
      <c r="EY272" s="93"/>
      <c r="EZ272" s="93"/>
      <c r="FA272" s="93"/>
      <c r="FB272" s="93"/>
      <c r="FC272" s="93"/>
      <c r="FD272" s="93"/>
      <c r="FE272" s="93"/>
      <c r="FF272" s="93"/>
      <c r="FG272" s="93"/>
      <c r="FH272" s="93"/>
      <c r="FI272" s="93"/>
      <c r="FJ272" s="93"/>
      <c r="FK272" s="93"/>
      <c r="FL272" s="93"/>
      <c r="FM272" s="93"/>
      <c r="FN272" s="93"/>
      <c r="FO272" s="93"/>
      <c r="FP272" s="93"/>
      <c r="FQ272" s="93"/>
      <c r="FR272" s="93"/>
      <c r="FS272" s="93"/>
      <c r="FT272" s="93">
        <v>0.33264177040110648</v>
      </c>
      <c r="FU272" s="93"/>
      <c r="FV272" s="93"/>
      <c r="FW272" s="93"/>
      <c r="FX272" s="93"/>
      <c r="FY272" s="93"/>
      <c r="FZ272" s="93"/>
      <c r="GA272" s="93"/>
      <c r="GB272" s="93"/>
      <c r="GC272" s="93"/>
      <c r="GD272" s="93"/>
      <c r="GE272" s="93"/>
      <c r="GF272" s="93"/>
      <c r="GG272" s="93"/>
      <c r="GH272" s="93"/>
      <c r="GI272" s="93"/>
      <c r="GJ272" s="93"/>
      <c r="GK272" s="93"/>
      <c r="GL272" s="93"/>
      <c r="GM272" s="93"/>
      <c r="GN272" s="93"/>
      <c r="GO272" s="93"/>
      <c r="GP272" s="93"/>
      <c r="GQ272" s="93"/>
      <c r="GR272" s="93"/>
      <c r="GS272" s="93"/>
      <c r="GT272" s="93"/>
      <c r="GU272" s="93"/>
      <c r="GV272" s="93"/>
      <c r="GW272" s="93"/>
      <c r="GX272" s="93"/>
      <c r="GY272" s="93"/>
      <c r="GZ272" s="93"/>
      <c r="HA272" s="93"/>
      <c r="HB272" s="93"/>
      <c r="HC272" s="93"/>
      <c r="HD272" s="93"/>
      <c r="HE272" s="93"/>
      <c r="HF272" s="93"/>
      <c r="HG272" s="93"/>
    </row>
    <row r="273" spans="14:215" x14ac:dyDescent="0.2">
      <c r="N273" s="93" t="s">
        <v>390</v>
      </c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3"/>
      <c r="CO273" s="93"/>
      <c r="CP273" s="93"/>
      <c r="CQ273" s="93"/>
      <c r="CR273" s="93"/>
      <c r="CS273" s="93"/>
      <c r="CT273" s="93"/>
      <c r="CU273" s="93"/>
      <c r="CV273" s="93"/>
      <c r="CW273" s="93"/>
      <c r="CX273" s="93"/>
      <c r="CY273" s="93"/>
      <c r="CZ273" s="93"/>
      <c r="DA273" s="93"/>
      <c r="DB273" s="93"/>
      <c r="DC273" s="93"/>
      <c r="DD273" s="93"/>
      <c r="DE273" s="93"/>
      <c r="DF273" s="93"/>
      <c r="DG273" s="93"/>
      <c r="DH273" s="93"/>
      <c r="DI273" s="93"/>
      <c r="DJ273" s="93"/>
      <c r="DK273" s="93"/>
      <c r="DL273" s="93"/>
      <c r="DM273" s="93"/>
      <c r="DN273" s="93"/>
      <c r="DO273" s="93"/>
      <c r="DP273" s="93"/>
      <c r="DQ273" s="93"/>
      <c r="DR273" s="93"/>
      <c r="DS273" s="93"/>
      <c r="DT273" s="93"/>
      <c r="DU273" s="93"/>
      <c r="DV273" s="93"/>
      <c r="DW273" s="93"/>
      <c r="DX273" s="93"/>
      <c r="DY273" s="93"/>
      <c r="DZ273" s="93"/>
      <c r="EA273" s="93"/>
      <c r="EB273" s="93"/>
      <c r="EC273" s="93"/>
      <c r="ED273" s="93"/>
      <c r="EE273" s="93"/>
      <c r="EF273" s="93"/>
      <c r="EG273" s="93"/>
      <c r="EH273" s="93"/>
      <c r="EI273" s="93"/>
      <c r="EJ273" s="93"/>
      <c r="EK273" s="93"/>
      <c r="EL273" s="93"/>
      <c r="EM273" s="93"/>
      <c r="EN273" s="93"/>
      <c r="EO273" s="93"/>
      <c r="EP273" s="93"/>
      <c r="EQ273" s="93"/>
      <c r="ER273" s="93"/>
      <c r="ES273" s="93"/>
      <c r="ET273" s="93"/>
      <c r="EU273" s="93"/>
      <c r="EV273" s="93"/>
      <c r="EW273" s="93"/>
      <c r="EX273" s="93"/>
      <c r="EY273" s="93"/>
      <c r="EZ273" s="93"/>
      <c r="FA273" s="93"/>
      <c r="FB273" s="93"/>
      <c r="FC273" s="93"/>
      <c r="FD273" s="93"/>
      <c r="FE273" s="93"/>
      <c r="FF273" s="93"/>
      <c r="FG273" s="93"/>
      <c r="FH273" s="93"/>
      <c r="FI273" s="93"/>
      <c r="FJ273" s="93"/>
      <c r="FK273" s="93"/>
      <c r="FL273" s="93"/>
      <c r="FM273" s="93"/>
      <c r="FN273" s="93"/>
      <c r="FO273" s="93"/>
      <c r="FP273" s="93"/>
      <c r="FQ273" s="93"/>
      <c r="FR273" s="93"/>
      <c r="FS273" s="93"/>
      <c r="FT273" s="93"/>
      <c r="FU273" s="93">
        <v>0.33264604810996562</v>
      </c>
      <c r="FV273" s="93"/>
      <c r="FW273" s="93"/>
      <c r="FX273" s="93"/>
      <c r="FY273" s="93"/>
      <c r="FZ273" s="93"/>
      <c r="GA273" s="93"/>
      <c r="GB273" s="93"/>
      <c r="GC273" s="93"/>
      <c r="GD273" s="93"/>
      <c r="GE273" s="93"/>
      <c r="GF273" s="93"/>
      <c r="GG273" s="93"/>
      <c r="GH273" s="93"/>
      <c r="GI273" s="93"/>
      <c r="GJ273" s="93"/>
      <c r="GK273" s="93"/>
      <c r="GL273" s="93"/>
      <c r="GM273" s="93"/>
      <c r="GN273" s="93"/>
      <c r="GO273" s="93"/>
      <c r="GP273" s="93"/>
      <c r="GQ273" s="93"/>
      <c r="GR273" s="93"/>
      <c r="GS273" s="93"/>
      <c r="GT273" s="93"/>
      <c r="GU273" s="93"/>
      <c r="GV273" s="93"/>
      <c r="GW273" s="93"/>
      <c r="GX273" s="93"/>
      <c r="GY273" s="93"/>
      <c r="GZ273" s="93"/>
      <c r="HA273" s="93"/>
      <c r="HB273" s="93"/>
      <c r="HC273" s="93"/>
      <c r="HD273" s="93"/>
      <c r="HE273" s="93"/>
      <c r="HF273" s="93"/>
      <c r="HG273" s="93"/>
    </row>
    <row r="274" spans="14:215" x14ac:dyDescent="0.2">
      <c r="N274" s="93" t="s">
        <v>391</v>
      </c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3"/>
      <c r="AS274" s="93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3"/>
      <c r="CO274" s="93"/>
      <c r="CP274" s="93"/>
      <c r="CQ274" s="93"/>
      <c r="CR274" s="93"/>
      <c r="CS274" s="93"/>
      <c r="CT274" s="93"/>
      <c r="CU274" s="93"/>
      <c r="CV274" s="93"/>
      <c r="CW274" s="93"/>
      <c r="CX274" s="93"/>
      <c r="CY274" s="93"/>
      <c r="CZ274" s="93"/>
      <c r="DA274" s="93"/>
      <c r="DB274" s="93"/>
      <c r="DC274" s="93"/>
      <c r="DD274" s="93"/>
      <c r="DE274" s="93"/>
      <c r="DF274" s="93"/>
      <c r="DG274" s="93"/>
      <c r="DH274" s="93"/>
      <c r="DI274" s="93"/>
      <c r="DJ274" s="93"/>
      <c r="DK274" s="93"/>
      <c r="DL274" s="93"/>
      <c r="DM274" s="93"/>
      <c r="DN274" s="93"/>
      <c r="DO274" s="93"/>
      <c r="DP274" s="93"/>
      <c r="DQ274" s="93"/>
      <c r="DR274" s="93"/>
      <c r="DS274" s="93"/>
      <c r="DT274" s="93"/>
      <c r="DU274" s="93"/>
      <c r="DV274" s="93"/>
      <c r="DW274" s="93"/>
      <c r="DX274" s="93"/>
      <c r="DY274" s="93"/>
      <c r="DZ274" s="93"/>
      <c r="EA274" s="93"/>
      <c r="EB274" s="93"/>
      <c r="EC274" s="93"/>
      <c r="ED274" s="93"/>
      <c r="EE274" s="93"/>
      <c r="EF274" s="93"/>
      <c r="EG274" s="93"/>
      <c r="EH274" s="93"/>
      <c r="EI274" s="93"/>
      <c r="EJ274" s="93"/>
      <c r="EK274" s="93"/>
      <c r="EL274" s="93"/>
      <c r="EM274" s="93"/>
      <c r="EN274" s="93"/>
      <c r="EO274" s="93"/>
      <c r="EP274" s="93"/>
      <c r="EQ274" s="93"/>
      <c r="ER274" s="93"/>
      <c r="ES274" s="93"/>
      <c r="ET274" s="93"/>
      <c r="EU274" s="93"/>
      <c r="EV274" s="93"/>
      <c r="EW274" s="93"/>
      <c r="EX274" s="93"/>
      <c r="EY274" s="93"/>
      <c r="EZ274" s="93"/>
      <c r="FA274" s="93"/>
      <c r="FB274" s="93"/>
      <c r="FC274" s="93"/>
      <c r="FD274" s="93"/>
      <c r="FE274" s="93"/>
      <c r="FF274" s="93"/>
      <c r="FG274" s="93"/>
      <c r="FH274" s="93"/>
      <c r="FI274" s="93"/>
      <c r="FJ274" s="93"/>
      <c r="FK274" s="93"/>
      <c r="FL274" s="93"/>
      <c r="FM274" s="93"/>
      <c r="FN274" s="93"/>
      <c r="FO274" s="93"/>
      <c r="FP274" s="93"/>
      <c r="FQ274" s="93"/>
      <c r="FR274" s="93"/>
      <c r="FS274" s="93"/>
      <c r="FT274" s="93"/>
      <c r="FU274" s="93"/>
      <c r="FV274" s="93">
        <v>0.33265027322404372</v>
      </c>
      <c r="FW274" s="93"/>
      <c r="FX274" s="93"/>
      <c r="FY274" s="93"/>
      <c r="FZ274" s="93"/>
      <c r="GA274" s="93"/>
      <c r="GB274" s="93"/>
      <c r="GC274" s="93"/>
      <c r="GD274" s="93"/>
      <c r="GE274" s="93"/>
      <c r="GF274" s="93"/>
      <c r="GG274" s="93"/>
      <c r="GH274" s="93"/>
      <c r="GI274" s="93"/>
      <c r="GJ274" s="93"/>
      <c r="GK274" s="93"/>
      <c r="GL274" s="93"/>
      <c r="GM274" s="93"/>
      <c r="GN274" s="93"/>
      <c r="GO274" s="93"/>
      <c r="GP274" s="93"/>
      <c r="GQ274" s="93"/>
      <c r="GR274" s="93"/>
      <c r="GS274" s="93"/>
      <c r="GT274" s="93"/>
      <c r="GU274" s="93"/>
      <c r="GV274" s="93"/>
      <c r="GW274" s="93"/>
      <c r="GX274" s="93"/>
      <c r="GY274" s="93"/>
      <c r="GZ274" s="93"/>
      <c r="HA274" s="93"/>
      <c r="HB274" s="93"/>
      <c r="HC274" s="93"/>
      <c r="HD274" s="93"/>
      <c r="HE274" s="93"/>
      <c r="HF274" s="93"/>
      <c r="HG274" s="93"/>
    </row>
    <row r="275" spans="14:215" x14ac:dyDescent="0.2">
      <c r="N275" s="93" t="s">
        <v>392</v>
      </c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3"/>
      <c r="CO275" s="93"/>
      <c r="CP275" s="93"/>
      <c r="CQ275" s="93"/>
      <c r="CR275" s="93"/>
      <c r="CS275" s="93"/>
      <c r="CT275" s="93"/>
      <c r="CU275" s="93"/>
      <c r="CV275" s="93"/>
      <c r="CW275" s="93"/>
      <c r="CX275" s="93"/>
      <c r="CY275" s="93"/>
      <c r="CZ275" s="93"/>
      <c r="DA275" s="93"/>
      <c r="DB275" s="93"/>
      <c r="DC275" s="93"/>
      <c r="DD275" s="93"/>
      <c r="DE275" s="93"/>
      <c r="DF275" s="93"/>
      <c r="DG275" s="93"/>
      <c r="DH275" s="93"/>
      <c r="DI275" s="93"/>
      <c r="DJ275" s="93"/>
      <c r="DK275" s="93"/>
      <c r="DL275" s="93"/>
      <c r="DM275" s="93"/>
      <c r="DN275" s="93"/>
      <c r="DO275" s="93"/>
      <c r="DP275" s="93"/>
      <c r="DQ275" s="93"/>
      <c r="DR275" s="93"/>
      <c r="DS275" s="93"/>
      <c r="DT275" s="93"/>
      <c r="DU275" s="93"/>
      <c r="DV275" s="93"/>
      <c r="DW275" s="93"/>
      <c r="DX275" s="93"/>
      <c r="DY275" s="93"/>
      <c r="DZ275" s="93"/>
      <c r="EA275" s="93"/>
      <c r="EB275" s="93"/>
      <c r="EC275" s="93"/>
      <c r="ED275" s="93"/>
      <c r="EE275" s="93"/>
      <c r="EF275" s="93"/>
      <c r="EG275" s="93"/>
      <c r="EH275" s="93"/>
      <c r="EI275" s="93"/>
      <c r="EJ275" s="93"/>
      <c r="EK275" s="93"/>
      <c r="EL275" s="93"/>
      <c r="EM275" s="93"/>
      <c r="EN275" s="93"/>
      <c r="EO275" s="93"/>
      <c r="EP275" s="93"/>
      <c r="EQ275" s="93"/>
      <c r="ER275" s="93"/>
      <c r="ES275" s="93"/>
      <c r="ET275" s="93"/>
      <c r="EU275" s="93"/>
      <c r="EV275" s="93"/>
      <c r="EW275" s="93"/>
      <c r="EX275" s="93"/>
      <c r="EY275" s="93"/>
      <c r="EZ275" s="93"/>
      <c r="FA275" s="93"/>
      <c r="FB275" s="93"/>
      <c r="FC275" s="93"/>
      <c r="FD275" s="93"/>
      <c r="FE275" s="93"/>
      <c r="FF275" s="93"/>
      <c r="FG275" s="93"/>
      <c r="FH275" s="93"/>
      <c r="FI275" s="93"/>
      <c r="FJ275" s="93"/>
      <c r="FK275" s="93"/>
      <c r="FL275" s="93"/>
      <c r="FM275" s="93"/>
      <c r="FN275" s="93"/>
      <c r="FO275" s="93"/>
      <c r="FP275" s="93"/>
      <c r="FQ275" s="93"/>
      <c r="FR275" s="93"/>
      <c r="FS275" s="93"/>
      <c r="FT275" s="93"/>
      <c r="FU275" s="93"/>
      <c r="FV275" s="93"/>
      <c r="FW275" s="93">
        <v>0.33265444670739985</v>
      </c>
      <c r="FX275" s="93"/>
      <c r="FY275" s="93"/>
      <c r="FZ275" s="93"/>
      <c r="GA275" s="93"/>
      <c r="GB275" s="93"/>
      <c r="GC275" s="93"/>
      <c r="GD275" s="93"/>
      <c r="GE275" s="93"/>
      <c r="GF275" s="93"/>
      <c r="GG275" s="93"/>
      <c r="GH275" s="93"/>
      <c r="GI275" s="93"/>
      <c r="GJ275" s="93"/>
      <c r="GK275" s="93"/>
      <c r="GL275" s="93"/>
      <c r="GM275" s="93"/>
      <c r="GN275" s="93"/>
      <c r="GO275" s="93"/>
      <c r="GP275" s="93"/>
      <c r="GQ275" s="93"/>
      <c r="GR275" s="93"/>
      <c r="GS275" s="93"/>
      <c r="GT275" s="93"/>
      <c r="GU275" s="93"/>
      <c r="GV275" s="93"/>
      <c r="GW275" s="93"/>
      <c r="GX275" s="93"/>
      <c r="GY275" s="93"/>
      <c r="GZ275" s="93"/>
      <c r="HA275" s="93"/>
      <c r="HB275" s="93"/>
      <c r="HC275" s="93"/>
      <c r="HD275" s="93"/>
      <c r="HE275" s="93"/>
      <c r="HF275" s="93"/>
      <c r="HG275" s="93"/>
    </row>
    <row r="276" spans="14:215" x14ac:dyDescent="0.2">
      <c r="N276" s="93" t="s">
        <v>393</v>
      </c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3"/>
      <c r="AS276" s="93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3"/>
      <c r="CO276" s="93"/>
      <c r="CP276" s="93"/>
      <c r="CQ276" s="93"/>
      <c r="CR276" s="93"/>
      <c r="CS276" s="93"/>
      <c r="CT276" s="93"/>
      <c r="CU276" s="93"/>
      <c r="CV276" s="93"/>
      <c r="CW276" s="93"/>
      <c r="CX276" s="93"/>
      <c r="CY276" s="93"/>
      <c r="CZ276" s="93"/>
      <c r="DA276" s="93"/>
      <c r="DB276" s="93"/>
      <c r="DC276" s="93"/>
      <c r="DD276" s="93"/>
      <c r="DE276" s="93"/>
      <c r="DF276" s="93"/>
      <c r="DG276" s="93"/>
      <c r="DH276" s="93"/>
      <c r="DI276" s="93"/>
      <c r="DJ276" s="93"/>
      <c r="DK276" s="93"/>
      <c r="DL276" s="93"/>
      <c r="DM276" s="93"/>
      <c r="DN276" s="93"/>
      <c r="DO276" s="93"/>
      <c r="DP276" s="93"/>
      <c r="DQ276" s="93"/>
      <c r="DR276" s="93"/>
      <c r="DS276" s="93"/>
      <c r="DT276" s="93"/>
      <c r="DU276" s="93"/>
      <c r="DV276" s="93"/>
      <c r="DW276" s="93"/>
      <c r="DX276" s="93"/>
      <c r="DY276" s="93"/>
      <c r="DZ276" s="93"/>
      <c r="EA276" s="93"/>
      <c r="EB276" s="93"/>
      <c r="EC276" s="93"/>
      <c r="ED276" s="93"/>
      <c r="EE276" s="93"/>
      <c r="EF276" s="93"/>
      <c r="EG276" s="93"/>
      <c r="EH276" s="93"/>
      <c r="EI276" s="93"/>
      <c r="EJ276" s="93"/>
      <c r="EK276" s="93"/>
      <c r="EL276" s="93"/>
      <c r="EM276" s="93"/>
      <c r="EN276" s="93"/>
      <c r="EO276" s="93"/>
      <c r="EP276" s="93"/>
      <c r="EQ276" s="93"/>
      <c r="ER276" s="93"/>
      <c r="ES276" s="93"/>
      <c r="ET276" s="93"/>
      <c r="EU276" s="93"/>
      <c r="EV276" s="93"/>
      <c r="EW276" s="93"/>
      <c r="EX276" s="93"/>
      <c r="EY276" s="93"/>
      <c r="EZ276" s="93"/>
      <c r="FA276" s="93"/>
      <c r="FB276" s="93"/>
      <c r="FC276" s="93"/>
      <c r="FD276" s="93"/>
      <c r="FE276" s="93"/>
      <c r="FF276" s="93"/>
      <c r="FG276" s="93"/>
      <c r="FH276" s="93"/>
      <c r="FI276" s="93"/>
      <c r="FJ276" s="93"/>
      <c r="FK276" s="93"/>
      <c r="FL276" s="93"/>
      <c r="FM276" s="93"/>
      <c r="FN276" s="93"/>
      <c r="FO276" s="93"/>
      <c r="FP276" s="93"/>
      <c r="FQ276" s="93"/>
      <c r="FR276" s="93"/>
      <c r="FS276" s="93"/>
      <c r="FT276" s="93"/>
      <c r="FU276" s="93"/>
      <c r="FV276" s="93"/>
      <c r="FW276" s="93"/>
      <c r="FX276" s="93">
        <v>0.33265856950067474</v>
      </c>
      <c r="FY276" s="93"/>
      <c r="FZ276" s="93"/>
      <c r="GA276" s="93"/>
      <c r="GB276" s="93"/>
      <c r="GC276" s="93"/>
      <c r="GD276" s="93"/>
      <c r="GE276" s="93"/>
      <c r="GF276" s="93"/>
      <c r="GG276" s="93"/>
      <c r="GH276" s="93"/>
      <c r="GI276" s="93"/>
      <c r="GJ276" s="93"/>
      <c r="GK276" s="93"/>
      <c r="GL276" s="93"/>
      <c r="GM276" s="93"/>
      <c r="GN276" s="93"/>
      <c r="GO276" s="93"/>
      <c r="GP276" s="93"/>
      <c r="GQ276" s="93"/>
      <c r="GR276" s="93"/>
      <c r="GS276" s="93"/>
      <c r="GT276" s="93"/>
      <c r="GU276" s="93"/>
      <c r="GV276" s="93"/>
      <c r="GW276" s="93"/>
      <c r="GX276" s="93"/>
      <c r="GY276" s="93"/>
      <c r="GZ276" s="93"/>
      <c r="HA276" s="93"/>
      <c r="HB276" s="93"/>
      <c r="HC276" s="93"/>
      <c r="HD276" s="93"/>
      <c r="HE276" s="93"/>
      <c r="HF276" s="93"/>
      <c r="HG276" s="93"/>
    </row>
    <row r="277" spans="14:215" x14ac:dyDescent="0.2">
      <c r="N277" s="93" t="s">
        <v>394</v>
      </c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3"/>
      <c r="CO277" s="93"/>
      <c r="CP277" s="93"/>
      <c r="CQ277" s="93"/>
      <c r="CR277" s="93"/>
      <c r="CS277" s="93"/>
      <c r="CT277" s="93"/>
      <c r="CU277" s="93"/>
      <c r="CV277" s="93"/>
      <c r="CW277" s="93"/>
      <c r="CX277" s="93"/>
      <c r="CY277" s="93"/>
      <c r="CZ277" s="93"/>
      <c r="DA277" s="93"/>
      <c r="DB277" s="93"/>
      <c r="DC277" s="93"/>
      <c r="DD277" s="93"/>
      <c r="DE277" s="93"/>
      <c r="DF277" s="93"/>
      <c r="DG277" s="93"/>
      <c r="DH277" s="93"/>
      <c r="DI277" s="93"/>
      <c r="DJ277" s="93"/>
      <c r="DK277" s="93"/>
      <c r="DL277" s="93"/>
      <c r="DM277" s="93"/>
      <c r="DN277" s="93"/>
      <c r="DO277" s="93"/>
      <c r="DP277" s="93"/>
      <c r="DQ277" s="93"/>
      <c r="DR277" s="93"/>
      <c r="DS277" s="93"/>
      <c r="DT277" s="93"/>
      <c r="DU277" s="93"/>
      <c r="DV277" s="93"/>
      <c r="DW277" s="93"/>
      <c r="DX277" s="93"/>
      <c r="DY277" s="93"/>
      <c r="DZ277" s="93"/>
      <c r="EA277" s="93"/>
      <c r="EB277" s="93"/>
      <c r="EC277" s="93"/>
      <c r="ED277" s="93"/>
      <c r="EE277" s="93"/>
      <c r="EF277" s="93"/>
      <c r="EG277" s="93"/>
      <c r="EH277" s="93"/>
      <c r="EI277" s="93"/>
      <c r="EJ277" s="93"/>
      <c r="EK277" s="93"/>
      <c r="EL277" s="93"/>
      <c r="EM277" s="93"/>
      <c r="EN277" s="93"/>
      <c r="EO277" s="93"/>
      <c r="EP277" s="93"/>
      <c r="EQ277" s="93"/>
      <c r="ER277" s="93"/>
      <c r="ES277" s="93"/>
      <c r="ET277" s="93"/>
      <c r="EU277" s="93"/>
      <c r="EV277" s="93"/>
      <c r="EW277" s="93"/>
      <c r="EX277" s="93"/>
      <c r="EY277" s="93"/>
      <c r="EZ277" s="93"/>
      <c r="FA277" s="93"/>
      <c r="FB277" s="93"/>
      <c r="FC277" s="93"/>
      <c r="FD277" s="93"/>
      <c r="FE277" s="93"/>
      <c r="FF277" s="93"/>
      <c r="FG277" s="93"/>
      <c r="FH277" s="93"/>
      <c r="FI277" s="93"/>
      <c r="FJ277" s="93"/>
      <c r="FK277" s="93"/>
      <c r="FL277" s="93"/>
      <c r="FM277" s="93"/>
      <c r="FN277" s="93"/>
      <c r="FO277" s="93"/>
      <c r="FP277" s="93"/>
      <c r="FQ277" s="93"/>
      <c r="FR277" s="93"/>
      <c r="FS277" s="93"/>
      <c r="FT277" s="93"/>
      <c r="FU277" s="93"/>
      <c r="FV277" s="93"/>
      <c r="FW277" s="93"/>
      <c r="FX277" s="93"/>
      <c r="FY277" s="93">
        <v>0.33266264252179745</v>
      </c>
      <c r="FZ277" s="93"/>
      <c r="GA277" s="93"/>
      <c r="GB277" s="93"/>
      <c r="GC277" s="93"/>
      <c r="GD277" s="93"/>
      <c r="GE277" s="93"/>
      <c r="GF277" s="93"/>
      <c r="GG277" s="93"/>
      <c r="GH277" s="93"/>
      <c r="GI277" s="93"/>
      <c r="GJ277" s="93"/>
      <c r="GK277" s="93"/>
      <c r="GL277" s="93"/>
      <c r="GM277" s="93"/>
      <c r="GN277" s="93"/>
      <c r="GO277" s="93"/>
      <c r="GP277" s="93"/>
      <c r="GQ277" s="93"/>
      <c r="GR277" s="93"/>
      <c r="GS277" s="93"/>
      <c r="GT277" s="93"/>
      <c r="GU277" s="93"/>
      <c r="GV277" s="93"/>
      <c r="GW277" s="93"/>
      <c r="GX277" s="93"/>
      <c r="GY277" s="93"/>
      <c r="GZ277" s="93"/>
      <c r="HA277" s="93"/>
      <c r="HB277" s="93"/>
      <c r="HC277" s="93"/>
      <c r="HD277" s="93"/>
      <c r="HE277" s="93"/>
      <c r="HF277" s="93"/>
      <c r="HG277" s="93"/>
    </row>
    <row r="278" spans="14:215" x14ac:dyDescent="0.2">
      <c r="N278" s="93" t="s">
        <v>395</v>
      </c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3"/>
      <c r="AS278" s="93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3"/>
      <c r="CO278" s="93"/>
      <c r="CP278" s="93"/>
      <c r="CQ278" s="93"/>
      <c r="CR278" s="93"/>
      <c r="CS278" s="93"/>
      <c r="CT278" s="93"/>
      <c r="CU278" s="93"/>
      <c r="CV278" s="93"/>
      <c r="CW278" s="93"/>
      <c r="CX278" s="93"/>
      <c r="CY278" s="93"/>
      <c r="CZ278" s="93"/>
      <c r="DA278" s="93"/>
      <c r="DB278" s="93"/>
      <c r="DC278" s="93"/>
      <c r="DD278" s="93"/>
      <c r="DE278" s="93"/>
      <c r="DF278" s="93"/>
      <c r="DG278" s="93"/>
      <c r="DH278" s="93"/>
      <c r="DI278" s="93"/>
      <c r="DJ278" s="93"/>
      <c r="DK278" s="93"/>
      <c r="DL278" s="93"/>
      <c r="DM278" s="93"/>
      <c r="DN278" s="93"/>
      <c r="DO278" s="93"/>
      <c r="DP278" s="93"/>
      <c r="DQ278" s="93"/>
      <c r="DR278" s="93"/>
      <c r="DS278" s="93"/>
      <c r="DT278" s="93"/>
      <c r="DU278" s="93"/>
      <c r="DV278" s="93"/>
      <c r="DW278" s="93"/>
      <c r="DX278" s="93"/>
      <c r="DY278" s="93"/>
      <c r="DZ278" s="93"/>
      <c r="EA278" s="93"/>
      <c r="EB278" s="93"/>
      <c r="EC278" s="93"/>
      <c r="ED278" s="93"/>
      <c r="EE278" s="93"/>
      <c r="EF278" s="93"/>
      <c r="EG278" s="93"/>
      <c r="EH278" s="93"/>
      <c r="EI278" s="93"/>
      <c r="EJ278" s="93"/>
      <c r="EK278" s="93"/>
      <c r="EL278" s="93"/>
      <c r="EM278" s="93"/>
      <c r="EN278" s="93"/>
      <c r="EO278" s="93"/>
      <c r="EP278" s="93"/>
      <c r="EQ278" s="93"/>
      <c r="ER278" s="93"/>
      <c r="ES278" s="93"/>
      <c r="ET278" s="93"/>
      <c r="EU278" s="93"/>
      <c r="EV278" s="93"/>
      <c r="EW278" s="93"/>
      <c r="EX278" s="93"/>
      <c r="EY278" s="93"/>
      <c r="EZ278" s="93"/>
      <c r="FA278" s="93"/>
      <c r="FB278" s="93"/>
      <c r="FC278" s="93"/>
      <c r="FD278" s="93"/>
      <c r="FE278" s="93"/>
      <c r="FF278" s="93"/>
      <c r="FG278" s="93"/>
      <c r="FH278" s="93"/>
      <c r="FI278" s="93"/>
      <c r="FJ278" s="93"/>
      <c r="FK278" s="93"/>
      <c r="FL278" s="93"/>
      <c r="FM278" s="93"/>
      <c r="FN278" s="93"/>
      <c r="FO278" s="93"/>
      <c r="FP278" s="93"/>
      <c r="FQ278" s="93"/>
      <c r="FR278" s="93"/>
      <c r="FS278" s="93"/>
      <c r="FT278" s="93"/>
      <c r="FU278" s="93"/>
      <c r="FV278" s="93"/>
      <c r="FW278" s="93"/>
      <c r="FX278" s="93"/>
      <c r="FY278" s="93"/>
      <c r="FZ278" s="93">
        <v>0.33266666666666667</v>
      </c>
      <c r="GA278" s="93"/>
      <c r="GB278" s="93"/>
      <c r="GC278" s="93"/>
      <c r="GD278" s="93"/>
      <c r="GE278" s="93"/>
      <c r="GF278" s="93"/>
      <c r="GG278" s="93"/>
      <c r="GH278" s="93"/>
      <c r="GI278" s="93"/>
      <c r="GJ278" s="93"/>
      <c r="GK278" s="93"/>
      <c r="GL278" s="93"/>
      <c r="GM278" s="93"/>
      <c r="GN278" s="93"/>
      <c r="GO278" s="93"/>
      <c r="GP278" s="93"/>
      <c r="GQ278" s="93"/>
      <c r="GR278" s="93"/>
      <c r="GS278" s="93"/>
      <c r="GT278" s="93"/>
      <c r="GU278" s="93"/>
      <c r="GV278" s="93"/>
      <c r="GW278" s="93"/>
      <c r="GX278" s="93"/>
      <c r="GY278" s="93"/>
      <c r="GZ278" s="93"/>
      <c r="HA278" s="93"/>
      <c r="HB278" s="93"/>
      <c r="HC278" s="93"/>
      <c r="HD278" s="93"/>
      <c r="HE278" s="93"/>
      <c r="HF278" s="93"/>
      <c r="HG278" s="93"/>
    </row>
    <row r="279" spans="14:215" x14ac:dyDescent="0.2">
      <c r="N279" s="93" t="s">
        <v>396</v>
      </c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  <c r="BI279" s="93"/>
      <c r="BJ279" s="93"/>
      <c r="BK279" s="93"/>
      <c r="BL279" s="93"/>
      <c r="BM279" s="93"/>
      <c r="BN279" s="93"/>
      <c r="BO279" s="93"/>
      <c r="BP279" s="93"/>
      <c r="BQ279" s="93"/>
      <c r="BR279" s="93"/>
      <c r="BS279" s="93"/>
      <c r="BT279" s="93"/>
      <c r="BU279" s="93"/>
      <c r="BV279" s="93"/>
      <c r="BW279" s="93"/>
      <c r="BX279" s="93"/>
      <c r="BY279" s="93"/>
      <c r="BZ279" s="93"/>
      <c r="CA279" s="93"/>
      <c r="CB279" s="93"/>
      <c r="CC279" s="93"/>
      <c r="CD279" s="93"/>
      <c r="CE279" s="93"/>
      <c r="CF279" s="93"/>
      <c r="CG279" s="93"/>
      <c r="CH279" s="93"/>
      <c r="CI279" s="93"/>
      <c r="CJ279" s="93"/>
      <c r="CK279" s="93"/>
      <c r="CL279" s="93"/>
      <c r="CM279" s="93"/>
      <c r="CN279" s="93"/>
      <c r="CO279" s="93"/>
      <c r="CP279" s="93"/>
      <c r="CQ279" s="93"/>
      <c r="CR279" s="93"/>
      <c r="CS279" s="93"/>
      <c r="CT279" s="93"/>
      <c r="CU279" s="93"/>
      <c r="CV279" s="93"/>
      <c r="CW279" s="93"/>
      <c r="CX279" s="93"/>
      <c r="CY279" s="93"/>
      <c r="CZ279" s="93"/>
      <c r="DA279" s="93"/>
      <c r="DB279" s="93"/>
      <c r="DC279" s="93"/>
      <c r="DD279" s="93"/>
      <c r="DE279" s="93"/>
      <c r="DF279" s="93"/>
      <c r="DG279" s="93"/>
      <c r="DH279" s="93"/>
      <c r="DI279" s="93"/>
      <c r="DJ279" s="93"/>
      <c r="DK279" s="93"/>
      <c r="DL279" s="93"/>
      <c r="DM279" s="93"/>
      <c r="DN279" s="93"/>
      <c r="DO279" s="93"/>
      <c r="DP279" s="93"/>
      <c r="DQ279" s="93"/>
      <c r="DR279" s="93"/>
      <c r="DS279" s="93"/>
      <c r="DT279" s="93"/>
      <c r="DU279" s="93"/>
      <c r="DV279" s="93"/>
      <c r="DW279" s="93"/>
      <c r="DX279" s="93"/>
      <c r="DY279" s="93"/>
      <c r="DZ279" s="93"/>
      <c r="EA279" s="93"/>
      <c r="EB279" s="93"/>
      <c r="EC279" s="93"/>
      <c r="ED279" s="93"/>
      <c r="EE279" s="93"/>
      <c r="EF279" s="93"/>
      <c r="EG279" s="93"/>
      <c r="EH279" s="93"/>
      <c r="EI279" s="93"/>
      <c r="EJ279" s="93"/>
      <c r="EK279" s="93"/>
      <c r="EL279" s="93"/>
      <c r="EM279" s="93"/>
      <c r="EN279" s="93"/>
      <c r="EO279" s="93"/>
      <c r="EP279" s="93"/>
      <c r="EQ279" s="93"/>
      <c r="ER279" s="93"/>
      <c r="ES279" s="93"/>
      <c r="ET279" s="93"/>
      <c r="EU279" s="93"/>
      <c r="EV279" s="93"/>
      <c r="EW279" s="93"/>
      <c r="EX279" s="93"/>
      <c r="EY279" s="93"/>
      <c r="EZ279" s="93"/>
      <c r="FA279" s="93"/>
      <c r="FB279" s="93"/>
      <c r="FC279" s="93"/>
      <c r="FD279" s="93"/>
      <c r="FE279" s="93"/>
      <c r="FF279" s="93"/>
      <c r="FG279" s="93"/>
      <c r="FH279" s="93"/>
      <c r="FI279" s="93"/>
      <c r="FJ279" s="93"/>
      <c r="FK279" s="93"/>
      <c r="FL279" s="93"/>
      <c r="FM279" s="93"/>
      <c r="FN279" s="93"/>
      <c r="FO279" s="93"/>
      <c r="FP279" s="93"/>
      <c r="FQ279" s="93"/>
      <c r="FR279" s="93"/>
      <c r="FS279" s="93"/>
      <c r="FT279" s="93"/>
      <c r="FU279" s="93"/>
      <c r="FV279" s="93"/>
      <c r="FW279" s="93"/>
      <c r="FX279" s="93"/>
      <c r="FY279" s="93"/>
      <c r="FZ279" s="93"/>
      <c r="GA279" s="93">
        <v>0.33267064280980779</v>
      </c>
      <c r="GB279" s="93"/>
      <c r="GC279" s="93"/>
      <c r="GD279" s="93"/>
      <c r="GE279" s="93"/>
      <c r="GF279" s="93"/>
      <c r="GG279" s="93"/>
      <c r="GH279" s="93"/>
      <c r="GI279" s="93"/>
      <c r="GJ279" s="93"/>
      <c r="GK279" s="93"/>
      <c r="GL279" s="93"/>
      <c r="GM279" s="93"/>
      <c r="GN279" s="93"/>
      <c r="GO279" s="93"/>
      <c r="GP279" s="93"/>
      <c r="GQ279" s="93"/>
      <c r="GR279" s="93"/>
      <c r="GS279" s="93"/>
      <c r="GT279" s="93"/>
      <c r="GU279" s="93"/>
      <c r="GV279" s="93"/>
      <c r="GW279" s="93"/>
      <c r="GX279" s="93"/>
      <c r="GY279" s="93"/>
      <c r="GZ279" s="93"/>
      <c r="HA279" s="93"/>
      <c r="HB279" s="93"/>
      <c r="HC279" s="93"/>
      <c r="HD279" s="93"/>
      <c r="HE279" s="93"/>
      <c r="HF279" s="93"/>
      <c r="HG279" s="93"/>
    </row>
    <row r="280" spans="14:215" x14ac:dyDescent="0.2">
      <c r="N280" s="93" t="s">
        <v>397</v>
      </c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3"/>
      <c r="AF280" s="93"/>
      <c r="AG280" s="93"/>
      <c r="AH280" s="93"/>
      <c r="AI280" s="93"/>
      <c r="AJ280" s="93"/>
      <c r="AK280" s="93"/>
      <c r="AL280" s="93"/>
      <c r="AM280" s="93"/>
      <c r="AN280" s="93"/>
      <c r="AO280" s="93"/>
      <c r="AP280" s="93"/>
      <c r="AQ280" s="93"/>
      <c r="AR280" s="93"/>
      <c r="AS280" s="93"/>
      <c r="AT280" s="93"/>
      <c r="AU280" s="93"/>
      <c r="AV280" s="93"/>
      <c r="AW280" s="93"/>
      <c r="AX280" s="93"/>
      <c r="AY280" s="93"/>
      <c r="AZ280" s="93"/>
      <c r="BA280" s="93"/>
      <c r="BB280" s="93"/>
      <c r="BC280" s="93"/>
      <c r="BD280" s="93"/>
      <c r="BE280" s="93"/>
      <c r="BF280" s="93"/>
      <c r="BG280" s="93"/>
      <c r="BH280" s="93"/>
      <c r="BI280" s="93"/>
      <c r="BJ280" s="93"/>
      <c r="BK280" s="93"/>
      <c r="BL280" s="93"/>
      <c r="BM280" s="93"/>
      <c r="BN280" s="93"/>
      <c r="BO280" s="93"/>
      <c r="BP280" s="93"/>
      <c r="BQ280" s="93"/>
      <c r="BR280" s="93"/>
      <c r="BS280" s="93"/>
      <c r="BT280" s="93"/>
      <c r="BU280" s="93"/>
      <c r="BV280" s="93"/>
      <c r="BW280" s="93"/>
      <c r="BX280" s="93"/>
      <c r="BY280" s="93"/>
      <c r="BZ280" s="93"/>
      <c r="CA280" s="93"/>
      <c r="CB280" s="93"/>
      <c r="CC280" s="93"/>
      <c r="CD280" s="93"/>
      <c r="CE280" s="93"/>
      <c r="CF280" s="93"/>
      <c r="CG280" s="93"/>
      <c r="CH280" s="93"/>
      <c r="CI280" s="93"/>
      <c r="CJ280" s="93"/>
      <c r="CK280" s="93"/>
      <c r="CL280" s="93"/>
      <c r="CM280" s="93"/>
      <c r="CN280" s="93"/>
      <c r="CO280" s="93"/>
      <c r="CP280" s="93"/>
      <c r="CQ280" s="93"/>
      <c r="CR280" s="93"/>
      <c r="CS280" s="93"/>
      <c r="CT280" s="93"/>
      <c r="CU280" s="93"/>
      <c r="CV280" s="93"/>
      <c r="CW280" s="93"/>
      <c r="CX280" s="93"/>
      <c r="CY280" s="93"/>
      <c r="CZ280" s="93"/>
      <c r="DA280" s="93"/>
      <c r="DB280" s="93"/>
      <c r="DC280" s="93"/>
      <c r="DD280" s="93"/>
      <c r="DE280" s="93"/>
      <c r="DF280" s="93"/>
      <c r="DG280" s="93"/>
      <c r="DH280" s="93"/>
      <c r="DI280" s="93"/>
      <c r="DJ280" s="93"/>
      <c r="DK280" s="93"/>
      <c r="DL280" s="93"/>
      <c r="DM280" s="93"/>
      <c r="DN280" s="93"/>
      <c r="DO280" s="93"/>
      <c r="DP280" s="93"/>
      <c r="DQ280" s="93"/>
      <c r="DR280" s="93"/>
      <c r="DS280" s="93"/>
      <c r="DT280" s="93"/>
      <c r="DU280" s="93"/>
      <c r="DV280" s="93"/>
      <c r="DW280" s="93"/>
      <c r="DX280" s="93"/>
      <c r="DY280" s="93"/>
      <c r="DZ280" s="93"/>
      <c r="EA280" s="93"/>
      <c r="EB280" s="93"/>
      <c r="EC280" s="93"/>
      <c r="ED280" s="93"/>
      <c r="EE280" s="93"/>
      <c r="EF280" s="93"/>
      <c r="EG280" s="93"/>
      <c r="EH280" s="93"/>
      <c r="EI280" s="93"/>
      <c r="EJ280" s="93"/>
      <c r="EK280" s="93"/>
      <c r="EL280" s="93"/>
      <c r="EM280" s="93"/>
      <c r="EN280" s="93"/>
      <c r="EO280" s="93"/>
      <c r="EP280" s="93"/>
      <c r="EQ280" s="93"/>
      <c r="ER280" s="93"/>
      <c r="ES280" s="93"/>
      <c r="ET280" s="93"/>
      <c r="EU280" s="93"/>
      <c r="EV280" s="93"/>
      <c r="EW280" s="93"/>
      <c r="EX280" s="93"/>
      <c r="EY280" s="93"/>
      <c r="EZ280" s="93"/>
      <c r="FA280" s="93"/>
      <c r="FB280" s="93"/>
      <c r="FC280" s="93"/>
      <c r="FD280" s="93"/>
      <c r="FE280" s="93"/>
      <c r="FF280" s="93"/>
      <c r="FG280" s="93"/>
      <c r="FH280" s="93"/>
      <c r="FI280" s="93"/>
      <c r="FJ280" s="93"/>
      <c r="FK280" s="93"/>
      <c r="FL280" s="93"/>
      <c r="FM280" s="93"/>
      <c r="FN280" s="93"/>
      <c r="FO280" s="93"/>
      <c r="FP280" s="93"/>
      <c r="FQ280" s="93"/>
      <c r="FR280" s="93"/>
      <c r="FS280" s="93"/>
      <c r="FT280" s="93"/>
      <c r="FU280" s="93"/>
      <c r="FV280" s="93"/>
      <c r="FW280" s="93"/>
      <c r="FX280" s="93"/>
      <c r="FY280" s="93"/>
      <c r="FZ280" s="93"/>
      <c r="GA280" s="93"/>
      <c r="GB280" s="93">
        <v>0.33267457180500659</v>
      </c>
      <c r="GC280" s="93"/>
      <c r="GD280" s="93"/>
      <c r="GE280" s="93"/>
      <c r="GF280" s="93"/>
      <c r="GG280" s="93"/>
      <c r="GH280" s="93"/>
      <c r="GI280" s="93"/>
      <c r="GJ280" s="93"/>
      <c r="GK280" s="93"/>
      <c r="GL280" s="93"/>
      <c r="GM280" s="93"/>
      <c r="GN280" s="93"/>
      <c r="GO280" s="93"/>
      <c r="GP280" s="93"/>
      <c r="GQ280" s="93"/>
      <c r="GR280" s="93"/>
      <c r="GS280" s="93"/>
      <c r="GT280" s="93"/>
      <c r="GU280" s="93"/>
      <c r="GV280" s="93"/>
      <c r="GW280" s="93"/>
      <c r="GX280" s="93"/>
      <c r="GY280" s="93"/>
      <c r="GZ280" s="93"/>
      <c r="HA280" s="93"/>
      <c r="HB280" s="93"/>
      <c r="HC280" s="93"/>
      <c r="HD280" s="93"/>
      <c r="HE280" s="93"/>
      <c r="HF280" s="93"/>
      <c r="HG280" s="93"/>
    </row>
    <row r="281" spans="14:215" x14ac:dyDescent="0.2">
      <c r="N281" s="93" t="s">
        <v>398</v>
      </c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  <c r="BI281" s="93"/>
      <c r="BJ281" s="93"/>
      <c r="BK281" s="93"/>
      <c r="BL281" s="93"/>
      <c r="BM281" s="93"/>
      <c r="BN281" s="93"/>
      <c r="BO281" s="93"/>
      <c r="BP281" s="93"/>
      <c r="BQ281" s="93"/>
      <c r="BR281" s="93"/>
      <c r="BS281" s="93"/>
      <c r="BT281" s="93"/>
      <c r="BU281" s="93"/>
      <c r="BV281" s="93"/>
      <c r="BW281" s="93"/>
      <c r="BX281" s="93"/>
      <c r="BY281" s="93"/>
      <c r="BZ281" s="93"/>
      <c r="CA281" s="93"/>
      <c r="CB281" s="93"/>
      <c r="CC281" s="93"/>
      <c r="CD281" s="93"/>
      <c r="CE281" s="93"/>
      <c r="CF281" s="93"/>
      <c r="CG281" s="93"/>
      <c r="CH281" s="93"/>
      <c r="CI281" s="93"/>
      <c r="CJ281" s="93"/>
      <c r="CK281" s="93"/>
      <c r="CL281" s="93"/>
      <c r="CM281" s="93"/>
      <c r="CN281" s="93"/>
      <c r="CO281" s="93"/>
      <c r="CP281" s="93"/>
      <c r="CQ281" s="93"/>
      <c r="CR281" s="93"/>
      <c r="CS281" s="93"/>
      <c r="CT281" s="93"/>
      <c r="CU281" s="93"/>
      <c r="CV281" s="93"/>
      <c r="CW281" s="93"/>
      <c r="CX281" s="93"/>
      <c r="CY281" s="93"/>
      <c r="CZ281" s="93"/>
      <c r="DA281" s="93"/>
      <c r="DB281" s="93"/>
      <c r="DC281" s="93"/>
      <c r="DD281" s="93"/>
      <c r="DE281" s="93"/>
      <c r="DF281" s="93"/>
      <c r="DG281" s="93"/>
      <c r="DH281" s="93"/>
      <c r="DI281" s="93"/>
      <c r="DJ281" s="93"/>
      <c r="DK281" s="93"/>
      <c r="DL281" s="93"/>
      <c r="DM281" s="93"/>
      <c r="DN281" s="93"/>
      <c r="DO281" s="93"/>
      <c r="DP281" s="93"/>
      <c r="DQ281" s="93"/>
      <c r="DR281" s="93"/>
      <c r="DS281" s="93"/>
      <c r="DT281" s="93"/>
      <c r="DU281" s="93"/>
      <c r="DV281" s="93"/>
      <c r="DW281" s="93"/>
      <c r="DX281" s="93"/>
      <c r="DY281" s="93"/>
      <c r="DZ281" s="93"/>
      <c r="EA281" s="93"/>
      <c r="EB281" s="93"/>
      <c r="EC281" s="93"/>
      <c r="ED281" s="93"/>
      <c r="EE281" s="93"/>
      <c r="EF281" s="93"/>
      <c r="EG281" s="93"/>
      <c r="EH281" s="93"/>
      <c r="EI281" s="93"/>
      <c r="EJ281" s="93"/>
      <c r="EK281" s="93"/>
      <c r="EL281" s="93"/>
      <c r="EM281" s="93"/>
      <c r="EN281" s="93"/>
      <c r="EO281" s="93"/>
      <c r="EP281" s="93"/>
      <c r="EQ281" s="93"/>
      <c r="ER281" s="93"/>
      <c r="ES281" s="93"/>
      <c r="ET281" s="93"/>
      <c r="EU281" s="93"/>
      <c r="EV281" s="93"/>
      <c r="EW281" s="93"/>
      <c r="EX281" s="93"/>
      <c r="EY281" s="93"/>
      <c r="EZ281" s="93"/>
      <c r="FA281" s="93"/>
      <c r="FB281" s="93"/>
      <c r="FC281" s="93"/>
      <c r="FD281" s="93"/>
      <c r="FE281" s="93"/>
      <c r="FF281" s="93"/>
      <c r="FG281" s="93"/>
      <c r="FH281" s="93"/>
      <c r="FI281" s="93"/>
      <c r="FJ281" s="93"/>
      <c r="FK281" s="93"/>
      <c r="FL281" s="93"/>
      <c r="FM281" s="93"/>
      <c r="FN281" s="93"/>
      <c r="FO281" s="93"/>
      <c r="FP281" s="93"/>
      <c r="FQ281" s="93"/>
      <c r="FR281" s="93"/>
      <c r="FS281" s="93"/>
      <c r="FT281" s="93"/>
      <c r="FU281" s="93"/>
      <c r="FV281" s="93"/>
      <c r="FW281" s="93"/>
      <c r="FX281" s="93"/>
      <c r="FY281" s="93"/>
      <c r="FZ281" s="93"/>
      <c r="GA281" s="93"/>
      <c r="GB281" s="93"/>
      <c r="GC281" s="93">
        <v>0.33267845448592009</v>
      </c>
      <c r="GD281" s="93"/>
      <c r="GE281" s="93"/>
      <c r="GF281" s="93"/>
      <c r="GG281" s="93"/>
      <c r="GH281" s="93"/>
      <c r="GI281" s="93"/>
      <c r="GJ281" s="93"/>
      <c r="GK281" s="93"/>
      <c r="GL281" s="93"/>
      <c r="GM281" s="93"/>
      <c r="GN281" s="93"/>
      <c r="GO281" s="93"/>
      <c r="GP281" s="93"/>
      <c r="GQ281" s="93"/>
      <c r="GR281" s="93"/>
      <c r="GS281" s="93"/>
      <c r="GT281" s="93"/>
      <c r="GU281" s="93"/>
      <c r="GV281" s="93"/>
      <c r="GW281" s="93"/>
      <c r="GX281" s="93"/>
      <c r="GY281" s="93"/>
      <c r="GZ281" s="93"/>
      <c r="HA281" s="93"/>
      <c r="HB281" s="93"/>
      <c r="HC281" s="93"/>
      <c r="HD281" s="93"/>
      <c r="HE281" s="93"/>
      <c r="HF281" s="93"/>
      <c r="HG281" s="93"/>
    </row>
    <row r="282" spans="14:215" x14ac:dyDescent="0.2">
      <c r="N282" s="93" t="s">
        <v>399</v>
      </c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3"/>
      <c r="AF282" s="93"/>
      <c r="AG282" s="93"/>
      <c r="AH282" s="93"/>
      <c r="AI282" s="93"/>
      <c r="AJ282" s="93"/>
      <c r="AK282" s="93"/>
      <c r="AL282" s="93"/>
      <c r="AM282" s="93"/>
      <c r="AN282" s="93"/>
      <c r="AO282" s="93"/>
      <c r="AP282" s="93"/>
      <c r="AQ282" s="93"/>
      <c r="AR282" s="93"/>
      <c r="AS282" s="93"/>
      <c r="AT282" s="93"/>
      <c r="AU282" s="93"/>
      <c r="AV282" s="93"/>
      <c r="AW282" s="93"/>
      <c r="AX282" s="93"/>
      <c r="AY282" s="93"/>
      <c r="AZ282" s="93"/>
      <c r="BA282" s="93"/>
      <c r="BB282" s="93"/>
      <c r="BC282" s="93"/>
      <c r="BD282" s="93"/>
      <c r="BE282" s="93"/>
      <c r="BF282" s="93"/>
      <c r="BG282" s="93"/>
      <c r="BH282" s="93"/>
      <c r="BI282" s="93"/>
      <c r="BJ282" s="93"/>
      <c r="BK282" s="93"/>
      <c r="BL282" s="93"/>
      <c r="BM282" s="93"/>
      <c r="BN282" s="93"/>
      <c r="BO282" s="93"/>
      <c r="BP282" s="93"/>
      <c r="BQ282" s="93"/>
      <c r="BR282" s="93"/>
      <c r="BS282" s="93"/>
      <c r="BT282" s="93"/>
      <c r="BU282" s="93"/>
      <c r="BV282" s="93"/>
      <c r="BW282" s="93"/>
      <c r="BX282" s="93"/>
      <c r="BY282" s="93"/>
      <c r="BZ282" s="93"/>
      <c r="CA282" s="93"/>
      <c r="CB282" s="93"/>
      <c r="CC282" s="93"/>
      <c r="CD282" s="93"/>
      <c r="CE282" s="93"/>
      <c r="CF282" s="93"/>
      <c r="CG282" s="93"/>
      <c r="CH282" s="93"/>
      <c r="CI282" s="93"/>
      <c r="CJ282" s="93"/>
      <c r="CK282" s="93"/>
      <c r="CL282" s="93"/>
      <c r="CM282" s="93"/>
      <c r="CN282" s="93"/>
      <c r="CO282" s="93"/>
      <c r="CP282" s="93"/>
      <c r="CQ282" s="93"/>
      <c r="CR282" s="93"/>
      <c r="CS282" s="93"/>
      <c r="CT282" s="93"/>
      <c r="CU282" s="93"/>
      <c r="CV282" s="93"/>
      <c r="CW282" s="93"/>
      <c r="CX282" s="93"/>
      <c r="CY282" s="93"/>
      <c r="CZ282" s="93"/>
      <c r="DA282" s="93"/>
      <c r="DB282" s="93"/>
      <c r="DC282" s="93"/>
      <c r="DD282" s="93"/>
      <c r="DE282" s="93"/>
      <c r="DF282" s="93"/>
      <c r="DG282" s="93"/>
      <c r="DH282" s="93"/>
      <c r="DI282" s="93"/>
      <c r="DJ282" s="93"/>
      <c r="DK282" s="93"/>
      <c r="DL282" s="93"/>
      <c r="DM282" s="93"/>
      <c r="DN282" s="93"/>
      <c r="DO282" s="93"/>
      <c r="DP282" s="93"/>
      <c r="DQ282" s="93"/>
      <c r="DR282" s="93"/>
      <c r="DS282" s="93"/>
      <c r="DT282" s="93"/>
      <c r="DU282" s="93"/>
      <c r="DV282" s="93"/>
      <c r="DW282" s="93"/>
      <c r="DX282" s="93"/>
      <c r="DY282" s="93"/>
      <c r="DZ282" s="93"/>
      <c r="EA282" s="93"/>
      <c r="EB282" s="93"/>
      <c r="EC282" s="93"/>
      <c r="ED282" s="93"/>
      <c r="EE282" s="93"/>
      <c r="EF282" s="93"/>
      <c r="EG282" s="93"/>
      <c r="EH282" s="93"/>
      <c r="EI282" s="93"/>
      <c r="EJ282" s="93"/>
      <c r="EK282" s="93"/>
      <c r="EL282" s="93"/>
      <c r="EM282" s="93"/>
      <c r="EN282" s="93"/>
      <c r="EO282" s="93"/>
      <c r="EP282" s="93"/>
      <c r="EQ282" s="93"/>
      <c r="ER282" s="93"/>
      <c r="ES282" s="93"/>
      <c r="ET282" s="93"/>
      <c r="EU282" s="93"/>
      <c r="EV282" s="93"/>
      <c r="EW282" s="93"/>
      <c r="EX282" s="93"/>
      <c r="EY282" s="93"/>
      <c r="EZ282" s="93"/>
      <c r="FA282" s="93"/>
      <c r="FB282" s="93"/>
      <c r="FC282" s="93"/>
      <c r="FD282" s="93"/>
      <c r="FE282" s="93"/>
      <c r="FF282" s="93"/>
      <c r="FG282" s="93"/>
      <c r="FH282" s="93"/>
      <c r="FI282" s="93"/>
      <c r="FJ282" s="93"/>
      <c r="FK282" s="93"/>
      <c r="FL282" s="93"/>
      <c r="FM282" s="93"/>
      <c r="FN282" s="93"/>
      <c r="FO282" s="93"/>
      <c r="FP282" s="93"/>
      <c r="FQ282" s="93"/>
      <c r="FR282" s="93"/>
      <c r="FS282" s="93"/>
      <c r="FT282" s="93"/>
      <c r="FU282" s="93"/>
      <c r="FV282" s="93"/>
      <c r="FW282" s="93"/>
      <c r="FX282" s="93"/>
      <c r="FY282" s="93"/>
      <c r="FZ282" s="93"/>
      <c r="GA282" s="93"/>
      <c r="GB282" s="93"/>
      <c r="GC282" s="93"/>
      <c r="GD282" s="93">
        <v>0.33268229166666669</v>
      </c>
      <c r="GE282" s="93"/>
      <c r="GF282" s="93"/>
      <c r="GG282" s="93"/>
      <c r="GH282" s="93"/>
      <c r="GI282" s="93"/>
      <c r="GJ282" s="93"/>
      <c r="GK282" s="93"/>
      <c r="GL282" s="93"/>
      <c r="GM282" s="93"/>
      <c r="GN282" s="93"/>
      <c r="GO282" s="93"/>
      <c r="GP282" s="93"/>
      <c r="GQ282" s="93"/>
      <c r="GR282" s="93"/>
      <c r="GS282" s="93"/>
      <c r="GT282" s="93"/>
      <c r="GU282" s="93"/>
      <c r="GV282" s="93"/>
      <c r="GW282" s="93"/>
      <c r="GX282" s="93"/>
      <c r="GY282" s="93"/>
      <c r="GZ282" s="93"/>
      <c r="HA282" s="93"/>
      <c r="HB282" s="93"/>
      <c r="HC282" s="93"/>
      <c r="HD282" s="93"/>
      <c r="HE282" s="93"/>
      <c r="HF282" s="93"/>
      <c r="HG282" s="93"/>
    </row>
    <row r="283" spans="14:215" x14ac:dyDescent="0.2">
      <c r="N283" s="93" t="s">
        <v>400</v>
      </c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  <c r="BI283" s="93"/>
      <c r="BJ283" s="93"/>
      <c r="BK283" s="93"/>
      <c r="BL283" s="93"/>
      <c r="BM283" s="93"/>
      <c r="BN283" s="93"/>
      <c r="BO283" s="93"/>
      <c r="BP283" s="93"/>
      <c r="BQ283" s="93"/>
      <c r="BR283" s="93"/>
      <c r="BS283" s="93"/>
      <c r="BT283" s="93"/>
      <c r="BU283" s="93"/>
      <c r="BV283" s="93"/>
      <c r="BW283" s="93"/>
      <c r="BX283" s="93"/>
      <c r="BY283" s="93"/>
      <c r="BZ283" s="93"/>
      <c r="CA283" s="93"/>
      <c r="CB283" s="93"/>
      <c r="CC283" s="93"/>
      <c r="CD283" s="93"/>
      <c r="CE283" s="93"/>
      <c r="CF283" s="93"/>
      <c r="CG283" s="93"/>
      <c r="CH283" s="93"/>
      <c r="CI283" s="93"/>
      <c r="CJ283" s="93"/>
      <c r="CK283" s="93"/>
      <c r="CL283" s="93"/>
      <c r="CM283" s="93"/>
      <c r="CN283" s="93"/>
      <c r="CO283" s="93"/>
      <c r="CP283" s="93"/>
      <c r="CQ283" s="93"/>
      <c r="CR283" s="93"/>
      <c r="CS283" s="93"/>
      <c r="CT283" s="93"/>
      <c r="CU283" s="93"/>
      <c r="CV283" s="93"/>
      <c r="CW283" s="93"/>
      <c r="CX283" s="93"/>
      <c r="CY283" s="93"/>
      <c r="CZ283" s="93"/>
      <c r="DA283" s="93"/>
      <c r="DB283" s="93"/>
      <c r="DC283" s="93"/>
      <c r="DD283" s="93"/>
      <c r="DE283" s="93"/>
      <c r="DF283" s="93"/>
      <c r="DG283" s="93"/>
      <c r="DH283" s="93"/>
      <c r="DI283" s="93"/>
      <c r="DJ283" s="93"/>
      <c r="DK283" s="93"/>
      <c r="DL283" s="93"/>
      <c r="DM283" s="93"/>
      <c r="DN283" s="93"/>
      <c r="DO283" s="93"/>
      <c r="DP283" s="93"/>
      <c r="DQ283" s="93"/>
      <c r="DR283" s="93"/>
      <c r="DS283" s="93"/>
      <c r="DT283" s="93"/>
      <c r="DU283" s="93"/>
      <c r="DV283" s="93"/>
      <c r="DW283" s="93"/>
      <c r="DX283" s="93"/>
      <c r="DY283" s="93"/>
      <c r="DZ283" s="93"/>
      <c r="EA283" s="93"/>
      <c r="EB283" s="93"/>
      <c r="EC283" s="93"/>
      <c r="ED283" s="93"/>
      <c r="EE283" s="93"/>
      <c r="EF283" s="93"/>
      <c r="EG283" s="93"/>
      <c r="EH283" s="93"/>
      <c r="EI283" s="93"/>
      <c r="EJ283" s="93"/>
      <c r="EK283" s="93"/>
      <c r="EL283" s="93"/>
      <c r="EM283" s="93"/>
      <c r="EN283" s="93"/>
      <c r="EO283" s="93"/>
      <c r="EP283" s="93"/>
      <c r="EQ283" s="93"/>
      <c r="ER283" s="93"/>
      <c r="ES283" s="93"/>
      <c r="ET283" s="93"/>
      <c r="EU283" s="93"/>
      <c r="EV283" s="93"/>
      <c r="EW283" s="93"/>
      <c r="EX283" s="93"/>
      <c r="EY283" s="93"/>
      <c r="EZ283" s="93"/>
      <c r="FA283" s="93"/>
      <c r="FB283" s="93"/>
      <c r="FC283" s="93"/>
      <c r="FD283" s="93"/>
      <c r="FE283" s="93"/>
      <c r="FF283" s="93"/>
      <c r="FG283" s="93"/>
      <c r="FH283" s="93"/>
      <c r="FI283" s="93"/>
      <c r="FJ283" s="93"/>
      <c r="FK283" s="93"/>
      <c r="FL283" s="93"/>
      <c r="FM283" s="93"/>
      <c r="FN283" s="93"/>
      <c r="FO283" s="93"/>
      <c r="FP283" s="93"/>
      <c r="FQ283" s="93"/>
      <c r="FR283" s="93"/>
      <c r="FS283" s="93"/>
      <c r="FT283" s="93"/>
      <c r="FU283" s="93"/>
      <c r="FV283" s="93"/>
      <c r="FW283" s="93"/>
      <c r="FX283" s="93"/>
      <c r="FY283" s="93"/>
      <c r="FZ283" s="93"/>
      <c r="GA283" s="93"/>
      <c r="GB283" s="93"/>
      <c r="GC283" s="93"/>
      <c r="GD283" s="93"/>
      <c r="GE283" s="93">
        <v>0.33268608414239481</v>
      </c>
      <c r="GF283" s="93"/>
      <c r="GG283" s="93"/>
      <c r="GH283" s="93"/>
      <c r="GI283" s="93"/>
      <c r="GJ283" s="93"/>
      <c r="GK283" s="93"/>
      <c r="GL283" s="93"/>
      <c r="GM283" s="93"/>
      <c r="GN283" s="93"/>
      <c r="GO283" s="93"/>
      <c r="GP283" s="93"/>
      <c r="GQ283" s="93"/>
      <c r="GR283" s="93"/>
      <c r="GS283" s="93"/>
      <c r="GT283" s="93"/>
      <c r="GU283" s="93"/>
      <c r="GV283" s="93"/>
      <c r="GW283" s="93"/>
      <c r="GX283" s="93"/>
      <c r="GY283" s="93"/>
      <c r="GZ283" s="93"/>
      <c r="HA283" s="93"/>
      <c r="HB283" s="93"/>
      <c r="HC283" s="93"/>
      <c r="HD283" s="93"/>
      <c r="HE283" s="93"/>
      <c r="HF283" s="93"/>
      <c r="HG283" s="93"/>
    </row>
    <row r="284" spans="14:215" x14ac:dyDescent="0.2">
      <c r="N284" s="93" t="s">
        <v>401</v>
      </c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3"/>
      <c r="AF284" s="93"/>
      <c r="AG284" s="93"/>
      <c r="AH284" s="93"/>
      <c r="AI284" s="93"/>
      <c r="AJ284" s="93"/>
      <c r="AK284" s="93"/>
      <c r="AL284" s="93"/>
      <c r="AM284" s="93"/>
      <c r="AN284" s="93"/>
      <c r="AO284" s="93"/>
      <c r="AP284" s="93"/>
      <c r="AQ284" s="93"/>
      <c r="AR284" s="93"/>
      <c r="AS284" s="93"/>
      <c r="AT284" s="93"/>
      <c r="AU284" s="93"/>
      <c r="AV284" s="93"/>
      <c r="AW284" s="93"/>
      <c r="AX284" s="93"/>
      <c r="AY284" s="93"/>
      <c r="AZ284" s="93"/>
      <c r="BA284" s="93"/>
      <c r="BB284" s="93"/>
      <c r="BC284" s="93"/>
      <c r="BD284" s="93"/>
      <c r="BE284" s="93"/>
      <c r="BF284" s="93"/>
      <c r="BG284" s="93"/>
      <c r="BH284" s="93"/>
      <c r="BI284" s="93"/>
      <c r="BJ284" s="93"/>
      <c r="BK284" s="93"/>
      <c r="BL284" s="93"/>
      <c r="BM284" s="93"/>
      <c r="BN284" s="93"/>
      <c r="BO284" s="93"/>
      <c r="BP284" s="93"/>
      <c r="BQ284" s="93"/>
      <c r="BR284" s="93"/>
      <c r="BS284" s="93"/>
      <c r="BT284" s="93"/>
      <c r="BU284" s="93"/>
      <c r="BV284" s="93"/>
      <c r="BW284" s="93"/>
      <c r="BX284" s="93"/>
      <c r="BY284" s="93"/>
      <c r="BZ284" s="93"/>
      <c r="CA284" s="93"/>
      <c r="CB284" s="93"/>
      <c r="CC284" s="93"/>
      <c r="CD284" s="93"/>
      <c r="CE284" s="93"/>
      <c r="CF284" s="93"/>
      <c r="CG284" s="93"/>
      <c r="CH284" s="93"/>
      <c r="CI284" s="93"/>
      <c r="CJ284" s="93"/>
      <c r="CK284" s="93"/>
      <c r="CL284" s="93"/>
      <c r="CM284" s="93"/>
      <c r="CN284" s="93"/>
      <c r="CO284" s="93"/>
      <c r="CP284" s="93"/>
      <c r="CQ284" s="93"/>
      <c r="CR284" s="93"/>
      <c r="CS284" s="93"/>
      <c r="CT284" s="93"/>
      <c r="CU284" s="93"/>
      <c r="CV284" s="93"/>
      <c r="CW284" s="93"/>
      <c r="CX284" s="93"/>
      <c r="CY284" s="93"/>
      <c r="CZ284" s="93"/>
      <c r="DA284" s="93"/>
      <c r="DB284" s="93"/>
      <c r="DC284" s="93"/>
      <c r="DD284" s="93"/>
      <c r="DE284" s="93"/>
      <c r="DF284" s="93"/>
      <c r="DG284" s="93"/>
      <c r="DH284" s="93"/>
      <c r="DI284" s="93"/>
      <c r="DJ284" s="93"/>
      <c r="DK284" s="93"/>
      <c r="DL284" s="93"/>
      <c r="DM284" s="93"/>
      <c r="DN284" s="93"/>
      <c r="DO284" s="93"/>
      <c r="DP284" s="93"/>
      <c r="DQ284" s="93"/>
      <c r="DR284" s="93"/>
      <c r="DS284" s="93"/>
      <c r="DT284" s="93"/>
      <c r="DU284" s="93"/>
      <c r="DV284" s="93"/>
      <c r="DW284" s="93"/>
      <c r="DX284" s="93"/>
      <c r="DY284" s="93"/>
      <c r="DZ284" s="93"/>
      <c r="EA284" s="93"/>
      <c r="EB284" s="93"/>
      <c r="EC284" s="93"/>
      <c r="ED284" s="93"/>
      <c r="EE284" s="93"/>
      <c r="EF284" s="93"/>
      <c r="EG284" s="93"/>
      <c r="EH284" s="93"/>
      <c r="EI284" s="93"/>
      <c r="EJ284" s="93"/>
      <c r="EK284" s="93"/>
      <c r="EL284" s="93"/>
      <c r="EM284" s="93"/>
      <c r="EN284" s="93"/>
      <c r="EO284" s="93"/>
      <c r="EP284" s="93"/>
      <c r="EQ284" s="93"/>
      <c r="ER284" s="93"/>
      <c r="ES284" s="93"/>
      <c r="ET284" s="93"/>
      <c r="EU284" s="93"/>
      <c r="EV284" s="93"/>
      <c r="EW284" s="93"/>
      <c r="EX284" s="93"/>
      <c r="EY284" s="93"/>
      <c r="EZ284" s="93"/>
      <c r="FA284" s="93"/>
      <c r="FB284" s="93"/>
      <c r="FC284" s="93"/>
      <c r="FD284" s="93"/>
      <c r="FE284" s="93"/>
      <c r="FF284" s="93"/>
      <c r="FG284" s="93"/>
      <c r="FH284" s="93"/>
      <c r="FI284" s="93"/>
      <c r="FJ284" s="93"/>
      <c r="FK284" s="93"/>
      <c r="FL284" s="93"/>
      <c r="FM284" s="93"/>
      <c r="FN284" s="93"/>
      <c r="FO284" s="93"/>
      <c r="FP284" s="93"/>
      <c r="FQ284" s="93"/>
      <c r="FR284" s="93"/>
      <c r="FS284" s="93"/>
      <c r="FT284" s="93"/>
      <c r="FU284" s="93"/>
      <c r="FV284" s="93"/>
      <c r="FW284" s="93"/>
      <c r="FX284" s="93"/>
      <c r="FY284" s="93"/>
      <c r="FZ284" s="93"/>
      <c r="GA284" s="93"/>
      <c r="GB284" s="93"/>
      <c r="GC284" s="93"/>
      <c r="GD284" s="93"/>
      <c r="GE284" s="93"/>
      <c r="GF284" s="93">
        <v>0.33268983268983271</v>
      </c>
      <c r="GG284" s="93"/>
      <c r="GH284" s="93"/>
      <c r="GI284" s="93"/>
      <c r="GJ284" s="93"/>
      <c r="GK284" s="93"/>
      <c r="GL284" s="93"/>
      <c r="GM284" s="93"/>
      <c r="GN284" s="93"/>
      <c r="GO284" s="93"/>
      <c r="GP284" s="93"/>
      <c r="GQ284" s="93"/>
      <c r="GR284" s="93"/>
      <c r="GS284" s="93"/>
      <c r="GT284" s="93"/>
      <c r="GU284" s="93"/>
      <c r="GV284" s="93"/>
      <c r="GW284" s="93"/>
      <c r="GX284" s="93"/>
      <c r="GY284" s="93"/>
      <c r="GZ284" s="93"/>
      <c r="HA284" s="93"/>
      <c r="HB284" s="93"/>
      <c r="HC284" s="93"/>
      <c r="HD284" s="93"/>
      <c r="HE284" s="93"/>
      <c r="HF284" s="93"/>
      <c r="HG284" s="93"/>
    </row>
    <row r="285" spans="14:215" x14ac:dyDescent="0.2">
      <c r="N285" s="93" t="s">
        <v>402</v>
      </c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  <c r="BI285" s="93"/>
      <c r="BJ285" s="93"/>
      <c r="BK285" s="93"/>
      <c r="BL285" s="93"/>
      <c r="BM285" s="93"/>
      <c r="BN285" s="93"/>
      <c r="BO285" s="93"/>
      <c r="BP285" s="93"/>
      <c r="BQ285" s="93"/>
      <c r="BR285" s="93"/>
      <c r="BS285" s="93"/>
      <c r="BT285" s="93"/>
      <c r="BU285" s="93"/>
      <c r="BV285" s="93"/>
      <c r="BW285" s="93"/>
      <c r="BX285" s="93"/>
      <c r="BY285" s="93"/>
      <c r="BZ285" s="93"/>
      <c r="CA285" s="93"/>
      <c r="CB285" s="93"/>
      <c r="CC285" s="93"/>
      <c r="CD285" s="93"/>
      <c r="CE285" s="93"/>
      <c r="CF285" s="93"/>
      <c r="CG285" s="93"/>
      <c r="CH285" s="93"/>
      <c r="CI285" s="93"/>
      <c r="CJ285" s="93"/>
      <c r="CK285" s="93"/>
      <c r="CL285" s="93"/>
      <c r="CM285" s="93"/>
      <c r="CN285" s="93"/>
      <c r="CO285" s="93"/>
      <c r="CP285" s="93"/>
      <c r="CQ285" s="93"/>
      <c r="CR285" s="93"/>
      <c r="CS285" s="93"/>
      <c r="CT285" s="93"/>
      <c r="CU285" s="93"/>
      <c r="CV285" s="93"/>
      <c r="CW285" s="93"/>
      <c r="CX285" s="93"/>
      <c r="CY285" s="93"/>
      <c r="CZ285" s="93"/>
      <c r="DA285" s="93"/>
      <c r="DB285" s="93"/>
      <c r="DC285" s="93"/>
      <c r="DD285" s="93"/>
      <c r="DE285" s="93"/>
      <c r="DF285" s="93"/>
      <c r="DG285" s="93"/>
      <c r="DH285" s="93"/>
      <c r="DI285" s="93"/>
      <c r="DJ285" s="93"/>
      <c r="DK285" s="93"/>
      <c r="DL285" s="93"/>
      <c r="DM285" s="93"/>
      <c r="DN285" s="93"/>
      <c r="DO285" s="93"/>
      <c r="DP285" s="93"/>
      <c r="DQ285" s="93"/>
      <c r="DR285" s="93"/>
      <c r="DS285" s="93"/>
      <c r="DT285" s="93"/>
      <c r="DU285" s="93"/>
      <c r="DV285" s="93"/>
      <c r="DW285" s="93"/>
      <c r="DX285" s="93"/>
      <c r="DY285" s="93"/>
      <c r="DZ285" s="93"/>
      <c r="EA285" s="93"/>
      <c r="EB285" s="93"/>
      <c r="EC285" s="93"/>
      <c r="ED285" s="93"/>
      <c r="EE285" s="93"/>
      <c r="EF285" s="93"/>
      <c r="EG285" s="93"/>
      <c r="EH285" s="93"/>
      <c r="EI285" s="93"/>
      <c r="EJ285" s="93"/>
      <c r="EK285" s="93"/>
      <c r="EL285" s="93"/>
      <c r="EM285" s="93"/>
      <c r="EN285" s="93"/>
      <c r="EO285" s="93"/>
      <c r="EP285" s="93"/>
      <c r="EQ285" s="93"/>
      <c r="ER285" s="93"/>
      <c r="ES285" s="93"/>
      <c r="ET285" s="93"/>
      <c r="EU285" s="93"/>
      <c r="EV285" s="93"/>
      <c r="EW285" s="93"/>
      <c r="EX285" s="93"/>
      <c r="EY285" s="93"/>
      <c r="EZ285" s="93"/>
      <c r="FA285" s="93"/>
      <c r="FB285" s="93"/>
      <c r="FC285" s="93"/>
      <c r="FD285" s="93"/>
      <c r="FE285" s="93"/>
      <c r="FF285" s="93"/>
      <c r="FG285" s="93"/>
      <c r="FH285" s="93"/>
      <c r="FI285" s="93"/>
      <c r="FJ285" s="93"/>
      <c r="FK285" s="93"/>
      <c r="FL285" s="93"/>
      <c r="FM285" s="93"/>
      <c r="FN285" s="93"/>
      <c r="FO285" s="93"/>
      <c r="FP285" s="93"/>
      <c r="FQ285" s="93"/>
      <c r="FR285" s="93"/>
      <c r="FS285" s="93"/>
      <c r="FT285" s="93"/>
      <c r="FU285" s="93"/>
      <c r="FV285" s="93"/>
      <c r="FW285" s="93"/>
      <c r="FX285" s="93"/>
      <c r="FY285" s="93"/>
      <c r="FZ285" s="93"/>
      <c r="GA285" s="93"/>
      <c r="GB285" s="93"/>
      <c r="GC285" s="93"/>
      <c r="GD285" s="93"/>
      <c r="GE285" s="93"/>
      <c r="GF285" s="93"/>
      <c r="GG285" s="93">
        <v>0.33269353806781832</v>
      </c>
      <c r="GH285" s="93"/>
      <c r="GI285" s="93"/>
      <c r="GJ285" s="93"/>
      <c r="GK285" s="93"/>
      <c r="GL285" s="93"/>
      <c r="GM285" s="93"/>
      <c r="GN285" s="93"/>
      <c r="GO285" s="93"/>
      <c r="GP285" s="93"/>
      <c r="GQ285" s="93"/>
      <c r="GR285" s="93"/>
      <c r="GS285" s="93"/>
      <c r="GT285" s="93"/>
      <c r="GU285" s="93"/>
      <c r="GV285" s="93"/>
      <c r="GW285" s="93"/>
      <c r="GX285" s="93"/>
      <c r="GY285" s="93"/>
      <c r="GZ285" s="93"/>
      <c r="HA285" s="93"/>
      <c r="HB285" s="93"/>
      <c r="HC285" s="93"/>
      <c r="HD285" s="93"/>
      <c r="HE285" s="93"/>
      <c r="HF285" s="93"/>
      <c r="HG285" s="93"/>
    </row>
    <row r="286" spans="14:215" x14ac:dyDescent="0.2">
      <c r="N286" s="93" t="s">
        <v>403</v>
      </c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3"/>
      <c r="AF286" s="93"/>
      <c r="AG286" s="93"/>
      <c r="AH286" s="93"/>
      <c r="AI286" s="93"/>
      <c r="AJ286" s="93"/>
      <c r="AK286" s="93"/>
      <c r="AL286" s="93"/>
      <c r="AM286" s="93"/>
      <c r="AN286" s="93"/>
      <c r="AO286" s="93"/>
      <c r="AP286" s="93"/>
      <c r="AQ286" s="93"/>
      <c r="AR286" s="93"/>
      <c r="AS286" s="93"/>
      <c r="AT286" s="93"/>
      <c r="AU286" s="93"/>
      <c r="AV286" s="93"/>
      <c r="AW286" s="93"/>
      <c r="AX286" s="93"/>
      <c r="AY286" s="93"/>
      <c r="AZ286" s="93"/>
      <c r="BA286" s="93"/>
      <c r="BB286" s="93"/>
      <c r="BC286" s="93"/>
      <c r="BD286" s="93"/>
      <c r="BE286" s="93"/>
      <c r="BF286" s="93"/>
      <c r="BG286" s="93"/>
      <c r="BH286" s="93"/>
      <c r="BI286" s="93"/>
      <c r="BJ286" s="93"/>
      <c r="BK286" s="93"/>
      <c r="BL286" s="93"/>
      <c r="BM286" s="93"/>
      <c r="BN286" s="93"/>
      <c r="BO286" s="93"/>
      <c r="BP286" s="93"/>
      <c r="BQ286" s="93"/>
      <c r="BR286" s="93"/>
      <c r="BS286" s="93"/>
      <c r="BT286" s="93"/>
      <c r="BU286" s="93"/>
      <c r="BV286" s="93"/>
      <c r="BW286" s="93"/>
      <c r="BX286" s="93"/>
      <c r="BY286" s="93"/>
      <c r="BZ286" s="93"/>
      <c r="CA286" s="93"/>
      <c r="CB286" s="93"/>
      <c r="CC286" s="93"/>
      <c r="CD286" s="93"/>
      <c r="CE286" s="93"/>
      <c r="CF286" s="93"/>
      <c r="CG286" s="93"/>
      <c r="CH286" s="93"/>
      <c r="CI286" s="93"/>
      <c r="CJ286" s="93"/>
      <c r="CK286" s="93"/>
      <c r="CL286" s="93"/>
      <c r="CM286" s="93"/>
      <c r="CN286" s="93"/>
      <c r="CO286" s="93"/>
      <c r="CP286" s="93"/>
      <c r="CQ286" s="93"/>
      <c r="CR286" s="93"/>
      <c r="CS286" s="93"/>
      <c r="CT286" s="93"/>
      <c r="CU286" s="93"/>
      <c r="CV286" s="93"/>
      <c r="CW286" s="93"/>
      <c r="CX286" s="93"/>
      <c r="CY286" s="93"/>
      <c r="CZ286" s="93"/>
      <c r="DA286" s="93"/>
      <c r="DB286" s="93"/>
      <c r="DC286" s="93"/>
      <c r="DD286" s="93"/>
      <c r="DE286" s="93"/>
      <c r="DF286" s="93"/>
      <c r="DG286" s="93"/>
      <c r="DH286" s="93"/>
      <c r="DI286" s="93"/>
      <c r="DJ286" s="93"/>
      <c r="DK286" s="93"/>
      <c r="DL286" s="93"/>
      <c r="DM286" s="93"/>
      <c r="DN286" s="93"/>
      <c r="DO286" s="93"/>
      <c r="DP286" s="93"/>
      <c r="DQ286" s="93"/>
      <c r="DR286" s="93"/>
      <c r="DS286" s="93"/>
      <c r="DT286" s="93"/>
      <c r="DU286" s="93"/>
      <c r="DV286" s="93"/>
      <c r="DW286" s="93"/>
      <c r="DX286" s="93"/>
      <c r="DY286" s="93"/>
      <c r="DZ286" s="93"/>
      <c r="EA286" s="93"/>
      <c r="EB286" s="93"/>
      <c r="EC286" s="93"/>
      <c r="ED286" s="93"/>
      <c r="EE286" s="93"/>
      <c r="EF286" s="93"/>
      <c r="EG286" s="93"/>
      <c r="EH286" s="93"/>
      <c r="EI286" s="93"/>
      <c r="EJ286" s="93"/>
      <c r="EK286" s="93"/>
      <c r="EL286" s="93"/>
      <c r="EM286" s="93"/>
      <c r="EN286" s="93"/>
      <c r="EO286" s="93"/>
      <c r="EP286" s="93"/>
      <c r="EQ286" s="93"/>
      <c r="ER286" s="93"/>
      <c r="ES286" s="93"/>
      <c r="ET286" s="93"/>
      <c r="EU286" s="93"/>
      <c r="EV286" s="93"/>
      <c r="EW286" s="93"/>
      <c r="EX286" s="93"/>
      <c r="EY286" s="93"/>
      <c r="EZ286" s="93"/>
      <c r="FA286" s="93"/>
      <c r="FB286" s="93"/>
      <c r="FC286" s="93"/>
      <c r="FD286" s="93"/>
      <c r="FE286" s="93"/>
      <c r="FF286" s="93"/>
      <c r="FG286" s="93"/>
      <c r="FH286" s="93"/>
      <c r="FI286" s="93"/>
      <c r="FJ286" s="93"/>
      <c r="FK286" s="93"/>
      <c r="FL286" s="93"/>
      <c r="FM286" s="93"/>
      <c r="FN286" s="93"/>
      <c r="FO286" s="93"/>
      <c r="FP286" s="93"/>
      <c r="FQ286" s="93"/>
      <c r="FR286" s="93"/>
      <c r="FS286" s="93"/>
      <c r="FT286" s="93"/>
      <c r="FU286" s="93"/>
      <c r="FV286" s="93"/>
      <c r="FW286" s="93"/>
      <c r="FX286" s="93"/>
      <c r="FY286" s="93"/>
      <c r="FZ286" s="93"/>
      <c r="GA286" s="93"/>
      <c r="GB286" s="93"/>
      <c r="GC286" s="93"/>
      <c r="GD286" s="93"/>
      <c r="GE286" s="93"/>
      <c r="GF286" s="93"/>
      <c r="GG286" s="93"/>
      <c r="GH286" s="93">
        <v>0.33269720101781169</v>
      </c>
      <c r="GI286" s="93"/>
      <c r="GJ286" s="93"/>
      <c r="GK286" s="93"/>
      <c r="GL286" s="93"/>
      <c r="GM286" s="93"/>
      <c r="GN286" s="93"/>
      <c r="GO286" s="93"/>
      <c r="GP286" s="93"/>
      <c r="GQ286" s="93"/>
      <c r="GR286" s="93"/>
      <c r="GS286" s="93"/>
      <c r="GT286" s="93"/>
      <c r="GU286" s="93"/>
      <c r="GV286" s="93"/>
      <c r="GW286" s="93"/>
      <c r="GX286" s="93"/>
      <c r="GY286" s="93"/>
      <c r="GZ286" s="93"/>
      <c r="HA286" s="93"/>
      <c r="HB286" s="93"/>
      <c r="HC286" s="93"/>
      <c r="HD286" s="93"/>
      <c r="HE286" s="93"/>
      <c r="HF286" s="93"/>
      <c r="HG286" s="93"/>
    </row>
    <row r="287" spans="14:215" x14ac:dyDescent="0.2">
      <c r="N287" s="93" t="s">
        <v>404</v>
      </c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  <c r="BI287" s="93"/>
      <c r="BJ287" s="93"/>
      <c r="BK287" s="93"/>
      <c r="BL287" s="93"/>
      <c r="BM287" s="93"/>
      <c r="BN287" s="93"/>
      <c r="BO287" s="93"/>
      <c r="BP287" s="93"/>
      <c r="BQ287" s="93"/>
      <c r="BR287" s="93"/>
      <c r="BS287" s="93"/>
      <c r="BT287" s="93"/>
      <c r="BU287" s="93"/>
      <c r="BV287" s="93"/>
      <c r="BW287" s="93"/>
      <c r="BX287" s="93"/>
      <c r="BY287" s="93"/>
      <c r="BZ287" s="93"/>
      <c r="CA287" s="93"/>
      <c r="CB287" s="93"/>
      <c r="CC287" s="93"/>
      <c r="CD287" s="93"/>
      <c r="CE287" s="93"/>
      <c r="CF287" s="93"/>
      <c r="CG287" s="93"/>
      <c r="CH287" s="93"/>
      <c r="CI287" s="93"/>
      <c r="CJ287" s="93"/>
      <c r="CK287" s="93"/>
      <c r="CL287" s="93"/>
      <c r="CM287" s="93"/>
      <c r="CN287" s="93"/>
      <c r="CO287" s="93"/>
      <c r="CP287" s="93"/>
      <c r="CQ287" s="93"/>
      <c r="CR287" s="93"/>
      <c r="CS287" s="93"/>
      <c r="CT287" s="93"/>
      <c r="CU287" s="93"/>
      <c r="CV287" s="93"/>
      <c r="CW287" s="93"/>
      <c r="CX287" s="93"/>
      <c r="CY287" s="93"/>
      <c r="CZ287" s="93"/>
      <c r="DA287" s="93"/>
      <c r="DB287" s="93"/>
      <c r="DC287" s="93"/>
      <c r="DD287" s="93"/>
      <c r="DE287" s="93"/>
      <c r="DF287" s="93"/>
      <c r="DG287" s="93"/>
      <c r="DH287" s="93"/>
      <c r="DI287" s="93"/>
      <c r="DJ287" s="93"/>
      <c r="DK287" s="93"/>
      <c r="DL287" s="93"/>
      <c r="DM287" s="93"/>
      <c r="DN287" s="93"/>
      <c r="DO287" s="93"/>
      <c r="DP287" s="93"/>
      <c r="DQ287" s="93"/>
      <c r="DR287" s="93"/>
      <c r="DS287" s="93"/>
      <c r="DT287" s="93"/>
      <c r="DU287" s="93"/>
      <c r="DV287" s="93"/>
      <c r="DW287" s="93"/>
      <c r="DX287" s="93"/>
      <c r="DY287" s="93"/>
      <c r="DZ287" s="93"/>
      <c r="EA287" s="93"/>
      <c r="EB287" s="93"/>
      <c r="EC287" s="93"/>
      <c r="ED287" s="93"/>
      <c r="EE287" s="93"/>
      <c r="EF287" s="93"/>
      <c r="EG287" s="93"/>
      <c r="EH287" s="93"/>
      <c r="EI287" s="93"/>
      <c r="EJ287" s="93"/>
      <c r="EK287" s="93"/>
      <c r="EL287" s="93"/>
      <c r="EM287" s="93"/>
      <c r="EN287" s="93"/>
      <c r="EO287" s="93"/>
      <c r="EP287" s="93"/>
      <c r="EQ287" s="93"/>
      <c r="ER287" s="93"/>
      <c r="ES287" s="93"/>
      <c r="ET287" s="93"/>
      <c r="EU287" s="93"/>
      <c r="EV287" s="93"/>
      <c r="EW287" s="93"/>
      <c r="EX287" s="93"/>
      <c r="EY287" s="93"/>
      <c r="EZ287" s="93"/>
      <c r="FA287" s="93"/>
      <c r="FB287" s="93"/>
      <c r="FC287" s="93"/>
      <c r="FD287" s="93"/>
      <c r="FE287" s="93"/>
      <c r="FF287" s="93"/>
      <c r="FG287" s="93"/>
      <c r="FH287" s="93"/>
      <c r="FI287" s="93"/>
      <c r="FJ287" s="93"/>
      <c r="FK287" s="93"/>
      <c r="FL287" s="93"/>
      <c r="FM287" s="93"/>
      <c r="FN287" s="93"/>
      <c r="FO287" s="93"/>
      <c r="FP287" s="93"/>
      <c r="FQ287" s="93"/>
      <c r="FR287" s="93"/>
      <c r="FS287" s="93"/>
      <c r="FT287" s="93"/>
      <c r="FU287" s="93"/>
      <c r="FV287" s="93"/>
      <c r="FW287" s="93"/>
      <c r="FX287" s="93"/>
      <c r="FY287" s="93"/>
      <c r="FZ287" s="93"/>
      <c r="GA287" s="93"/>
      <c r="GB287" s="93"/>
      <c r="GC287" s="93"/>
      <c r="GD287" s="93"/>
      <c r="GE287" s="93"/>
      <c r="GF287" s="93"/>
      <c r="GG287" s="93"/>
      <c r="GH287" s="93"/>
      <c r="GI287" s="93">
        <v>0.33270082226438963</v>
      </c>
      <c r="GJ287" s="93"/>
      <c r="GK287" s="93"/>
      <c r="GL287" s="93"/>
      <c r="GM287" s="93"/>
      <c r="GN287" s="93"/>
      <c r="GO287" s="93"/>
      <c r="GP287" s="93"/>
      <c r="GQ287" s="93"/>
      <c r="GR287" s="93"/>
      <c r="GS287" s="93"/>
      <c r="GT287" s="93"/>
      <c r="GU287" s="93"/>
      <c r="GV287" s="93"/>
      <c r="GW287" s="93"/>
      <c r="GX287" s="93"/>
      <c r="GY287" s="93"/>
      <c r="GZ287" s="93"/>
      <c r="HA287" s="93"/>
      <c r="HB287" s="93"/>
      <c r="HC287" s="93"/>
      <c r="HD287" s="93"/>
      <c r="HE287" s="93"/>
      <c r="HF287" s="93"/>
      <c r="HG287" s="93"/>
    </row>
    <row r="288" spans="14:215" x14ac:dyDescent="0.2">
      <c r="N288" s="93" t="s">
        <v>405</v>
      </c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3"/>
      <c r="AS288" s="93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3"/>
      <c r="CO288" s="93"/>
      <c r="CP288" s="93"/>
      <c r="CQ288" s="93"/>
      <c r="CR288" s="93"/>
      <c r="CS288" s="93"/>
      <c r="CT288" s="93"/>
      <c r="CU288" s="93"/>
      <c r="CV288" s="93"/>
      <c r="CW288" s="93"/>
      <c r="CX288" s="93"/>
      <c r="CY288" s="93"/>
      <c r="CZ288" s="93"/>
      <c r="DA288" s="93"/>
      <c r="DB288" s="93"/>
      <c r="DC288" s="93"/>
      <c r="DD288" s="93"/>
      <c r="DE288" s="93"/>
      <c r="DF288" s="93"/>
      <c r="DG288" s="93"/>
      <c r="DH288" s="93"/>
      <c r="DI288" s="93"/>
      <c r="DJ288" s="93"/>
      <c r="DK288" s="93"/>
      <c r="DL288" s="93"/>
      <c r="DM288" s="93"/>
      <c r="DN288" s="93"/>
      <c r="DO288" s="93"/>
      <c r="DP288" s="93"/>
      <c r="DQ288" s="93"/>
      <c r="DR288" s="93"/>
      <c r="DS288" s="93"/>
      <c r="DT288" s="93"/>
      <c r="DU288" s="93"/>
      <c r="DV288" s="93"/>
      <c r="DW288" s="93"/>
      <c r="DX288" s="93"/>
      <c r="DY288" s="93"/>
      <c r="DZ288" s="93"/>
      <c r="EA288" s="93"/>
      <c r="EB288" s="93"/>
      <c r="EC288" s="93"/>
      <c r="ED288" s="93"/>
      <c r="EE288" s="93"/>
      <c r="EF288" s="93"/>
      <c r="EG288" s="93"/>
      <c r="EH288" s="93"/>
      <c r="EI288" s="93"/>
      <c r="EJ288" s="93"/>
      <c r="EK288" s="93"/>
      <c r="EL288" s="93"/>
      <c r="EM288" s="93"/>
      <c r="EN288" s="93"/>
      <c r="EO288" s="93"/>
      <c r="EP288" s="93"/>
      <c r="EQ288" s="93"/>
      <c r="ER288" s="93"/>
      <c r="ES288" s="93"/>
      <c r="ET288" s="93"/>
      <c r="EU288" s="93"/>
      <c r="EV288" s="93"/>
      <c r="EW288" s="93"/>
      <c r="EX288" s="93"/>
      <c r="EY288" s="93"/>
      <c r="EZ288" s="93"/>
      <c r="FA288" s="93"/>
      <c r="FB288" s="93"/>
      <c r="FC288" s="93"/>
      <c r="FD288" s="93"/>
      <c r="FE288" s="93"/>
      <c r="FF288" s="93"/>
      <c r="FG288" s="93"/>
      <c r="FH288" s="93"/>
      <c r="FI288" s="93"/>
      <c r="FJ288" s="93"/>
      <c r="FK288" s="93"/>
      <c r="FL288" s="93"/>
      <c r="FM288" s="93"/>
      <c r="FN288" s="93"/>
      <c r="FO288" s="93"/>
      <c r="FP288" s="93"/>
      <c r="FQ288" s="93"/>
      <c r="FR288" s="93"/>
      <c r="FS288" s="93"/>
      <c r="FT288" s="93"/>
      <c r="FU288" s="93"/>
      <c r="FV288" s="93"/>
      <c r="FW288" s="93"/>
      <c r="FX288" s="93"/>
      <c r="FY288" s="93"/>
      <c r="FZ288" s="93"/>
      <c r="GA288" s="93"/>
      <c r="GB288" s="93"/>
      <c r="GC288" s="93"/>
      <c r="GD288" s="93"/>
      <c r="GE288" s="93"/>
      <c r="GF288" s="93"/>
      <c r="GG288" s="93"/>
      <c r="GH288" s="93"/>
      <c r="GI288" s="93"/>
      <c r="GJ288" s="93">
        <v>0.33270440251572325</v>
      </c>
      <c r="GK288" s="93"/>
      <c r="GL288" s="93"/>
      <c r="GM288" s="93"/>
      <c r="GN288" s="93"/>
      <c r="GO288" s="93"/>
      <c r="GP288" s="93"/>
      <c r="GQ288" s="93"/>
      <c r="GR288" s="93"/>
      <c r="GS288" s="93"/>
      <c r="GT288" s="93"/>
      <c r="GU288" s="93"/>
      <c r="GV288" s="93"/>
      <c r="GW288" s="93"/>
      <c r="GX288" s="93"/>
      <c r="GY288" s="93"/>
      <c r="GZ288" s="93"/>
      <c r="HA288" s="93"/>
      <c r="HB288" s="93"/>
      <c r="HC288" s="93"/>
      <c r="HD288" s="93"/>
      <c r="HE288" s="93"/>
      <c r="HF288" s="93"/>
      <c r="HG288" s="93"/>
    </row>
    <row r="289" spans="14:215" x14ac:dyDescent="0.2">
      <c r="N289" s="93" t="s">
        <v>406</v>
      </c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3"/>
      <c r="CO289" s="93"/>
      <c r="CP289" s="93"/>
      <c r="CQ289" s="93"/>
      <c r="CR289" s="93"/>
      <c r="CS289" s="93"/>
      <c r="CT289" s="93"/>
      <c r="CU289" s="93"/>
      <c r="CV289" s="93"/>
      <c r="CW289" s="93"/>
      <c r="CX289" s="93"/>
      <c r="CY289" s="93"/>
      <c r="CZ289" s="93"/>
      <c r="DA289" s="93"/>
      <c r="DB289" s="93"/>
      <c r="DC289" s="93"/>
      <c r="DD289" s="93"/>
      <c r="DE289" s="93"/>
      <c r="DF289" s="93"/>
      <c r="DG289" s="93"/>
      <c r="DH289" s="93"/>
      <c r="DI289" s="93"/>
      <c r="DJ289" s="93"/>
      <c r="DK289" s="93"/>
      <c r="DL289" s="93"/>
      <c r="DM289" s="93"/>
      <c r="DN289" s="93"/>
      <c r="DO289" s="93"/>
      <c r="DP289" s="93"/>
      <c r="DQ289" s="93"/>
      <c r="DR289" s="93"/>
      <c r="DS289" s="93"/>
      <c r="DT289" s="93"/>
      <c r="DU289" s="93"/>
      <c r="DV289" s="93"/>
      <c r="DW289" s="93"/>
      <c r="DX289" s="93"/>
      <c r="DY289" s="93"/>
      <c r="DZ289" s="93"/>
      <c r="EA289" s="93"/>
      <c r="EB289" s="93"/>
      <c r="EC289" s="93"/>
      <c r="ED289" s="93"/>
      <c r="EE289" s="93"/>
      <c r="EF289" s="93"/>
      <c r="EG289" s="93"/>
      <c r="EH289" s="93"/>
      <c r="EI289" s="93"/>
      <c r="EJ289" s="93"/>
      <c r="EK289" s="93"/>
      <c r="EL289" s="93"/>
      <c r="EM289" s="93"/>
      <c r="EN289" s="93"/>
      <c r="EO289" s="93"/>
      <c r="EP289" s="93"/>
      <c r="EQ289" s="93"/>
      <c r="ER289" s="93"/>
      <c r="ES289" s="93"/>
      <c r="ET289" s="93"/>
      <c r="EU289" s="93"/>
      <c r="EV289" s="93"/>
      <c r="EW289" s="93"/>
      <c r="EX289" s="93"/>
      <c r="EY289" s="93"/>
      <c r="EZ289" s="93"/>
      <c r="FA289" s="93"/>
      <c r="FB289" s="93"/>
      <c r="FC289" s="93"/>
      <c r="FD289" s="93"/>
      <c r="FE289" s="93"/>
      <c r="FF289" s="93"/>
      <c r="FG289" s="93"/>
      <c r="FH289" s="93"/>
      <c r="FI289" s="93"/>
      <c r="FJ289" s="93"/>
      <c r="FK289" s="93"/>
      <c r="FL289" s="93"/>
      <c r="FM289" s="93"/>
      <c r="FN289" s="93"/>
      <c r="FO289" s="93"/>
      <c r="FP289" s="93"/>
      <c r="FQ289" s="93"/>
      <c r="FR289" s="93"/>
      <c r="FS289" s="93"/>
      <c r="FT289" s="93"/>
      <c r="FU289" s="93"/>
      <c r="FV289" s="93"/>
      <c r="FW289" s="93"/>
      <c r="FX289" s="93"/>
      <c r="FY289" s="93"/>
      <c r="FZ289" s="93"/>
      <c r="GA289" s="93"/>
      <c r="GB289" s="93"/>
      <c r="GC289" s="93"/>
      <c r="GD289" s="93"/>
      <c r="GE289" s="93"/>
      <c r="GF289" s="93"/>
      <c r="GG289" s="93"/>
      <c r="GH289" s="93"/>
      <c r="GI289" s="93"/>
      <c r="GJ289" s="93"/>
      <c r="GK289" s="93">
        <v>0.33270794246404001</v>
      </c>
      <c r="GL289" s="93"/>
      <c r="GM289" s="93"/>
      <c r="GN289" s="93"/>
      <c r="GO289" s="93"/>
      <c r="GP289" s="93"/>
      <c r="GQ289" s="93"/>
      <c r="GR289" s="93"/>
      <c r="GS289" s="93"/>
      <c r="GT289" s="93"/>
      <c r="GU289" s="93"/>
      <c r="GV289" s="93"/>
      <c r="GW289" s="93"/>
      <c r="GX289" s="93"/>
      <c r="GY289" s="93"/>
      <c r="GZ289" s="93"/>
      <c r="HA289" s="93"/>
      <c r="HB289" s="93"/>
      <c r="HC289" s="93"/>
      <c r="HD289" s="93"/>
      <c r="HE289" s="93"/>
      <c r="HF289" s="93"/>
      <c r="HG289" s="93"/>
    </row>
    <row r="290" spans="14:215" x14ac:dyDescent="0.2">
      <c r="N290" s="93" t="s">
        <v>407</v>
      </c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3"/>
      <c r="AS290" s="93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3"/>
      <c r="CO290" s="93"/>
      <c r="CP290" s="93"/>
      <c r="CQ290" s="93"/>
      <c r="CR290" s="93"/>
      <c r="CS290" s="93"/>
      <c r="CT290" s="93"/>
      <c r="CU290" s="93"/>
      <c r="CV290" s="93"/>
      <c r="CW290" s="93"/>
      <c r="CX290" s="93"/>
      <c r="CY290" s="93"/>
      <c r="CZ290" s="93"/>
      <c r="DA290" s="93"/>
      <c r="DB290" s="93"/>
      <c r="DC290" s="93"/>
      <c r="DD290" s="93"/>
      <c r="DE290" s="93"/>
      <c r="DF290" s="93"/>
      <c r="DG290" s="93"/>
      <c r="DH290" s="93"/>
      <c r="DI290" s="93"/>
      <c r="DJ290" s="93"/>
      <c r="DK290" s="93"/>
      <c r="DL290" s="93"/>
      <c r="DM290" s="93"/>
      <c r="DN290" s="93"/>
      <c r="DO290" s="93"/>
      <c r="DP290" s="93"/>
      <c r="DQ290" s="93"/>
      <c r="DR290" s="93"/>
      <c r="DS290" s="93"/>
      <c r="DT290" s="93"/>
      <c r="DU290" s="93"/>
      <c r="DV290" s="93"/>
      <c r="DW290" s="93"/>
      <c r="DX290" s="93"/>
      <c r="DY290" s="93"/>
      <c r="DZ290" s="93"/>
      <c r="EA290" s="93"/>
      <c r="EB290" s="93"/>
      <c r="EC290" s="93"/>
      <c r="ED290" s="93"/>
      <c r="EE290" s="93"/>
      <c r="EF290" s="93"/>
      <c r="EG290" s="93"/>
      <c r="EH290" s="93"/>
      <c r="EI290" s="93"/>
      <c r="EJ290" s="93"/>
      <c r="EK290" s="93"/>
      <c r="EL290" s="93"/>
      <c r="EM290" s="93"/>
      <c r="EN290" s="93"/>
      <c r="EO290" s="93"/>
      <c r="EP290" s="93"/>
      <c r="EQ290" s="93"/>
      <c r="ER290" s="93"/>
      <c r="ES290" s="93"/>
      <c r="ET290" s="93"/>
      <c r="EU290" s="93"/>
      <c r="EV290" s="93"/>
      <c r="EW290" s="93"/>
      <c r="EX290" s="93"/>
      <c r="EY290" s="93"/>
      <c r="EZ290" s="93"/>
      <c r="FA290" s="93"/>
      <c r="FB290" s="93"/>
      <c r="FC290" s="93"/>
      <c r="FD290" s="93"/>
      <c r="FE290" s="93"/>
      <c r="FF290" s="93"/>
      <c r="FG290" s="93"/>
      <c r="FH290" s="93"/>
      <c r="FI290" s="93"/>
      <c r="FJ290" s="93"/>
      <c r="FK290" s="93"/>
      <c r="FL290" s="93"/>
      <c r="FM290" s="93"/>
      <c r="FN290" s="93"/>
      <c r="FO290" s="93"/>
      <c r="FP290" s="93"/>
      <c r="FQ290" s="93"/>
      <c r="FR290" s="93"/>
      <c r="FS290" s="93"/>
      <c r="FT290" s="93"/>
      <c r="FU290" s="93"/>
      <c r="FV290" s="93"/>
      <c r="FW290" s="93"/>
      <c r="FX290" s="93"/>
      <c r="FY290" s="93"/>
      <c r="FZ290" s="93"/>
      <c r="GA290" s="93"/>
      <c r="GB290" s="93"/>
      <c r="GC290" s="93"/>
      <c r="GD290" s="93"/>
      <c r="GE290" s="93"/>
      <c r="GF290" s="93"/>
      <c r="GG290" s="93"/>
      <c r="GH290" s="93"/>
      <c r="GI290" s="93"/>
      <c r="GJ290" s="93"/>
      <c r="GK290" s="93"/>
      <c r="GL290" s="93">
        <v>0.33271144278606968</v>
      </c>
      <c r="GM290" s="93"/>
      <c r="GN290" s="93"/>
      <c r="GO290" s="93"/>
      <c r="GP290" s="93"/>
      <c r="GQ290" s="93"/>
      <c r="GR290" s="93"/>
      <c r="GS290" s="93"/>
      <c r="GT290" s="93"/>
      <c r="GU290" s="93"/>
      <c r="GV290" s="93"/>
      <c r="GW290" s="93"/>
      <c r="GX290" s="93"/>
      <c r="GY290" s="93"/>
      <c r="GZ290" s="93"/>
      <c r="HA290" s="93"/>
      <c r="HB290" s="93"/>
      <c r="HC290" s="93"/>
      <c r="HD290" s="93"/>
      <c r="HE290" s="93"/>
      <c r="HF290" s="93"/>
      <c r="HG290" s="93"/>
    </row>
    <row r="291" spans="14:215" x14ac:dyDescent="0.2">
      <c r="N291" s="93" t="s">
        <v>408</v>
      </c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3"/>
      <c r="CO291" s="93"/>
      <c r="CP291" s="93"/>
      <c r="CQ291" s="93"/>
      <c r="CR291" s="93"/>
      <c r="CS291" s="93"/>
      <c r="CT291" s="93"/>
      <c r="CU291" s="93"/>
      <c r="CV291" s="93"/>
      <c r="CW291" s="93"/>
      <c r="CX291" s="93"/>
      <c r="CY291" s="93"/>
      <c r="CZ291" s="93"/>
      <c r="DA291" s="93"/>
      <c r="DB291" s="93"/>
      <c r="DC291" s="93"/>
      <c r="DD291" s="93"/>
      <c r="DE291" s="93"/>
      <c r="DF291" s="93"/>
      <c r="DG291" s="93"/>
      <c r="DH291" s="93"/>
      <c r="DI291" s="93"/>
      <c r="DJ291" s="93"/>
      <c r="DK291" s="93"/>
      <c r="DL291" s="93"/>
      <c r="DM291" s="93"/>
      <c r="DN291" s="93"/>
      <c r="DO291" s="93"/>
      <c r="DP291" s="93"/>
      <c r="DQ291" s="93"/>
      <c r="DR291" s="93"/>
      <c r="DS291" s="93"/>
      <c r="DT291" s="93"/>
      <c r="DU291" s="93"/>
      <c r="DV291" s="93"/>
      <c r="DW291" s="93"/>
      <c r="DX291" s="93"/>
      <c r="DY291" s="93"/>
      <c r="DZ291" s="93"/>
      <c r="EA291" s="93"/>
      <c r="EB291" s="93"/>
      <c r="EC291" s="93"/>
      <c r="ED291" s="93"/>
      <c r="EE291" s="93"/>
      <c r="EF291" s="93"/>
      <c r="EG291" s="93"/>
      <c r="EH291" s="93"/>
      <c r="EI291" s="93"/>
      <c r="EJ291" s="93"/>
      <c r="EK291" s="93"/>
      <c r="EL291" s="93"/>
      <c r="EM291" s="93"/>
      <c r="EN291" s="93"/>
      <c r="EO291" s="93"/>
      <c r="EP291" s="93"/>
      <c r="EQ291" s="93"/>
      <c r="ER291" s="93"/>
      <c r="ES291" s="93"/>
      <c r="ET291" s="93"/>
      <c r="EU291" s="93"/>
      <c r="EV291" s="93"/>
      <c r="EW291" s="93"/>
      <c r="EX291" s="93"/>
      <c r="EY291" s="93"/>
      <c r="EZ291" s="93"/>
      <c r="FA291" s="93"/>
      <c r="FB291" s="93"/>
      <c r="FC291" s="93"/>
      <c r="FD291" s="93"/>
      <c r="FE291" s="93"/>
      <c r="FF291" s="93"/>
      <c r="FG291" s="93"/>
      <c r="FH291" s="93"/>
      <c r="FI291" s="93"/>
      <c r="FJ291" s="93"/>
      <c r="FK291" s="93"/>
      <c r="FL291" s="93"/>
      <c r="FM291" s="93"/>
      <c r="FN291" s="93"/>
      <c r="FO291" s="93"/>
      <c r="FP291" s="93"/>
      <c r="FQ291" s="93"/>
      <c r="FR291" s="93"/>
      <c r="FS291" s="93"/>
      <c r="FT291" s="93"/>
      <c r="FU291" s="93"/>
      <c r="FV291" s="93"/>
      <c r="FW291" s="93"/>
      <c r="FX291" s="93"/>
      <c r="FY291" s="93"/>
      <c r="FZ291" s="93"/>
      <c r="GA291" s="93"/>
      <c r="GB291" s="93"/>
      <c r="GC291" s="93"/>
      <c r="GD291" s="93"/>
      <c r="GE291" s="93"/>
      <c r="GF291" s="93"/>
      <c r="GG291" s="93"/>
      <c r="GH291" s="93"/>
      <c r="GI291" s="93"/>
      <c r="GJ291" s="93"/>
      <c r="GK291" s="93"/>
      <c r="GL291" s="93"/>
      <c r="GM291" s="93">
        <v>0.3327149041434756</v>
      </c>
      <c r="GN291" s="93"/>
      <c r="GO291" s="93"/>
      <c r="GP291" s="93"/>
      <c r="GQ291" s="93"/>
      <c r="GR291" s="93"/>
      <c r="GS291" s="93"/>
      <c r="GT291" s="93"/>
      <c r="GU291" s="93"/>
      <c r="GV291" s="93"/>
      <c r="GW291" s="93"/>
      <c r="GX291" s="93"/>
      <c r="GY291" s="93"/>
      <c r="GZ291" s="93"/>
      <c r="HA291" s="93"/>
      <c r="HB291" s="93"/>
      <c r="HC291" s="93"/>
      <c r="HD291" s="93"/>
      <c r="HE291" s="93"/>
      <c r="HF291" s="93"/>
      <c r="HG291" s="93"/>
    </row>
    <row r="292" spans="14:215" x14ac:dyDescent="0.2">
      <c r="N292" s="93" t="s">
        <v>409</v>
      </c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3"/>
      <c r="AS292" s="93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3"/>
      <c r="CO292" s="93"/>
      <c r="CP292" s="93"/>
      <c r="CQ292" s="93"/>
      <c r="CR292" s="93"/>
      <c r="CS292" s="93"/>
      <c r="CT292" s="93"/>
      <c r="CU292" s="93"/>
      <c r="CV292" s="93"/>
      <c r="CW292" s="93"/>
      <c r="CX292" s="93"/>
      <c r="CY292" s="93"/>
      <c r="CZ292" s="93"/>
      <c r="DA292" s="93"/>
      <c r="DB292" s="93"/>
      <c r="DC292" s="93"/>
      <c r="DD292" s="93"/>
      <c r="DE292" s="93"/>
      <c r="DF292" s="93"/>
      <c r="DG292" s="93"/>
      <c r="DH292" s="93"/>
      <c r="DI292" s="93"/>
      <c r="DJ292" s="93"/>
      <c r="DK292" s="93"/>
      <c r="DL292" s="93"/>
      <c r="DM292" s="93"/>
      <c r="DN292" s="93"/>
      <c r="DO292" s="93"/>
      <c r="DP292" s="93"/>
      <c r="DQ292" s="93"/>
      <c r="DR292" s="93"/>
      <c r="DS292" s="93"/>
      <c r="DT292" s="93"/>
      <c r="DU292" s="93"/>
      <c r="DV292" s="93"/>
      <c r="DW292" s="93"/>
      <c r="DX292" s="93"/>
      <c r="DY292" s="93"/>
      <c r="DZ292" s="93"/>
      <c r="EA292" s="93"/>
      <c r="EB292" s="93"/>
      <c r="EC292" s="93"/>
      <c r="ED292" s="93"/>
      <c r="EE292" s="93"/>
      <c r="EF292" s="93"/>
      <c r="EG292" s="93"/>
      <c r="EH292" s="93"/>
      <c r="EI292" s="93"/>
      <c r="EJ292" s="93"/>
      <c r="EK292" s="93"/>
      <c r="EL292" s="93"/>
      <c r="EM292" s="93"/>
      <c r="EN292" s="93"/>
      <c r="EO292" s="93"/>
      <c r="EP292" s="93"/>
      <c r="EQ292" s="93"/>
      <c r="ER292" s="93"/>
      <c r="ES292" s="93"/>
      <c r="ET292" s="93"/>
      <c r="EU292" s="93"/>
      <c r="EV292" s="93"/>
      <c r="EW292" s="93"/>
      <c r="EX292" s="93"/>
      <c r="EY292" s="93"/>
      <c r="EZ292" s="93"/>
      <c r="FA292" s="93"/>
      <c r="FB292" s="93"/>
      <c r="FC292" s="93"/>
      <c r="FD292" s="93"/>
      <c r="FE292" s="93"/>
      <c r="FF292" s="93"/>
      <c r="FG292" s="93"/>
      <c r="FH292" s="93"/>
      <c r="FI292" s="93"/>
      <c r="FJ292" s="93"/>
      <c r="FK292" s="93"/>
      <c r="FL292" s="93"/>
      <c r="FM292" s="93"/>
      <c r="FN292" s="93"/>
      <c r="FO292" s="93"/>
      <c r="FP292" s="93"/>
      <c r="FQ292" s="93"/>
      <c r="FR292" s="93"/>
      <c r="FS292" s="93"/>
      <c r="FT292" s="93"/>
      <c r="FU292" s="93"/>
      <c r="FV292" s="93"/>
      <c r="FW292" s="93"/>
      <c r="FX292" s="93"/>
      <c r="FY292" s="93"/>
      <c r="FZ292" s="93"/>
      <c r="GA292" s="93"/>
      <c r="GB292" s="93"/>
      <c r="GC292" s="93"/>
      <c r="GD292" s="93"/>
      <c r="GE292" s="93"/>
      <c r="GF292" s="93"/>
      <c r="GG292" s="93"/>
      <c r="GH292" s="93"/>
      <c r="GI292" s="93"/>
      <c r="GJ292" s="93"/>
      <c r="GK292" s="93"/>
      <c r="GL292" s="93"/>
      <c r="GM292" s="93"/>
      <c r="GN292" s="93">
        <v>0.33271832718327182</v>
      </c>
      <c r="GO292" s="93"/>
      <c r="GP292" s="93"/>
      <c r="GQ292" s="93"/>
      <c r="GR292" s="93"/>
      <c r="GS292" s="93"/>
      <c r="GT292" s="93"/>
      <c r="GU292" s="93"/>
      <c r="GV292" s="93"/>
      <c r="GW292" s="93"/>
      <c r="GX292" s="93"/>
      <c r="GY292" s="93"/>
      <c r="GZ292" s="93"/>
      <c r="HA292" s="93"/>
      <c r="HB292" s="93"/>
      <c r="HC292" s="93"/>
      <c r="HD292" s="93"/>
      <c r="HE292" s="93"/>
      <c r="HF292" s="93"/>
      <c r="HG292" s="93"/>
    </row>
    <row r="293" spans="14:215" x14ac:dyDescent="0.2">
      <c r="N293" s="93" t="s">
        <v>410</v>
      </c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3"/>
      <c r="CO293" s="93"/>
      <c r="CP293" s="93"/>
      <c r="CQ293" s="93"/>
      <c r="CR293" s="93"/>
      <c r="CS293" s="93"/>
      <c r="CT293" s="93"/>
      <c r="CU293" s="93"/>
      <c r="CV293" s="93"/>
      <c r="CW293" s="93"/>
      <c r="CX293" s="93"/>
      <c r="CY293" s="93"/>
      <c r="CZ293" s="93"/>
      <c r="DA293" s="93"/>
      <c r="DB293" s="93"/>
      <c r="DC293" s="93"/>
      <c r="DD293" s="93"/>
      <c r="DE293" s="93"/>
      <c r="DF293" s="93"/>
      <c r="DG293" s="93"/>
      <c r="DH293" s="93"/>
      <c r="DI293" s="93"/>
      <c r="DJ293" s="93"/>
      <c r="DK293" s="93"/>
      <c r="DL293" s="93"/>
      <c r="DM293" s="93"/>
      <c r="DN293" s="93"/>
      <c r="DO293" s="93"/>
      <c r="DP293" s="93"/>
      <c r="DQ293" s="93"/>
      <c r="DR293" s="93"/>
      <c r="DS293" s="93"/>
      <c r="DT293" s="93"/>
      <c r="DU293" s="93"/>
      <c r="DV293" s="93"/>
      <c r="DW293" s="93"/>
      <c r="DX293" s="93"/>
      <c r="DY293" s="93"/>
      <c r="DZ293" s="93"/>
      <c r="EA293" s="93"/>
      <c r="EB293" s="93"/>
      <c r="EC293" s="93"/>
      <c r="ED293" s="93"/>
      <c r="EE293" s="93"/>
      <c r="EF293" s="93"/>
      <c r="EG293" s="93"/>
      <c r="EH293" s="93"/>
      <c r="EI293" s="93"/>
      <c r="EJ293" s="93"/>
      <c r="EK293" s="93"/>
      <c r="EL293" s="93"/>
      <c r="EM293" s="93"/>
      <c r="EN293" s="93"/>
      <c r="EO293" s="93"/>
      <c r="EP293" s="93"/>
      <c r="EQ293" s="93"/>
      <c r="ER293" s="93"/>
      <c r="ES293" s="93"/>
      <c r="ET293" s="93"/>
      <c r="EU293" s="93"/>
      <c r="EV293" s="93"/>
      <c r="EW293" s="93"/>
      <c r="EX293" s="93"/>
      <c r="EY293" s="93"/>
      <c r="EZ293" s="93"/>
      <c r="FA293" s="93"/>
      <c r="FB293" s="93"/>
      <c r="FC293" s="93"/>
      <c r="FD293" s="93"/>
      <c r="FE293" s="93"/>
      <c r="FF293" s="93"/>
      <c r="FG293" s="93"/>
      <c r="FH293" s="93"/>
      <c r="FI293" s="93"/>
      <c r="FJ293" s="93"/>
      <c r="FK293" s="93"/>
      <c r="FL293" s="93"/>
      <c r="FM293" s="93"/>
      <c r="FN293" s="93"/>
      <c r="FO293" s="93"/>
      <c r="FP293" s="93"/>
      <c r="FQ293" s="93"/>
      <c r="FR293" s="93"/>
      <c r="FS293" s="93"/>
      <c r="FT293" s="93"/>
      <c r="FU293" s="93"/>
      <c r="FV293" s="93"/>
      <c r="FW293" s="93"/>
      <c r="FX293" s="93"/>
      <c r="FY293" s="93"/>
      <c r="FZ293" s="93"/>
      <c r="GA293" s="93"/>
      <c r="GB293" s="93"/>
      <c r="GC293" s="93"/>
      <c r="GD293" s="93"/>
      <c r="GE293" s="93"/>
      <c r="GF293" s="93"/>
      <c r="GG293" s="93"/>
      <c r="GH293" s="93"/>
      <c r="GI293" s="93"/>
      <c r="GJ293" s="93"/>
      <c r="GK293" s="93"/>
      <c r="GL293" s="93"/>
      <c r="GM293" s="93"/>
      <c r="GN293" s="93"/>
      <c r="GO293" s="93">
        <v>0.3327217125382263</v>
      </c>
      <c r="GP293" s="93"/>
      <c r="GQ293" s="93"/>
      <c r="GR293" s="93"/>
      <c r="GS293" s="93"/>
      <c r="GT293" s="93"/>
      <c r="GU293" s="93"/>
      <c r="GV293" s="93"/>
      <c r="GW293" s="93"/>
      <c r="GX293" s="93"/>
      <c r="GY293" s="93"/>
      <c r="GZ293" s="93"/>
      <c r="HA293" s="93"/>
      <c r="HB293" s="93"/>
      <c r="HC293" s="93"/>
      <c r="HD293" s="93"/>
      <c r="HE293" s="93"/>
      <c r="HF293" s="93"/>
      <c r="HG293" s="93"/>
    </row>
    <row r="294" spans="14:215" x14ac:dyDescent="0.2">
      <c r="N294" s="93" t="s">
        <v>411</v>
      </c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3"/>
      <c r="AS294" s="93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3"/>
      <c r="CO294" s="93"/>
      <c r="CP294" s="93"/>
      <c r="CQ294" s="93"/>
      <c r="CR294" s="93"/>
      <c r="CS294" s="93"/>
      <c r="CT294" s="93"/>
      <c r="CU294" s="93"/>
      <c r="CV294" s="93"/>
      <c r="CW294" s="93"/>
      <c r="CX294" s="93"/>
      <c r="CY294" s="93"/>
      <c r="CZ294" s="93"/>
      <c r="DA294" s="93"/>
      <c r="DB294" s="93"/>
      <c r="DC294" s="93"/>
      <c r="DD294" s="93"/>
      <c r="DE294" s="93"/>
      <c r="DF294" s="93"/>
      <c r="DG294" s="93"/>
      <c r="DH294" s="93"/>
      <c r="DI294" s="93"/>
      <c r="DJ294" s="93"/>
      <c r="DK294" s="93"/>
      <c r="DL294" s="93"/>
      <c r="DM294" s="93"/>
      <c r="DN294" s="93"/>
      <c r="DO294" s="93"/>
      <c r="DP294" s="93"/>
      <c r="DQ294" s="93"/>
      <c r="DR294" s="93"/>
      <c r="DS294" s="93"/>
      <c r="DT294" s="93"/>
      <c r="DU294" s="93"/>
      <c r="DV294" s="93"/>
      <c r="DW294" s="93"/>
      <c r="DX294" s="93"/>
      <c r="DY294" s="93"/>
      <c r="DZ294" s="93"/>
      <c r="EA294" s="93"/>
      <c r="EB294" s="93"/>
      <c r="EC294" s="93"/>
      <c r="ED294" s="93"/>
      <c r="EE294" s="93"/>
      <c r="EF294" s="93"/>
      <c r="EG294" s="93"/>
      <c r="EH294" s="93"/>
      <c r="EI294" s="93"/>
      <c r="EJ294" s="93"/>
      <c r="EK294" s="93"/>
      <c r="EL294" s="93"/>
      <c r="EM294" s="93"/>
      <c r="EN294" s="93"/>
      <c r="EO294" s="93"/>
      <c r="EP294" s="93"/>
      <c r="EQ294" s="93"/>
      <c r="ER294" s="93"/>
      <c r="ES294" s="93"/>
      <c r="ET294" s="93"/>
      <c r="EU294" s="93"/>
      <c r="EV294" s="93"/>
      <c r="EW294" s="93"/>
      <c r="EX294" s="93"/>
      <c r="EY294" s="93"/>
      <c r="EZ294" s="93"/>
      <c r="FA294" s="93"/>
      <c r="FB294" s="93"/>
      <c r="FC294" s="93"/>
      <c r="FD294" s="93"/>
      <c r="FE294" s="93"/>
      <c r="FF294" s="93"/>
      <c r="FG294" s="93"/>
      <c r="FH294" s="93"/>
      <c r="FI294" s="93"/>
      <c r="FJ294" s="93"/>
      <c r="FK294" s="93"/>
      <c r="FL294" s="93"/>
      <c r="FM294" s="93"/>
      <c r="FN294" s="93"/>
      <c r="FO294" s="93"/>
      <c r="FP294" s="93"/>
      <c r="FQ294" s="93"/>
      <c r="FR294" s="93"/>
      <c r="FS294" s="93"/>
      <c r="FT294" s="93"/>
      <c r="FU294" s="93"/>
      <c r="FV294" s="93"/>
      <c r="FW294" s="93"/>
      <c r="FX294" s="93"/>
      <c r="FY294" s="93"/>
      <c r="FZ294" s="93"/>
      <c r="GA294" s="93"/>
      <c r="GB294" s="93"/>
      <c r="GC294" s="93"/>
      <c r="GD294" s="93"/>
      <c r="GE294" s="93"/>
      <c r="GF294" s="93"/>
      <c r="GG294" s="93"/>
      <c r="GH294" s="93"/>
      <c r="GI294" s="93"/>
      <c r="GJ294" s="93"/>
      <c r="GK294" s="93"/>
      <c r="GL294" s="93"/>
      <c r="GM294" s="93"/>
      <c r="GN294" s="93"/>
      <c r="GO294" s="93"/>
      <c r="GP294" s="93">
        <v>0.33272506082725062</v>
      </c>
      <c r="GQ294" s="93"/>
      <c r="GR294" s="93"/>
      <c r="GS294" s="93"/>
      <c r="GT294" s="93"/>
      <c r="GU294" s="93"/>
      <c r="GV294" s="93"/>
      <c r="GW294" s="93"/>
      <c r="GX294" s="93"/>
      <c r="GY294" s="93"/>
      <c r="GZ294" s="93"/>
      <c r="HA294" s="93"/>
      <c r="HB294" s="93"/>
      <c r="HC294" s="93"/>
      <c r="HD294" s="93"/>
      <c r="HE294" s="93"/>
      <c r="HF294" s="93"/>
      <c r="HG294" s="93"/>
    </row>
    <row r="295" spans="14:215" x14ac:dyDescent="0.2">
      <c r="N295" s="93" t="s">
        <v>412</v>
      </c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3"/>
      <c r="CO295" s="93"/>
      <c r="CP295" s="93"/>
      <c r="CQ295" s="93"/>
      <c r="CR295" s="93"/>
      <c r="CS295" s="93"/>
      <c r="CT295" s="93"/>
      <c r="CU295" s="93"/>
      <c r="CV295" s="93"/>
      <c r="CW295" s="93"/>
      <c r="CX295" s="93"/>
      <c r="CY295" s="93"/>
      <c r="CZ295" s="93"/>
      <c r="DA295" s="93"/>
      <c r="DB295" s="93"/>
      <c r="DC295" s="93"/>
      <c r="DD295" s="93"/>
      <c r="DE295" s="93"/>
      <c r="DF295" s="93"/>
      <c r="DG295" s="93"/>
      <c r="DH295" s="93"/>
      <c r="DI295" s="93"/>
      <c r="DJ295" s="93"/>
      <c r="DK295" s="93"/>
      <c r="DL295" s="93"/>
      <c r="DM295" s="93"/>
      <c r="DN295" s="93"/>
      <c r="DO295" s="93"/>
      <c r="DP295" s="93"/>
      <c r="DQ295" s="93"/>
      <c r="DR295" s="93"/>
      <c r="DS295" s="93"/>
      <c r="DT295" s="93"/>
      <c r="DU295" s="93"/>
      <c r="DV295" s="93"/>
      <c r="DW295" s="93"/>
      <c r="DX295" s="93"/>
      <c r="DY295" s="93"/>
      <c r="DZ295" s="93"/>
      <c r="EA295" s="93"/>
      <c r="EB295" s="93"/>
      <c r="EC295" s="93"/>
      <c r="ED295" s="93"/>
      <c r="EE295" s="93"/>
      <c r="EF295" s="93"/>
      <c r="EG295" s="93"/>
      <c r="EH295" s="93"/>
      <c r="EI295" s="93"/>
      <c r="EJ295" s="93"/>
      <c r="EK295" s="93"/>
      <c r="EL295" s="93"/>
      <c r="EM295" s="93"/>
      <c r="EN295" s="93"/>
      <c r="EO295" s="93"/>
      <c r="EP295" s="93"/>
      <c r="EQ295" s="93"/>
      <c r="ER295" s="93"/>
      <c r="ES295" s="93"/>
      <c r="ET295" s="93"/>
      <c r="EU295" s="93"/>
      <c r="EV295" s="93"/>
      <c r="EW295" s="93"/>
      <c r="EX295" s="93"/>
      <c r="EY295" s="93"/>
      <c r="EZ295" s="93"/>
      <c r="FA295" s="93"/>
      <c r="FB295" s="93"/>
      <c r="FC295" s="93"/>
      <c r="FD295" s="93"/>
      <c r="FE295" s="93"/>
      <c r="FF295" s="93"/>
      <c r="FG295" s="93"/>
      <c r="FH295" s="93"/>
      <c r="FI295" s="93"/>
      <c r="FJ295" s="93"/>
      <c r="FK295" s="93"/>
      <c r="FL295" s="93"/>
      <c r="FM295" s="93"/>
      <c r="FN295" s="93"/>
      <c r="FO295" s="93"/>
      <c r="FP295" s="93"/>
      <c r="FQ295" s="93"/>
      <c r="FR295" s="93"/>
      <c r="FS295" s="93"/>
      <c r="FT295" s="93"/>
      <c r="FU295" s="93"/>
      <c r="FV295" s="93"/>
      <c r="FW295" s="93"/>
      <c r="FX295" s="93"/>
      <c r="FY295" s="93"/>
      <c r="FZ295" s="93"/>
      <c r="GA295" s="93"/>
      <c r="GB295" s="93"/>
      <c r="GC295" s="93"/>
      <c r="GD295" s="93"/>
      <c r="GE295" s="93"/>
      <c r="GF295" s="93"/>
      <c r="GG295" s="93"/>
      <c r="GH295" s="93"/>
      <c r="GI295" s="93"/>
      <c r="GJ295" s="93"/>
      <c r="GK295" s="93"/>
      <c r="GL295" s="93"/>
      <c r="GM295" s="93"/>
      <c r="GN295" s="93"/>
      <c r="GO295" s="93"/>
      <c r="GP295" s="93"/>
      <c r="GQ295" s="93">
        <v>0.33272837265577737</v>
      </c>
      <c r="GR295" s="93"/>
      <c r="GS295" s="93"/>
      <c r="GT295" s="93"/>
      <c r="GU295" s="93"/>
      <c r="GV295" s="93"/>
      <c r="GW295" s="93"/>
      <c r="GX295" s="93"/>
      <c r="GY295" s="93"/>
      <c r="GZ295" s="93"/>
      <c r="HA295" s="93"/>
      <c r="HB295" s="93"/>
      <c r="HC295" s="93"/>
      <c r="HD295" s="93"/>
      <c r="HE295" s="93"/>
      <c r="HF295" s="93"/>
      <c r="HG295" s="93"/>
    </row>
    <row r="296" spans="14:215" x14ac:dyDescent="0.2">
      <c r="N296" s="93" t="s">
        <v>413</v>
      </c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3"/>
      <c r="AS296" s="93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3"/>
      <c r="CO296" s="93"/>
      <c r="CP296" s="93"/>
      <c r="CQ296" s="93"/>
      <c r="CR296" s="93"/>
      <c r="CS296" s="93"/>
      <c r="CT296" s="93"/>
      <c r="CU296" s="93"/>
      <c r="CV296" s="93"/>
      <c r="CW296" s="93"/>
      <c r="CX296" s="93"/>
      <c r="CY296" s="93"/>
      <c r="CZ296" s="93"/>
      <c r="DA296" s="93"/>
      <c r="DB296" s="93"/>
      <c r="DC296" s="93"/>
      <c r="DD296" s="93"/>
      <c r="DE296" s="93"/>
      <c r="DF296" s="93"/>
      <c r="DG296" s="93"/>
      <c r="DH296" s="93"/>
      <c r="DI296" s="93"/>
      <c r="DJ296" s="93"/>
      <c r="DK296" s="93"/>
      <c r="DL296" s="93"/>
      <c r="DM296" s="93"/>
      <c r="DN296" s="93"/>
      <c r="DO296" s="93"/>
      <c r="DP296" s="93"/>
      <c r="DQ296" s="93"/>
      <c r="DR296" s="93"/>
      <c r="DS296" s="93"/>
      <c r="DT296" s="93"/>
      <c r="DU296" s="93"/>
      <c r="DV296" s="93"/>
      <c r="DW296" s="93"/>
      <c r="DX296" s="93"/>
      <c r="DY296" s="93"/>
      <c r="DZ296" s="93"/>
      <c r="EA296" s="93"/>
      <c r="EB296" s="93"/>
      <c r="EC296" s="93"/>
      <c r="ED296" s="93"/>
      <c r="EE296" s="93"/>
      <c r="EF296" s="93"/>
      <c r="EG296" s="93"/>
      <c r="EH296" s="93"/>
      <c r="EI296" s="93"/>
      <c r="EJ296" s="93"/>
      <c r="EK296" s="93"/>
      <c r="EL296" s="93"/>
      <c r="EM296" s="93"/>
      <c r="EN296" s="93"/>
      <c r="EO296" s="93"/>
      <c r="EP296" s="93"/>
      <c r="EQ296" s="93"/>
      <c r="ER296" s="93"/>
      <c r="ES296" s="93"/>
      <c r="ET296" s="93"/>
      <c r="EU296" s="93"/>
      <c r="EV296" s="93"/>
      <c r="EW296" s="93"/>
      <c r="EX296" s="93"/>
      <c r="EY296" s="93"/>
      <c r="EZ296" s="93"/>
      <c r="FA296" s="93"/>
      <c r="FB296" s="93"/>
      <c r="FC296" s="93"/>
      <c r="FD296" s="93"/>
      <c r="FE296" s="93"/>
      <c r="FF296" s="93"/>
      <c r="FG296" s="93"/>
      <c r="FH296" s="93"/>
      <c r="FI296" s="93"/>
      <c r="FJ296" s="93"/>
      <c r="FK296" s="93"/>
      <c r="FL296" s="93"/>
      <c r="FM296" s="93"/>
      <c r="FN296" s="93"/>
      <c r="FO296" s="93"/>
      <c r="FP296" s="93"/>
      <c r="FQ296" s="93"/>
      <c r="FR296" s="93"/>
      <c r="FS296" s="93"/>
      <c r="FT296" s="93"/>
      <c r="FU296" s="93"/>
      <c r="FV296" s="93"/>
      <c r="FW296" s="93"/>
      <c r="FX296" s="93"/>
      <c r="FY296" s="93"/>
      <c r="FZ296" s="93"/>
      <c r="GA296" s="93"/>
      <c r="GB296" s="93"/>
      <c r="GC296" s="93"/>
      <c r="GD296" s="93"/>
      <c r="GE296" s="93"/>
      <c r="GF296" s="93"/>
      <c r="GG296" s="93"/>
      <c r="GH296" s="93"/>
      <c r="GI296" s="93"/>
      <c r="GJ296" s="93"/>
      <c r="GK296" s="93"/>
      <c r="GL296" s="93"/>
      <c r="GM296" s="93"/>
      <c r="GN296" s="93"/>
      <c r="GO296" s="93"/>
      <c r="GP296" s="93"/>
      <c r="GQ296" s="93"/>
      <c r="GR296" s="93">
        <v>0.33273164861612514</v>
      </c>
      <c r="GS296" s="93"/>
      <c r="GT296" s="93"/>
      <c r="GU296" s="93"/>
      <c r="GV296" s="93"/>
      <c r="GW296" s="93"/>
      <c r="GX296" s="93"/>
      <c r="GY296" s="93"/>
      <c r="GZ296" s="93"/>
      <c r="HA296" s="93"/>
      <c r="HB296" s="93"/>
      <c r="HC296" s="93"/>
      <c r="HD296" s="93"/>
      <c r="HE296" s="93"/>
      <c r="HF296" s="93"/>
      <c r="HG296" s="93"/>
    </row>
    <row r="297" spans="14:215" x14ac:dyDescent="0.2">
      <c r="N297" s="93" t="s">
        <v>414</v>
      </c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3"/>
      <c r="CO297" s="93"/>
      <c r="CP297" s="93"/>
      <c r="CQ297" s="93"/>
      <c r="CR297" s="93"/>
      <c r="CS297" s="93"/>
      <c r="CT297" s="93"/>
      <c r="CU297" s="93"/>
      <c r="CV297" s="93"/>
      <c r="CW297" s="93"/>
      <c r="CX297" s="93"/>
      <c r="CY297" s="93"/>
      <c r="CZ297" s="93"/>
      <c r="DA297" s="93"/>
      <c r="DB297" s="93"/>
      <c r="DC297" s="93"/>
      <c r="DD297" s="93"/>
      <c r="DE297" s="93"/>
      <c r="DF297" s="93"/>
      <c r="DG297" s="93"/>
      <c r="DH297" s="93"/>
      <c r="DI297" s="93"/>
      <c r="DJ297" s="93"/>
      <c r="DK297" s="93"/>
      <c r="DL297" s="93"/>
      <c r="DM297" s="93"/>
      <c r="DN297" s="93"/>
      <c r="DO297" s="93"/>
      <c r="DP297" s="93"/>
      <c r="DQ297" s="93"/>
      <c r="DR297" s="93"/>
      <c r="DS297" s="93"/>
      <c r="DT297" s="93"/>
      <c r="DU297" s="93"/>
      <c r="DV297" s="93"/>
      <c r="DW297" s="93"/>
      <c r="DX297" s="93"/>
      <c r="DY297" s="93"/>
      <c r="DZ297" s="93"/>
      <c r="EA297" s="93"/>
      <c r="EB297" s="93"/>
      <c r="EC297" s="93"/>
      <c r="ED297" s="93"/>
      <c r="EE297" s="93"/>
      <c r="EF297" s="93"/>
      <c r="EG297" s="93"/>
      <c r="EH297" s="93"/>
      <c r="EI297" s="93"/>
      <c r="EJ297" s="93"/>
      <c r="EK297" s="93"/>
      <c r="EL297" s="93"/>
      <c r="EM297" s="93"/>
      <c r="EN297" s="93"/>
      <c r="EO297" s="93"/>
      <c r="EP297" s="93"/>
      <c r="EQ297" s="93"/>
      <c r="ER297" s="93"/>
      <c r="ES297" s="93"/>
      <c r="ET297" s="93"/>
      <c r="EU297" s="93"/>
      <c r="EV297" s="93"/>
      <c r="EW297" s="93"/>
      <c r="EX297" s="93"/>
      <c r="EY297" s="93"/>
      <c r="EZ297" s="93"/>
      <c r="FA297" s="93"/>
      <c r="FB297" s="93"/>
      <c r="FC297" s="93"/>
      <c r="FD297" s="93"/>
      <c r="FE297" s="93"/>
      <c r="FF297" s="93"/>
      <c r="FG297" s="93"/>
      <c r="FH297" s="93"/>
      <c r="FI297" s="93"/>
      <c r="FJ297" s="93"/>
      <c r="FK297" s="93"/>
      <c r="FL297" s="93"/>
      <c r="FM297" s="93"/>
      <c r="FN297" s="93"/>
      <c r="FO297" s="93"/>
      <c r="FP297" s="93"/>
      <c r="FQ297" s="93"/>
      <c r="FR297" s="93"/>
      <c r="FS297" s="93"/>
      <c r="FT297" s="93"/>
      <c r="FU297" s="93"/>
      <c r="FV297" s="93"/>
      <c r="FW297" s="93"/>
      <c r="FX297" s="93"/>
      <c r="FY297" s="93"/>
      <c r="FZ297" s="93"/>
      <c r="GA297" s="93"/>
      <c r="GB297" s="93"/>
      <c r="GC297" s="93"/>
      <c r="GD297" s="93"/>
      <c r="GE297" s="93"/>
      <c r="GF297" s="93"/>
      <c r="GG297" s="93"/>
      <c r="GH297" s="93"/>
      <c r="GI297" s="93"/>
      <c r="GJ297" s="93"/>
      <c r="GK297" s="93"/>
      <c r="GL297" s="93"/>
      <c r="GM297" s="93"/>
      <c r="GN297" s="93"/>
      <c r="GO297" s="93"/>
      <c r="GP297" s="93"/>
      <c r="GQ297" s="93"/>
      <c r="GR297" s="93"/>
      <c r="GS297" s="93">
        <v>0.33273488928785161</v>
      </c>
      <c r="GT297" s="93"/>
      <c r="GU297" s="93"/>
      <c r="GV297" s="93"/>
      <c r="GW297" s="93"/>
      <c r="GX297" s="93"/>
      <c r="GY297" s="93"/>
      <c r="GZ297" s="93"/>
      <c r="HA297" s="93"/>
      <c r="HB297" s="93"/>
      <c r="HC297" s="93"/>
      <c r="HD297" s="93"/>
      <c r="HE297" s="93"/>
      <c r="HF297" s="93"/>
      <c r="HG297" s="93"/>
    </row>
    <row r="298" spans="14:215" x14ac:dyDescent="0.2">
      <c r="N298" s="93" t="s">
        <v>415</v>
      </c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3"/>
      <c r="AS298" s="93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3"/>
      <c r="CO298" s="93"/>
      <c r="CP298" s="93"/>
      <c r="CQ298" s="93"/>
      <c r="CR298" s="93"/>
      <c r="CS298" s="93"/>
      <c r="CT298" s="93"/>
      <c r="CU298" s="93"/>
      <c r="CV298" s="93"/>
      <c r="CW298" s="93"/>
      <c r="CX298" s="93"/>
      <c r="CY298" s="93"/>
      <c r="CZ298" s="93"/>
      <c r="DA298" s="93"/>
      <c r="DB298" s="93"/>
      <c r="DC298" s="93"/>
      <c r="DD298" s="93"/>
      <c r="DE298" s="93"/>
      <c r="DF298" s="93"/>
      <c r="DG298" s="93"/>
      <c r="DH298" s="93"/>
      <c r="DI298" s="93"/>
      <c r="DJ298" s="93"/>
      <c r="DK298" s="93"/>
      <c r="DL298" s="93"/>
      <c r="DM298" s="93"/>
      <c r="DN298" s="93"/>
      <c r="DO298" s="93"/>
      <c r="DP298" s="93"/>
      <c r="DQ298" s="93"/>
      <c r="DR298" s="93"/>
      <c r="DS298" s="93"/>
      <c r="DT298" s="93"/>
      <c r="DU298" s="93"/>
      <c r="DV298" s="93"/>
      <c r="DW298" s="93"/>
      <c r="DX298" s="93"/>
      <c r="DY298" s="93"/>
      <c r="DZ298" s="93"/>
      <c r="EA298" s="93"/>
      <c r="EB298" s="93"/>
      <c r="EC298" s="93"/>
      <c r="ED298" s="93"/>
      <c r="EE298" s="93"/>
      <c r="EF298" s="93"/>
      <c r="EG298" s="93"/>
      <c r="EH298" s="93"/>
      <c r="EI298" s="93"/>
      <c r="EJ298" s="93"/>
      <c r="EK298" s="93"/>
      <c r="EL298" s="93"/>
      <c r="EM298" s="93"/>
      <c r="EN298" s="93"/>
      <c r="EO298" s="93"/>
      <c r="EP298" s="93"/>
      <c r="EQ298" s="93"/>
      <c r="ER298" s="93"/>
      <c r="ES298" s="93"/>
      <c r="ET298" s="93"/>
      <c r="EU298" s="93"/>
      <c r="EV298" s="93"/>
      <c r="EW298" s="93"/>
      <c r="EX298" s="93"/>
      <c r="EY298" s="93"/>
      <c r="EZ298" s="93"/>
      <c r="FA298" s="93"/>
      <c r="FB298" s="93"/>
      <c r="FC298" s="93"/>
      <c r="FD298" s="93"/>
      <c r="FE298" s="93"/>
      <c r="FF298" s="93"/>
      <c r="FG298" s="93"/>
      <c r="FH298" s="93"/>
      <c r="FI298" s="93"/>
      <c r="FJ298" s="93"/>
      <c r="FK298" s="93"/>
      <c r="FL298" s="93"/>
      <c r="FM298" s="93"/>
      <c r="FN298" s="93"/>
      <c r="FO298" s="93"/>
      <c r="FP298" s="93"/>
      <c r="FQ298" s="93"/>
      <c r="FR298" s="93"/>
      <c r="FS298" s="93"/>
      <c r="FT298" s="93"/>
      <c r="FU298" s="93"/>
      <c r="FV298" s="93"/>
      <c r="FW298" s="93"/>
      <c r="FX298" s="93"/>
      <c r="FY298" s="93"/>
      <c r="FZ298" s="93"/>
      <c r="GA298" s="93"/>
      <c r="GB298" s="93"/>
      <c r="GC298" s="93"/>
      <c r="GD298" s="93"/>
      <c r="GE298" s="93"/>
      <c r="GF298" s="93"/>
      <c r="GG298" s="93"/>
      <c r="GH298" s="93"/>
      <c r="GI298" s="93"/>
      <c r="GJ298" s="93"/>
      <c r="GK298" s="93"/>
      <c r="GL298" s="93"/>
      <c r="GM298" s="93"/>
      <c r="GN298" s="93"/>
      <c r="GO298" s="93"/>
      <c r="GP298" s="93"/>
      <c r="GQ298" s="93"/>
      <c r="GR298" s="93"/>
      <c r="GS298" s="93"/>
      <c r="GT298" s="93">
        <v>0.33273809523809522</v>
      </c>
      <c r="GU298" s="93"/>
      <c r="GV298" s="93"/>
      <c r="GW298" s="93"/>
      <c r="GX298" s="93"/>
      <c r="GY298" s="93"/>
      <c r="GZ298" s="93"/>
      <c r="HA298" s="93"/>
      <c r="HB298" s="93"/>
      <c r="HC298" s="93"/>
      <c r="HD298" s="93"/>
      <c r="HE298" s="93"/>
      <c r="HF298" s="93"/>
      <c r="HG298" s="93"/>
    </row>
    <row r="299" spans="14:215" x14ac:dyDescent="0.2">
      <c r="N299" s="93" t="s">
        <v>416</v>
      </c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3"/>
      <c r="CO299" s="93"/>
      <c r="CP299" s="93"/>
      <c r="CQ299" s="93"/>
      <c r="CR299" s="93"/>
      <c r="CS299" s="93"/>
      <c r="CT299" s="93"/>
      <c r="CU299" s="93"/>
      <c r="CV299" s="93"/>
      <c r="CW299" s="93"/>
      <c r="CX299" s="93"/>
      <c r="CY299" s="93"/>
      <c r="CZ299" s="93"/>
      <c r="DA299" s="93"/>
      <c r="DB299" s="93"/>
      <c r="DC299" s="93"/>
      <c r="DD299" s="93"/>
      <c r="DE299" s="93"/>
      <c r="DF299" s="93"/>
      <c r="DG299" s="93"/>
      <c r="DH299" s="93"/>
      <c r="DI299" s="93"/>
      <c r="DJ299" s="93"/>
      <c r="DK299" s="93"/>
      <c r="DL299" s="93"/>
      <c r="DM299" s="93"/>
      <c r="DN299" s="93"/>
      <c r="DO299" s="93"/>
      <c r="DP299" s="93"/>
      <c r="DQ299" s="93"/>
      <c r="DR299" s="93"/>
      <c r="DS299" s="93"/>
      <c r="DT299" s="93"/>
      <c r="DU299" s="93"/>
      <c r="DV299" s="93"/>
      <c r="DW299" s="93"/>
      <c r="DX299" s="93"/>
      <c r="DY299" s="93"/>
      <c r="DZ299" s="93"/>
      <c r="EA299" s="93"/>
      <c r="EB299" s="93"/>
      <c r="EC299" s="93"/>
      <c r="ED299" s="93"/>
      <c r="EE299" s="93"/>
      <c r="EF299" s="93"/>
      <c r="EG299" s="93"/>
      <c r="EH299" s="93"/>
      <c r="EI299" s="93"/>
      <c r="EJ299" s="93"/>
      <c r="EK299" s="93"/>
      <c r="EL299" s="93"/>
      <c r="EM299" s="93"/>
      <c r="EN299" s="93"/>
      <c r="EO299" s="93"/>
      <c r="EP299" s="93"/>
      <c r="EQ299" s="93"/>
      <c r="ER299" s="93"/>
      <c r="ES299" s="93"/>
      <c r="ET299" s="93"/>
      <c r="EU299" s="93"/>
      <c r="EV299" s="93"/>
      <c r="EW299" s="93"/>
      <c r="EX299" s="93"/>
      <c r="EY299" s="93"/>
      <c r="EZ299" s="93"/>
      <c r="FA299" s="93"/>
      <c r="FB299" s="93"/>
      <c r="FC299" s="93"/>
      <c r="FD299" s="93"/>
      <c r="FE299" s="93"/>
      <c r="FF299" s="93"/>
      <c r="FG299" s="93"/>
      <c r="FH299" s="93"/>
      <c r="FI299" s="93"/>
      <c r="FJ299" s="93"/>
      <c r="FK299" s="93"/>
      <c r="FL299" s="93"/>
      <c r="FM299" s="93"/>
      <c r="FN299" s="93"/>
      <c r="FO299" s="93"/>
      <c r="FP299" s="93"/>
      <c r="FQ299" s="93"/>
      <c r="FR299" s="93"/>
      <c r="FS299" s="93"/>
      <c r="FT299" s="93"/>
      <c r="FU299" s="93"/>
      <c r="FV299" s="93"/>
      <c r="FW299" s="93"/>
      <c r="FX299" s="93"/>
      <c r="FY299" s="93"/>
      <c r="FZ299" s="93"/>
      <c r="GA299" s="93"/>
      <c r="GB299" s="93"/>
      <c r="GC299" s="93"/>
      <c r="GD299" s="93"/>
      <c r="GE299" s="93"/>
      <c r="GF299" s="93"/>
      <c r="GG299" s="93"/>
      <c r="GH299" s="93"/>
      <c r="GI299" s="93"/>
      <c r="GJ299" s="93"/>
      <c r="GK299" s="93"/>
      <c r="GL299" s="93"/>
      <c r="GM299" s="93"/>
      <c r="GN299" s="93"/>
      <c r="GO299" s="93"/>
      <c r="GP299" s="93"/>
      <c r="GQ299" s="93"/>
      <c r="GR299" s="93"/>
      <c r="GS299" s="93"/>
      <c r="GT299" s="93"/>
      <c r="GU299" s="93">
        <v>0.33274126702190643</v>
      </c>
      <c r="GV299" s="93"/>
      <c r="GW299" s="93"/>
      <c r="GX299" s="93"/>
      <c r="GY299" s="93"/>
      <c r="GZ299" s="93"/>
      <c r="HA299" s="93"/>
      <c r="HB299" s="93"/>
      <c r="HC299" s="93"/>
      <c r="HD299" s="93"/>
      <c r="HE299" s="93"/>
      <c r="HF299" s="93"/>
      <c r="HG299" s="93"/>
    </row>
    <row r="300" spans="14:215" x14ac:dyDescent="0.2">
      <c r="N300" s="93" t="s">
        <v>417</v>
      </c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3"/>
      <c r="AS300" s="93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3"/>
      <c r="CO300" s="93"/>
      <c r="CP300" s="93"/>
      <c r="CQ300" s="93"/>
      <c r="CR300" s="93"/>
      <c r="CS300" s="93"/>
      <c r="CT300" s="93"/>
      <c r="CU300" s="93"/>
      <c r="CV300" s="93"/>
      <c r="CW300" s="93"/>
      <c r="CX300" s="93"/>
      <c r="CY300" s="93"/>
      <c r="CZ300" s="93"/>
      <c r="DA300" s="93"/>
      <c r="DB300" s="93"/>
      <c r="DC300" s="93"/>
      <c r="DD300" s="93"/>
      <c r="DE300" s="93"/>
      <c r="DF300" s="93"/>
      <c r="DG300" s="93"/>
      <c r="DH300" s="93"/>
      <c r="DI300" s="93"/>
      <c r="DJ300" s="93"/>
      <c r="DK300" s="93"/>
      <c r="DL300" s="93"/>
      <c r="DM300" s="93"/>
      <c r="DN300" s="93"/>
      <c r="DO300" s="93"/>
      <c r="DP300" s="93"/>
      <c r="DQ300" s="93"/>
      <c r="DR300" s="93"/>
      <c r="DS300" s="93"/>
      <c r="DT300" s="93"/>
      <c r="DU300" s="93"/>
      <c r="DV300" s="93"/>
      <c r="DW300" s="93"/>
      <c r="DX300" s="93"/>
      <c r="DY300" s="93"/>
      <c r="DZ300" s="93"/>
      <c r="EA300" s="93"/>
      <c r="EB300" s="93"/>
      <c r="EC300" s="93"/>
      <c r="ED300" s="93"/>
      <c r="EE300" s="93"/>
      <c r="EF300" s="93"/>
      <c r="EG300" s="93"/>
      <c r="EH300" s="93"/>
      <c r="EI300" s="93"/>
      <c r="EJ300" s="93"/>
      <c r="EK300" s="93"/>
      <c r="EL300" s="93"/>
      <c r="EM300" s="93"/>
      <c r="EN300" s="93"/>
      <c r="EO300" s="93"/>
      <c r="EP300" s="93"/>
      <c r="EQ300" s="93"/>
      <c r="ER300" s="93"/>
      <c r="ES300" s="93"/>
      <c r="ET300" s="93"/>
      <c r="EU300" s="93"/>
      <c r="EV300" s="93"/>
      <c r="EW300" s="93"/>
      <c r="EX300" s="93"/>
      <c r="EY300" s="93"/>
      <c r="EZ300" s="93"/>
      <c r="FA300" s="93"/>
      <c r="FB300" s="93"/>
      <c r="FC300" s="93"/>
      <c r="FD300" s="93"/>
      <c r="FE300" s="93"/>
      <c r="FF300" s="93"/>
      <c r="FG300" s="93"/>
      <c r="FH300" s="93"/>
      <c r="FI300" s="93"/>
      <c r="FJ300" s="93"/>
      <c r="FK300" s="93"/>
      <c r="FL300" s="93"/>
      <c r="FM300" s="93"/>
      <c r="FN300" s="93"/>
      <c r="FO300" s="93"/>
      <c r="FP300" s="93"/>
      <c r="FQ300" s="93"/>
      <c r="FR300" s="93"/>
      <c r="FS300" s="93"/>
      <c r="FT300" s="93"/>
      <c r="FU300" s="93"/>
      <c r="FV300" s="93"/>
      <c r="FW300" s="93"/>
      <c r="FX300" s="93"/>
      <c r="FY300" s="93"/>
      <c r="FZ300" s="93"/>
      <c r="GA300" s="93"/>
      <c r="GB300" s="93"/>
      <c r="GC300" s="93"/>
      <c r="GD300" s="93"/>
      <c r="GE300" s="93"/>
      <c r="GF300" s="93"/>
      <c r="GG300" s="93"/>
      <c r="GH300" s="93"/>
      <c r="GI300" s="93"/>
      <c r="GJ300" s="93"/>
      <c r="GK300" s="93"/>
      <c r="GL300" s="93"/>
      <c r="GM300" s="93"/>
      <c r="GN300" s="93"/>
      <c r="GO300" s="93"/>
      <c r="GP300" s="93"/>
      <c r="GQ300" s="93"/>
      <c r="GR300" s="93"/>
      <c r="GS300" s="93"/>
      <c r="GT300" s="93"/>
      <c r="GU300" s="93"/>
      <c r="GV300" s="93">
        <v>0.3327444051825677</v>
      </c>
      <c r="GW300" s="93"/>
      <c r="GX300" s="93"/>
      <c r="GY300" s="93"/>
      <c r="GZ300" s="93"/>
      <c r="HA300" s="93"/>
      <c r="HB300" s="93"/>
      <c r="HC300" s="93"/>
      <c r="HD300" s="93"/>
      <c r="HE300" s="93"/>
      <c r="HF300" s="93"/>
      <c r="HG300" s="93"/>
    </row>
    <row r="301" spans="14:215" x14ac:dyDescent="0.2">
      <c r="N301" s="93" t="s">
        <v>418</v>
      </c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3"/>
      <c r="CO301" s="93"/>
      <c r="CP301" s="93"/>
      <c r="CQ301" s="93"/>
      <c r="CR301" s="93"/>
      <c r="CS301" s="93"/>
      <c r="CT301" s="93"/>
      <c r="CU301" s="93"/>
      <c r="CV301" s="93"/>
      <c r="CW301" s="93"/>
      <c r="CX301" s="93"/>
      <c r="CY301" s="93"/>
      <c r="CZ301" s="93"/>
      <c r="DA301" s="93"/>
      <c r="DB301" s="93"/>
      <c r="DC301" s="93"/>
      <c r="DD301" s="93"/>
      <c r="DE301" s="93"/>
      <c r="DF301" s="93"/>
      <c r="DG301" s="93"/>
      <c r="DH301" s="93"/>
      <c r="DI301" s="93"/>
      <c r="DJ301" s="93"/>
      <c r="DK301" s="93"/>
      <c r="DL301" s="93"/>
      <c r="DM301" s="93"/>
      <c r="DN301" s="93"/>
      <c r="DO301" s="93"/>
      <c r="DP301" s="93"/>
      <c r="DQ301" s="93"/>
      <c r="DR301" s="93"/>
      <c r="DS301" s="93"/>
      <c r="DT301" s="93"/>
      <c r="DU301" s="93"/>
      <c r="DV301" s="93"/>
      <c r="DW301" s="93"/>
      <c r="DX301" s="93"/>
      <c r="DY301" s="93"/>
      <c r="DZ301" s="93"/>
      <c r="EA301" s="93"/>
      <c r="EB301" s="93"/>
      <c r="EC301" s="93"/>
      <c r="ED301" s="93"/>
      <c r="EE301" s="93"/>
      <c r="EF301" s="93"/>
      <c r="EG301" s="93"/>
      <c r="EH301" s="93"/>
      <c r="EI301" s="93"/>
      <c r="EJ301" s="93"/>
      <c r="EK301" s="93"/>
      <c r="EL301" s="93"/>
      <c r="EM301" s="93"/>
      <c r="EN301" s="93"/>
      <c r="EO301" s="93"/>
      <c r="EP301" s="93"/>
      <c r="EQ301" s="93"/>
      <c r="ER301" s="93"/>
      <c r="ES301" s="93"/>
      <c r="ET301" s="93"/>
      <c r="EU301" s="93"/>
      <c r="EV301" s="93"/>
      <c r="EW301" s="93"/>
      <c r="EX301" s="93"/>
      <c r="EY301" s="93"/>
      <c r="EZ301" s="93"/>
      <c r="FA301" s="93"/>
      <c r="FB301" s="93"/>
      <c r="FC301" s="93"/>
      <c r="FD301" s="93"/>
      <c r="FE301" s="93"/>
      <c r="FF301" s="93"/>
      <c r="FG301" s="93"/>
      <c r="FH301" s="93"/>
      <c r="FI301" s="93"/>
      <c r="FJ301" s="93"/>
      <c r="FK301" s="93"/>
      <c r="FL301" s="93"/>
      <c r="FM301" s="93"/>
      <c r="FN301" s="93"/>
      <c r="FO301" s="93"/>
      <c r="FP301" s="93"/>
      <c r="FQ301" s="93"/>
      <c r="FR301" s="93"/>
      <c r="FS301" s="93"/>
      <c r="FT301" s="93"/>
      <c r="FU301" s="93"/>
      <c r="FV301" s="93"/>
      <c r="FW301" s="93"/>
      <c r="FX301" s="93"/>
      <c r="FY301" s="93"/>
      <c r="FZ301" s="93"/>
      <c r="GA301" s="93"/>
      <c r="GB301" s="93"/>
      <c r="GC301" s="93"/>
      <c r="GD301" s="93"/>
      <c r="GE301" s="93"/>
      <c r="GF301" s="93"/>
      <c r="GG301" s="93"/>
      <c r="GH301" s="93"/>
      <c r="GI301" s="93"/>
      <c r="GJ301" s="93"/>
      <c r="GK301" s="93"/>
      <c r="GL301" s="93"/>
      <c r="GM301" s="93"/>
      <c r="GN301" s="93"/>
      <c r="GO301" s="93"/>
      <c r="GP301" s="93"/>
      <c r="GQ301" s="93"/>
      <c r="GR301" s="93"/>
      <c r="GS301" s="93"/>
      <c r="GT301" s="93"/>
      <c r="GU301" s="93"/>
      <c r="GV301" s="93"/>
      <c r="GW301" s="93">
        <v>0.33274751025190391</v>
      </c>
      <c r="GX301" s="93"/>
      <c r="GY301" s="93"/>
      <c r="GZ301" s="93"/>
      <c r="HA301" s="93"/>
      <c r="HB301" s="93"/>
      <c r="HC301" s="93"/>
      <c r="HD301" s="93"/>
      <c r="HE301" s="93"/>
      <c r="HF301" s="93"/>
      <c r="HG301" s="93"/>
    </row>
    <row r="302" spans="14:215" x14ac:dyDescent="0.2">
      <c r="N302" s="93" t="s">
        <v>419</v>
      </c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3"/>
      <c r="AS302" s="93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3"/>
      <c r="CO302" s="93"/>
      <c r="CP302" s="93"/>
      <c r="CQ302" s="93"/>
      <c r="CR302" s="93"/>
      <c r="CS302" s="93"/>
      <c r="CT302" s="93"/>
      <c r="CU302" s="93"/>
      <c r="CV302" s="93"/>
      <c r="CW302" s="93"/>
      <c r="CX302" s="93"/>
      <c r="CY302" s="93"/>
      <c r="CZ302" s="93"/>
      <c r="DA302" s="93"/>
      <c r="DB302" s="93"/>
      <c r="DC302" s="93"/>
      <c r="DD302" s="93"/>
      <c r="DE302" s="93"/>
      <c r="DF302" s="93"/>
      <c r="DG302" s="93"/>
      <c r="DH302" s="93"/>
      <c r="DI302" s="93"/>
      <c r="DJ302" s="93"/>
      <c r="DK302" s="93"/>
      <c r="DL302" s="93"/>
      <c r="DM302" s="93"/>
      <c r="DN302" s="93"/>
      <c r="DO302" s="93"/>
      <c r="DP302" s="93"/>
      <c r="DQ302" s="93"/>
      <c r="DR302" s="93"/>
      <c r="DS302" s="93"/>
      <c r="DT302" s="93"/>
      <c r="DU302" s="93"/>
      <c r="DV302" s="93"/>
      <c r="DW302" s="93"/>
      <c r="DX302" s="93"/>
      <c r="DY302" s="93"/>
      <c r="DZ302" s="93"/>
      <c r="EA302" s="93"/>
      <c r="EB302" s="93"/>
      <c r="EC302" s="93"/>
      <c r="ED302" s="93"/>
      <c r="EE302" s="93"/>
      <c r="EF302" s="93"/>
      <c r="EG302" s="93"/>
      <c r="EH302" s="93"/>
      <c r="EI302" s="93"/>
      <c r="EJ302" s="93"/>
      <c r="EK302" s="93"/>
      <c r="EL302" s="93"/>
      <c r="EM302" s="93"/>
      <c r="EN302" s="93"/>
      <c r="EO302" s="93"/>
      <c r="EP302" s="93"/>
      <c r="EQ302" s="93"/>
      <c r="ER302" s="93"/>
      <c r="ES302" s="93"/>
      <c r="ET302" s="93"/>
      <c r="EU302" s="93"/>
      <c r="EV302" s="93"/>
      <c r="EW302" s="93"/>
      <c r="EX302" s="93"/>
      <c r="EY302" s="93"/>
      <c r="EZ302" s="93"/>
      <c r="FA302" s="93"/>
      <c r="FB302" s="93"/>
      <c r="FC302" s="93"/>
      <c r="FD302" s="93"/>
      <c r="FE302" s="93"/>
      <c r="FF302" s="93"/>
      <c r="FG302" s="93"/>
      <c r="FH302" s="93"/>
      <c r="FI302" s="93"/>
      <c r="FJ302" s="93"/>
      <c r="FK302" s="93"/>
      <c r="FL302" s="93"/>
      <c r="FM302" s="93"/>
      <c r="FN302" s="93"/>
      <c r="FO302" s="93"/>
      <c r="FP302" s="93"/>
      <c r="FQ302" s="93"/>
      <c r="FR302" s="93"/>
      <c r="FS302" s="93"/>
      <c r="FT302" s="93"/>
      <c r="FU302" s="93"/>
      <c r="FV302" s="93"/>
      <c r="FW302" s="93"/>
      <c r="FX302" s="93"/>
      <c r="FY302" s="93"/>
      <c r="FZ302" s="93"/>
      <c r="GA302" s="93"/>
      <c r="GB302" s="93"/>
      <c r="GC302" s="93"/>
      <c r="GD302" s="93"/>
      <c r="GE302" s="93"/>
      <c r="GF302" s="93"/>
      <c r="GG302" s="93"/>
      <c r="GH302" s="93"/>
      <c r="GI302" s="93"/>
      <c r="GJ302" s="93"/>
      <c r="GK302" s="93"/>
      <c r="GL302" s="93"/>
      <c r="GM302" s="93"/>
      <c r="GN302" s="93"/>
      <c r="GO302" s="93"/>
      <c r="GP302" s="93"/>
      <c r="GQ302" s="93"/>
      <c r="GR302" s="93"/>
      <c r="GS302" s="93"/>
      <c r="GT302" s="93"/>
      <c r="GU302" s="93"/>
      <c r="GV302" s="93"/>
      <c r="GW302" s="93"/>
      <c r="GX302" s="93">
        <v>0.33275058275058272</v>
      </c>
      <c r="GY302" s="93"/>
      <c r="GZ302" s="93"/>
      <c r="HA302" s="93"/>
      <c r="HB302" s="93"/>
      <c r="HC302" s="93"/>
      <c r="HD302" s="93"/>
      <c r="HE302" s="93"/>
      <c r="HF302" s="93"/>
      <c r="HG302" s="93"/>
    </row>
    <row r="303" spans="14:215" x14ac:dyDescent="0.2">
      <c r="N303" s="93" t="s">
        <v>420</v>
      </c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3"/>
      <c r="CO303" s="93"/>
      <c r="CP303" s="93"/>
      <c r="CQ303" s="93"/>
      <c r="CR303" s="93"/>
      <c r="CS303" s="93"/>
      <c r="CT303" s="93"/>
      <c r="CU303" s="93"/>
      <c r="CV303" s="93"/>
      <c r="CW303" s="93"/>
      <c r="CX303" s="93"/>
      <c r="CY303" s="93"/>
      <c r="CZ303" s="93"/>
      <c r="DA303" s="93"/>
      <c r="DB303" s="93"/>
      <c r="DC303" s="93"/>
      <c r="DD303" s="93"/>
      <c r="DE303" s="93"/>
      <c r="DF303" s="93"/>
      <c r="DG303" s="93"/>
      <c r="DH303" s="93"/>
      <c r="DI303" s="93"/>
      <c r="DJ303" s="93"/>
      <c r="DK303" s="93"/>
      <c r="DL303" s="93"/>
      <c r="DM303" s="93"/>
      <c r="DN303" s="93"/>
      <c r="DO303" s="93"/>
      <c r="DP303" s="93"/>
      <c r="DQ303" s="93"/>
      <c r="DR303" s="93"/>
      <c r="DS303" s="93"/>
      <c r="DT303" s="93"/>
      <c r="DU303" s="93"/>
      <c r="DV303" s="93"/>
      <c r="DW303" s="93"/>
      <c r="DX303" s="93"/>
      <c r="DY303" s="93"/>
      <c r="DZ303" s="93"/>
      <c r="EA303" s="93"/>
      <c r="EB303" s="93"/>
      <c r="EC303" s="93"/>
      <c r="ED303" s="93"/>
      <c r="EE303" s="93"/>
      <c r="EF303" s="93"/>
      <c r="EG303" s="93"/>
      <c r="EH303" s="93"/>
      <c r="EI303" s="93"/>
      <c r="EJ303" s="93"/>
      <c r="EK303" s="93"/>
      <c r="EL303" s="93"/>
      <c r="EM303" s="93"/>
      <c r="EN303" s="93"/>
      <c r="EO303" s="93"/>
      <c r="EP303" s="93"/>
      <c r="EQ303" s="93"/>
      <c r="ER303" s="93"/>
      <c r="ES303" s="93"/>
      <c r="ET303" s="93"/>
      <c r="EU303" s="93"/>
      <c r="EV303" s="93"/>
      <c r="EW303" s="93"/>
      <c r="EX303" s="93"/>
      <c r="EY303" s="93"/>
      <c r="EZ303" s="93"/>
      <c r="FA303" s="93"/>
      <c r="FB303" s="93"/>
      <c r="FC303" s="93"/>
      <c r="FD303" s="93"/>
      <c r="FE303" s="93"/>
      <c r="FF303" s="93"/>
      <c r="FG303" s="93"/>
      <c r="FH303" s="93"/>
      <c r="FI303" s="93"/>
      <c r="FJ303" s="93"/>
      <c r="FK303" s="93"/>
      <c r="FL303" s="93"/>
      <c r="FM303" s="93"/>
      <c r="FN303" s="93"/>
      <c r="FO303" s="93"/>
      <c r="FP303" s="93"/>
      <c r="FQ303" s="93"/>
      <c r="FR303" s="93"/>
      <c r="FS303" s="93"/>
      <c r="FT303" s="93"/>
      <c r="FU303" s="93"/>
      <c r="FV303" s="93"/>
      <c r="FW303" s="93"/>
      <c r="FX303" s="93"/>
      <c r="FY303" s="93"/>
      <c r="FZ303" s="93"/>
      <c r="GA303" s="93"/>
      <c r="GB303" s="93"/>
      <c r="GC303" s="93"/>
      <c r="GD303" s="93"/>
      <c r="GE303" s="93"/>
      <c r="GF303" s="93"/>
      <c r="GG303" s="93"/>
      <c r="GH303" s="93"/>
      <c r="GI303" s="93"/>
      <c r="GJ303" s="93"/>
      <c r="GK303" s="93"/>
      <c r="GL303" s="93"/>
      <c r="GM303" s="93"/>
      <c r="GN303" s="93"/>
      <c r="GO303" s="93"/>
      <c r="GP303" s="93"/>
      <c r="GQ303" s="93"/>
      <c r="GR303" s="93"/>
      <c r="GS303" s="93"/>
      <c r="GT303" s="93"/>
      <c r="GU303" s="93"/>
      <c r="GV303" s="93"/>
      <c r="GW303" s="93"/>
      <c r="GX303" s="93"/>
      <c r="GY303" s="93">
        <v>0.33275362318840579</v>
      </c>
      <c r="GZ303" s="93"/>
      <c r="HA303" s="93"/>
      <c r="HB303" s="93"/>
      <c r="HC303" s="93"/>
      <c r="HD303" s="93"/>
      <c r="HE303" s="93"/>
      <c r="HF303" s="93"/>
      <c r="HG303" s="93"/>
    </row>
    <row r="304" spans="14:215" x14ac:dyDescent="0.2">
      <c r="N304" s="93" t="s">
        <v>421</v>
      </c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3"/>
      <c r="AF304" s="93"/>
      <c r="AG304" s="93"/>
      <c r="AH304" s="93"/>
      <c r="AI304" s="93"/>
      <c r="AJ304" s="93"/>
      <c r="AK304" s="93"/>
      <c r="AL304" s="93"/>
      <c r="AM304" s="93"/>
      <c r="AN304" s="93"/>
      <c r="AO304" s="93"/>
      <c r="AP304" s="93"/>
      <c r="AQ304" s="93"/>
      <c r="AR304" s="93"/>
      <c r="AS304" s="93"/>
      <c r="AT304" s="93"/>
      <c r="AU304" s="93"/>
      <c r="AV304" s="93"/>
      <c r="AW304" s="93"/>
      <c r="AX304" s="93"/>
      <c r="AY304" s="93"/>
      <c r="AZ304" s="93"/>
      <c r="BA304" s="93"/>
      <c r="BB304" s="93"/>
      <c r="BC304" s="93"/>
      <c r="BD304" s="93"/>
      <c r="BE304" s="93"/>
      <c r="BF304" s="93"/>
      <c r="BG304" s="93"/>
      <c r="BH304" s="93"/>
      <c r="BI304" s="93"/>
      <c r="BJ304" s="93"/>
      <c r="BK304" s="93"/>
      <c r="BL304" s="93"/>
      <c r="BM304" s="93"/>
      <c r="BN304" s="93"/>
      <c r="BO304" s="93"/>
      <c r="BP304" s="93"/>
      <c r="BQ304" s="93"/>
      <c r="BR304" s="93"/>
      <c r="BS304" s="93"/>
      <c r="BT304" s="93"/>
      <c r="BU304" s="93"/>
      <c r="BV304" s="93"/>
      <c r="BW304" s="93"/>
      <c r="BX304" s="93"/>
      <c r="BY304" s="93"/>
      <c r="BZ304" s="93"/>
      <c r="CA304" s="93"/>
      <c r="CB304" s="93"/>
      <c r="CC304" s="93"/>
      <c r="CD304" s="93"/>
      <c r="CE304" s="93"/>
      <c r="CF304" s="93"/>
      <c r="CG304" s="93"/>
      <c r="CH304" s="93"/>
      <c r="CI304" s="93"/>
      <c r="CJ304" s="93"/>
      <c r="CK304" s="93"/>
      <c r="CL304" s="93"/>
      <c r="CM304" s="93"/>
      <c r="CN304" s="93"/>
      <c r="CO304" s="93"/>
      <c r="CP304" s="93"/>
      <c r="CQ304" s="93"/>
      <c r="CR304" s="93"/>
      <c r="CS304" s="93"/>
      <c r="CT304" s="93"/>
      <c r="CU304" s="93"/>
      <c r="CV304" s="93"/>
      <c r="CW304" s="93"/>
      <c r="CX304" s="93"/>
      <c r="CY304" s="93"/>
      <c r="CZ304" s="93"/>
      <c r="DA304" s="93"/>
      <c r="DB304" s="93"/>
      <c r="DC304" s="93"/>
      <c r="DD304" s="93"/>
      <c r="DE304" s="93"/>
      <c r="DF304" s="93"/>
      <c r="DG304" s="93"/>
      <c r="DH304" s="93"/>
      <c r="DI304" s="93"/>
      <c r="DJ304" s="93"/>
      <c r="DK304" s="93"/>
      <c r="DL304" s="93"/>
      <c r="DM304" s="93"/>
      <c r="DN304" s="93"/>
      <c r="DO304" s="93"/>
      <c r="DP304" s="93"/>
      <c r="DQ304" s="93"/>
      <c r="DR304" s="93"/>
      <c r="DS304" s="93"/>
      <c r="DT304" s="93"/>
      <c r="DU304" s="93"/>
      <c r="DV304" s="93"/>
      <c r="DW304" s="93"/>
      <c r="DX304" s="93"/>
      <c r="DY304" s="93"/>
      <c r="DZ304" s="93"/>
      <c r="EA304" s="93"/>
      <c r="EB304" s="93"/>
      <c r="EC304" s="93"/>
      <c r="ED304" s="93"/>
      <c r="EE304" s="93"/>
      <c r="EF304" s="93"/>
      <c r="EG304" s="93"/>
      <c r="EH304" s="93"/>
      <c r="EI304" s="93"/>
      <c r="EJ304" s="93"/>
      <c r="EK304" s="93"/>
      <c r="EL304" s="93"/>
      <c r="EM304" s="93"/>
      <c r="EN304" s="93"/>
      <c r="EO304" s="93"/>
      <c r="EP304" s="93"/>
      <c r="EQ304" s="93"/>
      <c r="ER304" s="93"/>
      <c r="ES304" s="93"/>
      <c r="ET304" s="93"/>
      <c r="EU304" s="93"/>
      <c r="EV304" s="93"/>
      <c r="EW304" s="93"/>
      <c r="EX304" s="93"/>
      <c r="EY304" s="93"/>
      <c r="EZ304" s="93"/>
      <c r="FA304" s="93"/>
      <c r="FB304" s="93"/>
      <c r="FC304" s="93"/>
      <c r="FD304" s="93"/>
      <c r="FE304" s="93"/>
      <c r="FF304" s="93"/>
      <c r="FG304" s="93"/>
      <c r="FH304" s="93"/>
      <c r="FI304" s="93"/>
      <c r="FJ304" s="93"/>
      <c r="FK304" s="93"/>
      <c r="FL304" s="93"/>
      <c r="FM304" s="93"/>
      <c r="FN304" s="93"/>
      <c r="FO304" s="93"/>
      <c r="FP304" s="93"/>
      <c r="FQ304" s="93"/>
      <c r="FR304" s="93"/>
      <c r="FS304" s="93"/>
      <c r="FT304" s="93"/>
      <c r="FU304" s="93"/>
      <c r="FV304" s="93"/>
      <c r="FW304" s="93"/>
      <c r="FX304" s="93"/>
      <c r="FY304" s="93"/>
      <c r="FZ304" s="93"/>
      <c r="GA304" s="93"/>
      <c r="GB304" s="93"/>
      <c r="GC304" s="93"/>
      <c r="GD304" s="93"/>
      <c r="GE304" s="93"/>
      <c r="GF304" s="93"/>
      <c r="GG304" s="93"/>
      <c r="GH304" s="93"/>
      <c r="GI304" s="93"/>
      <c r="GJ304" s="93"/>
      <c r="GK304" s="93"/>
      <c r="GL304" s="93"/>
      <c r="GM304" s="93"/>
      <c r="GN304" s="93"/>
      <c r="GO304" s="93"/>
      <c r="GP304" s="93"/>
      <c r="GQ304" s="93"/>
      <c r="GR304" s="93"/>
      <c r="GS304" s="93"/>
      <c r="GT304" s="93"/>
      <c r="GU304" s="93"/>
      <c r="GV304" s="93"/>
      <c r="GW304" s="93"/>
      <c r="GX304" s="93"/>
      <c r="GY304" s="93"/>
      <c r="GZ304" s="93">
        <v>0.33275663206459055</v>
      </c>
      <c r="HA304" s="93"/>
      <c r="HB304" s="93"/>
      <c r="HC304" s="93"/>
      <c r="HD304" s="93"/>
      <c r="HE304" s="93"/>
      <c r="HF304" s="93"/>
      <c r="HG304" s="93"/>
    </row>
    <row r="305" spans="14:215" x14ac:dyDescent="0.2">
      <c r="N305" s="93" t="s">
        <v>422</v>
      </c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  <c r="BI305" s="93"/>
      <c r="BJ305" s="93"/>
      <c r="BK305" s="93"/>
      <c r="BL305" s="93"/>
      <c r="BM305" s="93"/>
      <c r="BN305" s="93"/>
      <c r="BO305" s="93"/>
      <c r="BP305" s="93"/>
      <c r="BQ305" s="93"/>
      <c r="BR305" s="93"/>
      <c r="BS305" s="93"/>
      <c r="BT305" s="93"/>
      <c r="BU305" s="93"/>
      <c r="BV305" s="93"/>
      <c r="BW305" s="93"/>
      <c r="BX305" s="93"/>
      <c r="BY305" s="93"/>
      <c r="BZ305" s="93"/>
      <c r="CA305" s="93"/>
      <c r="CB305" s="93"/>
      <c r="CC305" s="93"/>
      <c r="CD305" s="93"/>
      <c r="CE305" s="93"/>
      <c r="CF305" s="93"/>
      <c r="CG305" s="93"/>
      <c r="CH305" s="93"/>
      <c r="CI305" s="93"/>
      <c r="CJ305" s="93"/>
      <c r="CK305" s="93"/>
      <c r="CL305" s="93"/>
      <c r="CM305" s="93"/>
      <c r="CN305" s="93"/>
      <c r="CO305" s="93"/>
      <c r="CP305" s="93"/>
      <c r="CQ305" s="93"/>
      <c r="CR305" s="93"/>
      <c r="CS305" s="93"/>
      <c r="CT305" s="93"/>
      <c r="CU305" s="93"/>
      <c r="CV305" s="93"/>
      <c r="CW305" s="93"/>
      <c r="CX305" s="93"/>
      <c r="CY305" s="93"/>
      <c r="CZ305" s="93"/>
      <c r="DA305" s="93"/>
      <c r="DB305" s="93"/>
      <c r="DC305" s="93"/>
      <c r="DD305" s="93"/>
      <c r="DE305" s="93"/>
      <c r="DF305" s="93"/>
      <c r="DG305" s="93"/>
      <c r="DH305" s="93"/>
      <c r="DI305" s="93"/>
      <c r="DJ305" s="93"/>
      <c r="DK305" s="93"/>
      <c r="DL305" s="93"/>
      <c r="DM305" s="93"/>
      <c r="DN305" s="93"/>
      <c r="DO305" s="93"/>
      <c r="DP305" s="93"/>
      <c r="DQ305" s="93"/>
      <c r="DR305" s="93"/>
      <c r="DS305" s="93"/>
      <c r="DT305" s="93"/>
      <c r="DU305" s="93"/>
      <c r="DV305" s="93"/>
      <c r="DW305" s="93"/>
      <c r="DX305" s="93"/>
      <c r="DY305" s="93"/>
      <c r="DZ305" s="93"/>
      <c r="EA305" s="93"/>
      <c r="EB305" s="93"/>
      <c r="EC305" s="93"/>
      <c r="ED305" s="93"/>
      <c r="EE305" s="93"/>
      <c r="EF305" s="93"/>
      <c r="EG305" s="93"/>
      <c r="EH305" s="93"/>
      <c r="EI305" s="93"/>
      <c r="EJ305" s="93"/>
      <c r="EK305" s="93"/>
      <c r="EL305" s="93"/>
      <c r="EM305" s="93"/>
      <c r="EN305" s="93"/>
      <c r="EO305" s="93"/>
      <c r="EP305" s="93"/>
      <c r="EQ305" s="93"/>
      <c r="ER305" s="93"/>
      <c r="ES305" s="93"/>
      <c r="ET305" s="93"/>
      <c r="EU305" s="93"/>
      <c r="EV305" s="93"/>
      <c r="EW305" s="93"/>
      <c r="EX305" s="93"/>
      <c r="EY305" s="93"/>
      <c r="EZ305" s="93"/>
      <c r="FA305" s="93"/>
      <c r="FB305" s="93"/>
      <c r="FC305" s="93"/>
      <c r="FD305" s="93"/>
      <c r="FE305" s="93"/>
      <c r="FF305" s="93"/>
      <c r="FG305" s="93"/>
      <c r="FH305" s="93"/>
      <c r="FI305" s="93"/>
      <c r="FJ305" s="93"/>
      <c r="FK305" s="93"/>
      <c r="FL305" s="93"/>
      <c r="FM305" s="93"/>
      <c r="FN305" s="93"/>
      <c r="FO305" s="93"/>
      <c r="FP305" s="93"/>
      <c r="FQ305" s="93"/>
      <c r="FR305" s="93"/>
      <c r="FS305" s="93"/>
      <c r="FT305" s="93"/>
      <c r="FU305" s="93"/>
      <c r="FV305" s="93"/>
      <c r="FW305" s="93"/>
      <c r="FX305" s="93"/>
      <c r="FY305" s="93"/>
      <c r="FZ305" s="93"/>
      <c r="GA305" s="93"/>
      <c r="GB305" s="93"/>
      <c r="GC305" s="93"/>
      <c r="GD305" s="93"/>
      <c r="GE305" s="93"/>
      <c r="GF305" s="93"/>
      <c r="GG305" s="93"/>
      <c r="GH305" s="93"/>
      <c r="GI305" s="93"/>
      <c r="GJ305" s="93"/>
      <c r="GK305" s="93"/>
      <c r="GL305" s="93"/>
      <c r="GM305" s="93"/>
      <c r="GN305" s="93"/>
      <c r="GO305" s="93"/>
      <c r="GP305" s="93"/>
      <c r="GQ305" s="93"/>
      <c r="GR305" s="93"/>
      <c r="GS305" s="93"/>
      <c r="GT305" s="93"/>
      <c r="GU305" s="93"/>
      <c r="GV305" s="93"/>
      <c r="GW305" s="93"/>
      <c r="GX305" s="93"/>
      <c r="GY305" s="93"/>
      <c r="GZ305" s="93"/>
      <c r="HA305" s="93">
        <v>0.33275960986804359</v>
      </c>
      <c r="HB305" s="93"/>
      <c r="HC305" s="93"/>
      <c r="HD305" s="93"/>
      <c r="HE305" s="93"/>
      <c r="HF305" s="93"/>
      <c r="HG305" s="93"/>
    </row>
    <row r="306" spans="14:215" x14ac:dyDescent="0.2">
      <c r="N306" s="93" t="s">
        <v>423</v>
      </c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3"/>
      <c r="AS306" s="93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3"/>
      <c r="CO306" s="93"/>
      <c r="CP306" s="93"/>
      <c r="CQ306" s="93"/>
      <c r="CR306" s="93"/>
      <c r="CS306" s="93"/>
      <c r="CT306" s="93"/>
      <c r="CU306" s="93"/>
      <c r="CV306" s="93"/>
      <c r="CW306" s="93"/>
      <c r="CX306" s="93"/>
      <c r="CY306" s="93"/>
      <c r="CZ306" s="93"/>
      <c r="DA306" s="93"/>
      <c r="DB306" s="93"/>
      <c r="DC306" s="93"/>
      <c r="DD306" s="93"/>
      <c r="DE306" s="93"/>
      <c r="DF306" s="93"/>
      <c r="DG306" s="93"/>
      <c r="DH306" s="93"/>
      <c r="DI306" s="93"/>
      <c r="DJ306" s="93"/>
      <c r="DK306" s="93"/>
      <c r="DL306" s="93"/>
      <c r="DM306" s="93"/>
      <c r="DN306" s="93"/>
      <c r="DO306" s="93"/>
      <c r="DP306" s="93"/>
      <c r="DQ306" s="93"/>
      <c r="DR306" s="93"/>
      <c r="DS306" s="93"/>
      <c r="DT306" s="93"/>
      <c r="DU306" s="93"/>
      <c r="DV306" s="93"/>
      <c r="DW306" s="93"/>
      <c r="DX306" s="93"/>
      <c r="DY306" s="93"/>
      <c r="DZ306" s="93"/>
      <c r="EA306" s="93"/>
      <c r="EB306" s="93"/>
      <c r="EC306" s="93"/>
      <c r="ED306" s="93"/>
      <c r="EE306" s="93"/>
      <c r="EF306" s="93"/>
      <c r="EG306" s="93"/>
      <c r="EH306" s="93"/>
      <c r="EI306" s="93"/>
      <c r="EJ306" s="93"/>
      <c r="EK306" s="93"/>
      <c r="EL306" s="93"/>
      <c r="EM306" s="93"/>
      <c r="EN306" s="93"/>
      <c r="EO306" s="93"/>
      <c r="EP306" s="93"/>
      <c r="EQ306" s="93"/>
      <c r="ER306" s="93"/>
      <c r="ES306" s="93"/>
      <c r="ET306" s="93"/>
      <c r="EU306" s="93"/>
      <c r="EV306" s="93"/>
      <c r="EW306" s="93"/>
      <c r="EX306" s="93"/>
      <c r="EY306" s="93"/>
      <c r="EZ306" s="93"/>
      <c r="FA306" s="93"/>
      <c r="FB306" s="93"/>
      <c r="FC306" s="93"/>
      <c r="FD306" s="93"/>
      <c r="FE306" s="93"/>
      <c r="FF306" s="93"/>
      <c r="FG306" s="93"/>
      <c r="FH306" s="93"/>
      <c r="FI306" s="93"/>
      <c r="FJ306" s="93"/>
      <c r="FK306" s="93"/>
      <c r="FL306" s="93"/>
      <c r="FM306" s="93"/>
      <c r="FN306" s="93"/>
      <c r="FO306" s="93"/>
      <c r="FP306" s="93"/>
      <c r="FQ306" s="93"/>
      <c r="FR306" s="93"/>
      <c r="FS306" s="93"/>
      <c r="FT306" s="93"/>
      <c r="FU306" s="93"/>
      <c r="FV306" s="93"/>
      <c r="FW306" s="93"/>
      <c r="FX306" s="93"/>
      <c r="FY306" s="93"/>
      <c r="FZ306" s="93"/>
      <c r="GA306" s="93"/>
      <c r="GB306" s="93"/>
      <c r="GC306" s="93"/>
      <c r="GD306" s="93"/>
      <c r="GE306" s="93"/>
      <c r="GF306" s="93"/>
      <c r="GG306" s="93"/>
      <c r="GH306" s="93"/>
      <c r="GI306" s="93"/>
      <c r="GJ306" s="93"/>
      <c r="GK306" s="93"/>
      <c r="GL306" s="93"/>
      <c r="GM306" s="93"/>
      <c r="GN306" s="93"/>
      <c r="GO306" s="93"/>
      <c r="GP306" s="93"/>
      <c r="GQ306" s="93"/>
      <c r="GR306" s="93"/>
      <c r="GS306" s="93"/>
      <c r="GT306" s="93"/>
      <c r="GU306" s="93"/>
      <c r="GV306" s="93"/>
      <c r="GW306" s="93"/>
      <c r="GX306" s="93"/>
      <c r="GY306" s="93"/>
      <c r="GZ306" s="93"/>
      <c r="HA306" s="93"/>
      <c r="HB306" s="93">
        <v>0.33276255707762559</v>
      </c>
      <c r="HC306" s="93"/>
      <c r="HD306" s="93"/>
      <c r="HE306" s="93"/>
      <c r="HF306" s="93"/>
      <c r="HG306" s="93"/>
    </row>
    <row r="307" spans="14:215" x14ac:dyDescent="0.2">
      <c r="N307" s="93" t="s">
        <v>424</v>
      </c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3"/>
      <c r="CO307" s="93"/>
      <c r="CP307" s="93"/>
      <c r="CQ307" s="93"/>
      <c r="CR307" s="93"/>
      <c r="CS307" s="93"/>
      <c r="CT307" s="93"/>
      <c r="CU307" s="93"/>
      <c r="CV307" s="93"/>
      <c r="CW307" s="93"/>
      <c r="CX307" s="93"/>
      <c r="CY307" s="93"/>
      <c r="CZ307" s="93"/>
      <c r="DA307" s="93"/>
      <c r="DB307" s="93"/>
      <c r="DC307" s="93"/>
      <c r="DD307" s="93"/>
      <c r="DE307" s="93"/>
      <c r="DF307" s="93"/>
      <c r="DG307" s="93"/>
      <c r="DH307" s="93"/>
      <c r="DI307" s="93"/>
      <c r="DJ307" s="93"/>
      <c r="DK307" s="93"/>
      <c r="DL307" s="93"/>
      <c r="DM307" s="93"/>
      <c r="DN307" s="93"/>
      <c r="DO307" s="93"/>
      <c r="DP307" s="93"/>
      <c r="DQ307" s="93"/>
      <c r="DR307" s="93"/>
      <c r="DS307" s="93"/>
      <c r="DT307" s="93"/>
      <c r="DU307" s="93"/>
      <c r="DV307" s="93"/>
      <c r="DW307" s="93"/>
      <c r="DX307" s="93"/>
      <c r="DY307" s="93"/>
      <c r="DZ307" s="93"/>
      <c r="EA307" s="93"/>
      <c r="EB307" s="93"/>
      <c r="EC307" s="93"/>
      <c r="ED307" s="93"/>
      <c r="EE307" s="93"/>
      <c r="EF307" s="93"/>
      <c r="EG307" s="93"/>
      <c r="EH307" s="93"/>
      <c r="EI307" s="93"/>
      <c r="EJ307" s="93"/>
      <c r="EK307" s="93"/>
      <c r="EL307" s="93"/>
      <c r="EM307" s="93"/>
      <c r="EN307" s="93"/>
      <c r="EO307" s="93"/>
      <c r="EP307" s="93"/>
      <c r="EQ307" s="93"/>
      <c r="ER307" s="93"/>
      <c r="ES307" s="93"/>
      <c r="ET307" s="93"/>
      <c r="EU307" s="93"/>
      <c r="EV307" s="93"/>
      <c r="EW307" s="93"/>
      <c r="EX307" s="93"/>
      <c r="EY307" s="93"/>
      <c r="EZ307" s="93"/>
      <c r="FA307" s="93"/>
      <c r="FB307" s="93"/>
      <c r="FC307" s="93"/>
      <c r="FD307" s="93"/>
      <c r="FE307" s="93"/>
      <c r="FF307" s="93"/>
      <c r="FG307" s="93"/>
      <c r="FH307" s="93"/>
      <c r="FI307" s="93"/>
      <c r="FJ307" s="93"/>
      <c r="FK307" s="93"/>
      <c r="FL307" s="93"/>
      <c r="FM307" s="93"/>
      <c r="FN307" s="93"/>
      <c r="FO307" s="93"/>
      <c r="FP307" s="93"/>
      <c r="FQ307" s="93"/>
      <c r="FR307" s="93"/>
      <c r="FS307" s="93"/>
      <c r="FT307" s="93"/>
      <c r="FU307" s="93"/>
      <c r="FV307" s="93"/>
      <c r="FW307" s="93"/>
      <c r="FX307" s="93"/>
      <c r="FY307" s="93"/>
      <c r="FZ307" s="93"/>
      <c r="GA307" s="93"/>
      <c r="GB307" s="93"/>
      <c r="GC307" s="93"/>
      <c r="GD307" s="93"/>
      <c r="GE307" s="93"/>
      <c r="GF307" s="93"/>
      <c r="GG307" s="93"/>
      <c r="GH307" s="93"/>
      <c r="GI307" s="93"/>
      <c r="GJ307" s="93"/>
      <c r="GK307" s="93"/>
      <c r="GL307" s="93"/>
      <c r="GM307" s="93"/>
      <c r="GN307" s="93"/>
      <c r="GO307" s="93"/>
      <c r="GP307" s="93"/>
      <c r="GQ307" s="93"/>
      <c r="GR307" s="93"/>
      <c r="GS307" s="93"/>
      <c r="GT307" s="93"/>
      <c r="GU307" s="93"/>
      <c r="GV307" s="93"/>
      <c r="GW307" s="93"/>
      <c r="GX307" s="93"/>
      <c r="GY307" s="93"/>
      <c r="GZ307" s="93"/>
      <c r="HA307" s="93"/>
      <c r="HB307" s="93"/>
      <c r="HC307" s="93">
        <v>0.3327654741624077</v>
      </c>
      <c r="HD307" s="93"/>
      <c r="HE307" s="93"/>
      <c r="HF307" s="93"/>
      <c r="HG307" s="93"/>
    </row>
    <row r="308" spans="14:215" x14ac:dyDescent="0.2">
      <c r="N308" s="93" t="s">
        <v>425</v>
      </c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3"/>
      <c r="AS308" s="93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3"/>
      <c r="CO308" s="93"/>
      <c r="CP308" s="93"/>
      <c r="CQ308" s="93"/>
      <c r="CR308" s="93"/>
      <c r="CS308" s="93"/>
      <c r="CT308" s="93"/>
      <c r="CU308" s="93"/>
      <c r="CV308" s="93"/>
      <c r="CW308" s="93"/>
      <c r="CX308" s="93"/>
      <c r="CY308" s="93"/>
      <c r="CZ308" s="93"/>
      <c r="DA308" s="93"/>
      <c r="DB308" s="93"/>
      <c r="DC308" s="93"/>
      <c r="DD308" s="93"/>
      <c r="DE308" s="93"/>
      <c r="DF308" s="93"/>
      <c r="DG308" s="93"/>
      <c r="DH308" s="93"/>
      <c r="DI308" s="93"/>
      <c r="DJ308" s="93"/>
      <c r="DK308" s="93"/>
      <c r="DL308" s="93"/>
      <c r="DM308" s="93"/>
      <c r="DN308" s="93"/>
      <c r="DO308" s="93"/>
      <c r="DP308" s="93"/>
      <c r="DQ308" s="93"/>
      <c r="DR308" s="93"/>
      <c r="DS308" s="93"/>
      <c r="DT308" s="93"/>
      <c r="DU308" s="93"/>
      <c r="DV308" s="93"/>
      <c r="DW308" s="93"/>
      <c r="DX308" s="93"/>
      <c r="DY308" s="93"/>
      <c r="DZ308" s="93"/>
      <c r="EA308" s="93"/>
      <c r="EB308" s="93"/>
      <c r="EC308" s="93"/>
      <c r="ED308" s="93"/>
      <c r="EE308" s="93"/>
      <c r="EF308" s="93"/>
      <c r="EG308" s="93"/>
      <c r="EH308" s="93"/>
      <c r="EI308" s="93"/>
      <c r="EJ308" s="93"/>
      <c r="EK308" s="93"/>
      <c r="EL308" s="93"/>
      <c r="EM308" s="93"/>
      <c r="EN308" s="93"/>
      <c r="EO308" s="93"/>
      <c r="EP308" s="93"/>
      <c r="EQ308" s="93"/>
      <c r="ER308" s="93"/>
      <c r="ES308" s="93"/>
      <c r="ET308" s="93"/>
      <c r="EU308" s="93"/>
      <c r="EV308" s="93"/>
      <c r="EW308" s="93"/>
      <c r="EX308" s="93"/>
      <c r="EY308" s="93"/>
      <c r="EZ308" s="93"/>
      <c r="FA308" s="93"/>
      <c r="FB308" s="93"/>
      <c r="FC308" s="93"/>
      <c r="FD308" s="93"/>
      <c r="FE308" s="93"/>
      <c r="FF308" s="93"/>
      <c r="FG308" s="93"/>
      <c r="FH308" s="93"/>
      <c r="FI308" s="93"/>
      <c r="FJ308" s="93"/>
      <c r="FK308" s="93"/>
      <c r="FL308" s="93"/>
      <c r="FM308" s="93"/>
      <c r="FN308" s="93"/>
      <c r="FO308" s="93"/>
      <c r="FP308" s="93"/>
      <c r="FQ308" s="93"/>
      <c r="FR308" s="93"/>
      <c r="FS308" s="93"/>
      <c r="FT308" s="93"/>
      <c r="FU308" s="93"/>
      <c r="FV308" s="93"/>
      <c r="FW308" s="93"/>
      <c r="FX308" s="93"/>
      <c r="FY308" s="93"/>
      <c r="FZ308" s="93"/>
      <c r="GA308" s="93"/>
      <c r="GB308" s="93"/>
      <c r="GC308" s="93"/>
      <c r="GD308" s="93"/>
      <c r="GE308" s="93"/>
      <c r="GF308" s="93"/>
      <c r="GG308" s="93"/>
      <c r="GH308" s="93"/>
      <c r="GI308" s="93"/>
      <c r="GJ308" s="93"/>
      <c r="GK308" s="93"/>
      <c r="GL308" s="93"/>
      <c r="GM308" s="93"/>
      <c r="GN308" s="93"/>
      <c r="GO308" s="93"/>
      <c r="GP308" s="93"/>
      <c r="GQ308" s="93"/>
      <c r="GR308" s="93"/>
      <c r="GS308" s="93"/>
      <c r="GT308" s="93"/>
      <c r="GU308" s="93"/>
      <c r="GV308" s="93"/>
      <c r="GW308" s="93"/>
      <c r="GX308" s="93"/>
      <c r="GY308" s="93"/>
      <c r="GZ308" s="93"/>
      <c r="HA308" s="93"/>
      <c r="HB308" s="93"/>
      <c r="HC308" s="93"/>
      <c r="HD308" s="93">
        <v>0.33276836158192091</v>
      </c>
      <c r="HE308" s="93"/>
      <c r="HF308" s="93"/>
      <c r="HG308" s="93"/>
    </row>
    <row r="309" spans="14:215" x14ac:dyDescent="0.2">
      <c r="N309" s="93" t="s">
        <v>426</v>
      </c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3"/>
      <c r="CO309" s="93"/>
      <c r="CP309" s="93"/>
      <c r="CQ309" s="93"/>
      <c r="CR309" s="93"/>
      <c r="CS309" s="93"/>
      <c r="CT309" s="93"/>
      <c r="CU309" s="93"/>
      <c r="CV309" s="93"/>
      <c r="CW309" s="93"/>
      <c r="CX309" s="93"/>
      <c r="CY309" s="93"/>
      <c r="CZ309" s="93"/>
      <c r="DA309" s="93"/>
      <c r="DB309" s="93"/>
      <c r="DC309" s="93"/>
      <c r="DD309" s="93"/>
      <c r="DE309" s="93"/>
      <c r="DF309" s="93"/>
      <c r="DG309" s="93"/>
      <c r="DH309" s="93"/>
      <c r="DI309" s="93"/>
      <c r="DJ309" s="93"/>
      <c r="DK309" s="93"/>
      <c r="DL309" s="93"/>
      <c r="DM309" s="93"/>
      <c r="DN309" s="93"/>
      <c r="DO309" s="93"/>
      <c r="DP309" s="93"/>
      <c r="DQ309" s="93"/>
      <c r="DR309" s="93"/>
      <c r="DS309" s="93"/>
      <c r="DT309" s="93"/>
      <c r="DU309" s="93"/>
      <c r="DV309" s="93"/>
      <c r="DW309" s="93"/>
      <c r="DX309" s="93"/>
      <c r="DY309" s="93"/>
      <c r="DZ309" s="93"/>
      <c r="EA309" s="93"/>
      <c r="EB309" s="93"/>
      <c r="EC309" s="93"/>
      <c r="ED309" s="93"/>
      <c r="EE309" s="93"/>
      <c r="EF309" s="93"/>
      <c r="EG309" s="93"/>
      <c r="EH309" s="93"/>
      <c r="EI309" s="93"/>
      <c r="EJ309" s="93"/>
      <c r="EK309" s="93"/>
      <c r="EL309" s="93"/>
      <c r="EM309" s="93"/>
      <c r="EN309" s="93"/>
      <c r="EO309" s="93"/>
      <c r="EP309" s="93"/>
      <c r="EQ309" s="93"/>
      <c r="ER309" s="93"/>
      <c r="ES309" s="93"/>
      <c r="ET309" s="93"/>
      <c r="EU309" s="93"/>
      <c r="EV309" s="93"/>
      <c r="EW309" s="93"/>
      <c r="EX309" s="93"/>
      <c r="EY309" s="93"/>
      <c r="EZ309" s="93"/>
      <c r="FA309" s="93"/>
      <c r="FB309" s="93"/>
      <c r="FC309" s="93"/>
      <c r="FD309" s="93"/>
      <c r="FE309" s="93"/>
      <c r="FF309" s="93"/>
      <c r="FG309" s="93"/>
      <c r="FH309" s="93"/>
      <c r="FI309" s="93"/>
      <c r="FJ309" s="93"/>
      <c r="FK309" s="93"/>
      <c r="FL309" s="93"/>
      <c r="FM309" s="93"/>
      <c r="FN309" s="93"/>
      <c r="FO309" s="93"/>
      <c r="FP309" s="93"/>
      <c r="FQ309" s="93"/>
      <c r="FR309" s="93"/>
      <c r="FS309" s="93"/>
      <c r="FT309" s="93"/>
      <c r="FU309" s="93"/>
      <c r="FV309" s="93"/>
      <c r="FW309" s="93"/>
      <c r="FX309" s="93"/>
      <c r="FY309" s="93"/>
      <c r="FZ309" s="93"/>
      <c r="GA309" s="93"/>
      <c r="GB309" s="93"/>
      <c r="GC309" s="93"/>
      <c r="GD309" s="93"/>
      <c r="GE309" s="93"/>
      <c r="GF309" s="93"/>
      <c r="GG309" s="93"/>
      <c r="GH309" s="93"/>
      <c r="GI309" s="93"/>
      <c r="GJ309" s="93"/>
      <c r="GK309" s="93"/>
      <c r="GL309" s="93"/>
      <c r="GM309" s="93"/>
      <c r="GN309" s="93"/>
      <c r="GO309" s="93"/>
      <c r="GP309" s="93"/>
      <c r="GQ309" s="93"/>
      <c r="GR309" s="93"/>
      <c r="GS309" s="93"/>
      <c r="GT309" s="93"/>
      <c r="GU309" s="93"/>
      <c r="GV309" s="93"/>
      <c r="GW309" s="93"/>
      <c r="GX309" s="93"/>
      <c r="GY309" s="93"/>
      <c r="GZ309" s="93"/>
      <c r="HA309" s="93"/>
      <c r="HB309" s="93"/>
      <c r="HC309" s="93"/>
      <c r="HD309" s="93"/>
      <c r="HE309" s="93">
        <v>0.33277121978639684</v>
      </c>
      <c r="HF309" s="93"/>
      <c r="HG309" s="93"/>
    </row>
    <row r="310" spans="14:215" x14ac:dyDescent="0.2">
      <c r="N310" s="93" t="s">
        <v>427</v>
      </c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3"/>
      <c r="AS310" s="93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3"/>
      <c r="CO310" s="93"/>
      <c r="CP310" s="93"/>
      <c r="CQ310" s="93"/>
      <c r="CR310" s="93"/>
      <c r="CS310" s="93"/>
      <c r="CT310" s="93"/>
      <c r="CU310" s="93"/>
      <c r="CV310" s="93"/>
      <c r="CW310" s="93"/>
      <c r="CX310" s="93"/>
      <c r="CY310" s="93"/>
      <c r="CZ310" s="93"/>
      <c r="DA310" s="93"/>
      <c r="DB310" s="93"/>
      <c r="DC310" s="93"/>
      <c r="DD310" s="93"/>
      <c r="DE310" s="93"/>
      <c r="DF310" s="93"/>
      <c r="DG310" s="93"/>
      <c r="DH310" s="93"/>
      <c r="DI310" s="93"/>
      <c r="DJ310" s="93"/>
      <c r="DK310" s="93"/>
      <c r="DL310" s="93"/>
      <c r="DM310" s="93"/>
      <c r="DN310" s="93"/>
      <c r="DO310" s="93"/>
      <c r="DP310" s="93"/>
      <c r="DQ310" s="93"/>
      <c r="DR310" s="93"/>
      <c r="DS310" s="93"/>
      <c r="DT310" s="93"/>
      <c r="DU310" s="93"/>
      <c r="DV310" s="93"/>
      <c r="DW310" s="93"/>
      <c r="DX310" s="93"/>
      <c r="DY310" s="93"/>
      <c r="DZ310" s="93"/>
      <c r="EA310" s="93"/>
      <c r="EB310" s="93"/>
      <c r="EC310" s="93"/>
      <c r="ED310" s="93"/>
      <c r="EE310" s="93"/>
      <c r="EF310" s="93"/>
      <c r="EG310" s="93"/>
      <c r="EH310" s="93"/>
      <c r="EI310" s="93"/>
      <c r="EJ310" s="93"/>
      <c r="EK310" s="93"/>
      <c r="EL310" s="93"/>
      <c r="EM310" s="93"/>
      <c r="EN310" s="93"/>
      <c r="EO310" s="93"/>
      <c r="EP310" s="93"/>
      <c r="EQ310" s="93"/>
      <c r="ER310" s="93"/>
      <c r="ES310" s="93"/>
      <c r="ET310" s="93"/>
      <c r="EU310" s="93"/>
      <c r="EV310" s="93"/>
      <c r="EW310" s="93"/>
      <c r="EX310" s="93"/>
      <c r="EY310" s="93"/>
      <c r="EZ310" s="93"/>
      <c r="FA310" s="93"/>
      <c r="FB310" s="93"/>
      <c r="FC310" s="93"/>
      <c r="FD310" s="93"/>
      <c r="FE310" s="93"/>
      <c r="FF310" s="93"/>
      <c r="FG310" s="93"/>
      <c r="FH310" s="93"/>
      <c r="FI310" s="93"/>
      <c r="FJ310" s="93"/>
      <c r="FK310" s="93"/>
      <c r="FL310" s="93"/>
      <c r="FM310" s="93"/>
      <c r="FN310" s="93"/>
      <c r="FO310" s="93"/>
      <c r="FP310" s="93"/>
      <c r="FQ310" s="93"/>
      <c r="FR310" s="93"/>
      <c r="FS310" s="93"/>
      <c r="FT310" s="93"/>
      <c r="FU310" s="93"/>
      <c r="FV310" s="93"/>
      <c r="FW310" s="93"/>
      <c r="FX310" s="93"/>
      <c r="FY310" s="93"/>
      <c r="FZ310" s="93"/>
      <c r="GA310" s="93"/>
      <c r="GB310" s="93"/>
      <c r="GC310" s="93"/>
      <c r="GD310" s="93"/>
      <c r="GE310" s="93"/>
      <c r="GF310" s="93"/>
      <c r="GG310" s="93"/>
      <c r="GH310" s="93"/>
      <c r="GI310" s="93"/>
      <c r="GJ310" s="93"/>
      <c r="GK310" s="93"/>
      <c r="GL310" s="93"/>
      <c r="GM310" s="93"/>
      <c r="GN310" s="93"/>
      <c r="GO310" s="93"/>
      <c r="GP310" s="93"/>
      <c r="GQ310" s="93"/>
      <c r="GR310" s="93"/>
      <c r="GS310" s="93"/>
      <c r="GT310" s="93"/>
      <c r="GU310" s="93"/>
      <c r="GV310" s="93"/>
      <c r="GW310" s="93"/>
      <c r="GX310" s="93"/>
      <c r="GY310" s="93"/>
      <c r="GZ310" s="93"/>
      <c r="HA310" s="93"/>
      <c r="HB310" s="93"/>
      <c r="HC310" s="93"/>
      <c r="HD310" s="93"/>
      <c r="HE310" s="93"/>
      <c r="HF310" s="93">
        <v>0.33277404921700221</v>
      </c>
      <c r="HG310" s="93"/>
    </row>
    <row r="311" spans="14:215" x14ac:dyDescent="0.2">
      <c r="N311" s="93" t="s">
        <v>428</v>
      </c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3"/>
      <c r="CO311" s="93"/>
      <c r="CP311" s="93"/>
      <c r="CQ311" s="93"/>
      <c r="CR311" s="93"/>
      <c r="CS311" s="93"/>
      <c r="CT311" s="93"/>
      <c r="CU311" s="93"/>
      <c r="CV311" s="93"/>
      <c r="CW311" s="93"/>
      <c r="CX311" s="93"/>
      <c r="CY311" s="93"/>
      <c r="CZ311" s="93"/>
      <c r="DA311" s="93"/>
      <c r="DB311" s="93"/>
      <c r="DC311" s="93"/>
      <c r="DD311" s="93"/>
      <c r="DE311" s="93"/>
      <c r="DF311" s="93"/>
      <c r="DG311" s="93"/>
      <c r="DH311" s="93"/>
      <c r="DI311" s="93"/>
      <c r="DJ311" s="93"/>
      <c r="DK311" s="93"/>
      <c r="DL311" s="93"/>
      <c r="DM311" s="93"/>
      <c r="DN311" s="93"/>
      <c r="DO311" s="93"/>
      <c r="DP311" s="93"/>
      <c r="DQ311" s="93"/>
      <c r="DR311" s="93"/>
      <c r="DS311" s="93"/>
      <c r="DT311" s="93"/>
      <c r="DU311" s="93"/>
      <c r="DV311" s="93"/>
      <c r="DW311" s="93"/>
      <c r="DX311" s="93"/>
      <c r="DY311" s="93"/>
      <c r="DZ311" s="93"/>
      <c r="EA311" s="93"/>
      <c r="EB311" s="93"/>
      <c r="EC311" s="93"/>
      <c r="ED311" s="93"/>
      <c r="EE311" s="93"/>
      <c r="EF311" s="93"/>
      <c r="EG311" s="93"/>
      <c r="EH311" s="93"/>
      <c r="EI311" s="93"/>
      <c r="EJ311" s="93"/>
      <c r="EK311" s="93"/>
      <c r="EL311" s="93"/>
      <c r="EM311" s="93"/>
      <c r="EN311" s="93"/>
      <c r="EO311" s="93"/>
      <c r="EP311" s="93"/>
      <c r="EQ311" s="93"/>
      <c r="ER311" s="93"/>
      <c r="ES311" s="93"/>
      <c r="ET311" s="93"/>
      <c r="EU311" s="93"/>
      <c r="EV311" s="93"/>
      <c r="EW311" s="93"/>
      <c r="EX311" s="93"/>
      <c r="EY311" s="93"/>
      <c r="EZ311" s="93"/>
      <c r="FA311" s="93"/>
      <c r="FB311" s="93"/>
      <c r="FC311" s="93"/>
      <c r="FD311" s="93"/>
      <c r="FE311" s="93"/>
      <c r="FF311" s="93"/>
      <c r="FG311" s="93"/>
      <c r="FH311" s="93"/>
      <c r="FI311" s="93"/>
      <c r="FJ311" s="93"/>
      <c r="FK311" s="93"/>
      <c r="FL311" s="93"/>
      <c r="FM311" s="93"/>
      <c r="FN311" s="93"/>
      <c r="FO311" s="93"/>
      <c r="FP311" s="93"/>
      <c r="FQ311" s="93"/>
      <c r="FR311" s="93"/>
      <c r="FS311" s="93"/>
      <c r="FT311" s="93"/>
      <c r="FU311" s="93"/>
      <c r="FV311" s="93"/>
      <c r="FW311" s="93"/>
      <c r="FX311" s="93"/>
      <c r="FY311" s="93"/>
      <c r="FZ311" s="93"/>
      <c r="GA311" s="93"/>
      <c r="GB311" s="93"/>
      <c r="GC311" s="93"/>
      <c r="GD311" s="93"/>
      <c r="GE311" s="93"/>
      <c r="GF311" s="93"/>
      <c r="GG311" s="93"/>
      <c r="GH311" s="93"/>
      <c r="GI311" s="93"/>
      <c r="GJ311" s="93"/>
      <c r="GK311" s="93"/>
      <c r="GL311" s="93"/>
      <c r="GM311" s="93"/>
      <c r="GN311" s="93"/>
      <c r="GO311" s="93"/>
      <c r="GP311" s="93"/>
      <c r="GQ311" s="93"/>
      <c r="GR311" s="93"/>
      <c r="GS311" s="93"/>
      <c r="GT311" s="93"/>
      <c r="GU311" s="93"/>
      <c r="GV311" s="93"/>
      <c r="GW311" s="93"/>
      <c r="GX311" s="93"/>
      <c r="GY311" s="93"/>
      <c r="GZ311" s="93"/>
      <c r="HA311" s="93"/>
      <c r="HB311" s="93"/>
      <c r="HC311" s="93"/>
      <c r="HD311" s="93"/>
      <c r="HE311" s="93"/>
      <c r="HF311" s="93"/>
      <c r="HG311" s="93">
        <v>0.33277685030606569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2023-05-07T04:57:03Z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