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6E37D6C8-49E9-4CBD-ABB0-01BD25C006E4}" xr6:coauthVersionLast="47" xr6:coauthVersionMax="47" xr10:uidLastSave="{00000000-0000-0000-0000-000000000000}"/>
  <workbookProtection lockWindows="1"/>
  <bookViews>
    <workbookView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M70" i="6" l="1"/>
  <c r="AM66" i="6"/>
  <c r="BG70" i="6"/>
  <c r="BG66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I61" i="1"/>
  <c r="AM61" i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E69" i="1" l="1"/>
  <c r="AM69" i="1"/>
  <c r="AO69" i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69" i="6"/>
  <c r="BG69" i="6" s="1"/>
  <c r="AM65" i="6"/>
  <c r="BG65" i="6" s="1"/>
  <c r="O74" i="6"/>
  <c r="O70" i="6"/>
  <c r="O66" i="6"/>
  <c r="M69" i="6"/>
  <c r="AG70" i="6" s="1"/>
  <c r="AO69" i="6" l="1"/>
  <c r="AO65" i="6"/>
  <c r="B253" i="6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<sst xmlns="http://schemas.openxmlformats.org/spreadsheetml/2006/main" count="393" uniqueCount="160">
  <si>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</si>
  <si>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</si>
  <si>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</si>
  <si>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</si>
  <si>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</si>
  <si>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</si>
  <si>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</si>
  <si>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</si>
  <si>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</si>
  <si>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</si>
  <si>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</si>
  <si>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</si>
  <si>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</si>
  <si>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</si>
  <si>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</si>
  <si>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</si>
  <si>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</si>
  <si>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</si>
  <si>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</si>
  <si>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</si>
  <si>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</si>
  <si>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</si>
  <si>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</si>
  <si>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</si>
  <si>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</si>
  <si>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</si>
  <si>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</si>
  <si>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</si>
  <si>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</si>
  <si>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</si>
  <si>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</si>
  <si>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</si>
  <si>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</si>
  <si>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</si>
  <si>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</si>
  <si>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</si>
  <si>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</si>
  <si>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</si>
  <si>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</si>
  <si>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</si>
  <si>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</si>
  <si>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</si>
  <si>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</si>
  <si>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</si>
  <si>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</si>
  <si>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</si>
  <si>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</si>
  <si>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</si>
  <si>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</si>
  <si>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</si>
  <si>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</si>
  <si>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</si>
  <si>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</si>
  <si>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</si>
  <si>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</si>
  <si>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</si>
  <si>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</si>
  <si>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</si>
  <si>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</si>
  <si>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</si>
  <si>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</si>
  <si>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</si>
  <si>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</si>
  <si>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</si>
  <si>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</si>
  <si>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</si>
  <si>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</si>
  <si>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</si>
  <si>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</si>
  <si>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</si>
  <si>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</si>
  <si>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</si>
  <si>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</si>
  <si>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</si>
  <si>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</si>
  <si>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</si>
  <si>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</si>
  <si>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</si>
  <si>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</si>
  <si>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</si>
  <si>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</si>
  <si>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</si>
  <si>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</si>
  <si>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</si>
  <si>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</si>
  <si>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</si>
  <si>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</si>
  <si>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</si>
  <si>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</si>
  <si>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</si>
  <si>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</si>
  <si>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</si>
  <si>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</si>
  <si>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</si>
  <si>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</si>
  <si>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</si>
  <si>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</si>
  <si>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</si>
  <si>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</si>
  <si>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</si>
  <si>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</si>
  <si>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</si>
  <si>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</si>
  <si>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</si>
  <si>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</si>
  <si>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</si>
  <si>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</si>
  <si>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</si>
  <si>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</si>
  <si>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</si>
  <si>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</si>
  <si>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</si>
  <si>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</si>
  <si>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</si>
  <si>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</si>
  <si>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</si>
  <si>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</si>
  <si>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</si>
  <si>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</si>
  <si>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</si>
  <si>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</si>
  <si>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</si>
  <si>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</si>
  <si>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</si>
  <si>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</si>
  <si>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</si>
  <si>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</si>
  <si>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</si>
  <si>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</si>
  <si>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</si>
  <si>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</si>
  <si>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</si>
  <si>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</si>
  <si>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</si>
  <si>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</si>
  <si>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</si>
  <si>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</si>
  <si>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</si>
  <si>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</si>
  <si>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</si>
  <si>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</si>
  <si>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</si>
  <si>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</si>
  <si>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</si>
  <si>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</si>
  <si>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</si>
  <si>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</si>
  <si>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</si>
  <si>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</si>
  <si>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</si>
  <si>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</si>
  <si>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</si>
  <si>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</si>
  <si>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</si>
  <si>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</si>
  <si>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</si>
  <si>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f</t>
  </si>
  <si>
    <t>Emergy indices</t>
  </si>
  <si>
    <t>Emergy in sej/sej or %</t>
  </si>
  <si>
    <t>E:\André\testes\RNF\30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</si>
</sst>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4" fillId="13" borderId="4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235326</xdr:colOff>
      <xdr:row>1</xdr:row>
      <xdr:rowOff>11205</xdr:rowOff>
    </xdr:from>
    <xdr:to>
      <xdr:col>5</xdr:col>
      <xdr:colOff>672283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6847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4</xdr:col>
      <xdr:colOff>230843</xdr:colOff>
      <xdr:row>6</xdr:row>
      <xdr:rowOff>6723</xdr:rowOff>
    </xdr:from>
    <xdr:to>
      <xdr:col>5</xdr:col>
      <xdr:colOff>667800</xdr:colOff>
      <xdr:row>9</xdr:row>
      <xdr:rowOff>145678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63990" y="1317811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237565</xdr:colOff>
      <xdr:row>11</xdr:row>
      <xdr:rowOff>2241</xdr:rowOff>
    </xdr:from>
    <xdr:to>
      <xdr:col>5</xdr:col>
      <xdr:colOff>674522</xdr:colOff>
      <xdr:row>14</xdr:row>
      <xdr:rowOff>145677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70712" y="2097741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4</xdr:col>
      <xdr:colOff>246530</xdr:colOff>
      <xdr:row>15</xdr:row>
      <xdr:rowOff>156882</xdr:rowOff>
    </xdr:from>
    <xdr:to>
      <xdr:col>5</xdr:col>
      <xdr:colOff>683487</xdr:colOff>
      <xdr:row>19</xdr:row>
      <xdr:rowOff>156881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79677" y="2879911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38100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/>
  </sheetViews>
  <sheetFormatPr defaultColWidth="9" defaultRowHeight="12.75" x14ac:dyDescent="0.2"/>
  <cols>
    <col min="1" max="1" width="8.875" style="214" customWidth="1"/>
    <col min="2" max="6" width="9" style="214"/>
    <col min="7" max="7" width="11.875" style="214" customWidth="1"/>
    <col min="8" max="8" width="13" style="214" customWidth="1"/>
    <col min="9" max="9" width="13.125" style="214" customWidth="1"/>
    <col min="10" max="10" width="11.875" style="214" customWidth="1"/>
    <col min="11" max="11" width="9" style="214"/>
    <col min="12" max="12" width="11.125" style="214" bestFit="1" customWidth="1"/>
    <col min="13" max="14" width="12.5" style="214" customWidth="1"/>
    <col min="15" max="15" width="12.625" style="214" customWidth="1"/>
    <col min="16" max="16" width="15.375" style="214" customWidth="1"/>
    <col min="17" max="17" width="7" style="214" customWidth="1"/>
    <col min="18" max="18" width="15.25" style="214" bestFit="1" customWidth="1"/>
    <col min="19" max="19" width="12.25" style="215" customWidth="1"/>
    <col min="20" max="22" width="13.25" style="215" customWidth="1"/>
    <col min="23" max="23" width="13" style="214" customWidth="1"/>
    <col min="24" max="24" width="13.75" style="214" customWidth="1"/>
    <col min="25" max="25" width="12.75" style="214" customWidth="1"/>
    <col min="26" max="26" width="12.625" style="214" customWidth="1"/>
    <col min="27" max="27" width="13.5" style="214" customWidth="1"/>
    <col min="28" max="28" width="12.5" style="214" customWidth="1"/>
    <col min="29" max="29" width="9.75" style="214" customWidth="1"/>
    <col min="30" max="30" width="10.25" style="214" customWidth="1"/>
    <col min="31" max="31" width="11.375" style="214" customWidth="1"/>
    <col min="32" max="32" width="11.25" style="214" customWidth="1"/>
    <col min="33" max="33" width="9.625" style="214" customWidth="1"/>
    <col min="34" max="34" width="10.25" style="214" customWidth="1"/>
    <col min="35" max="35" width="7.75" style="214" customWidth="1"/>
    <col min="36" max="37" width="7.125" style="214" customWidth="1"/>
    <col min="38" max="38" width="8.375" style="214" customWidth="1"/>
    <col min="39" max="39" width="8.625" style="214" customWidth="1"/>
    <col min="40" max="40" width="16.125" style="214" customWidth="1"/>
    <col min="41" max="41" width="12.875" style="214" customWidth="1"/>
    <col min="42" max="42" width="13.375" style="214" customWidth="1"/>
    <col min="43" max="43" width="8.5" style="214" customWidth="1"/>
    <col min="44" max="44" width="9" style="214" customWidth="1"/>
    <col min="45" max="45" width="8.875" style="214" customWidth="1"/>
    <col min="46" max="46" width="11.875" style="214" customWidth="1"/>
    <col min="47" max="16384" width="9" style="214"/>
  </cols>
  <sheetData>
    <row r="1" spans="8:46" ht="30" customHeight="1" x14ac:dyDescent="0.2">
      <c r="P1" s="214" t="s">
        <v>64</v>
      </c>
      <c r="Q1" s="214" t="s">
        <v>0</v>
      </c>
      <c r="W1" s="214">
        <v>0</v>
      </c>
      <c r="X1" s="216"/>
      <c r="Y1" s="216"/>
      <c r="AA1" s="214">
        <f>N5+O5+P5</f>
        <v>0</v>
      </c>
      <c r="AM1" s="214">
        <v>1</v>
      </c>
      <c r="AT1" s="214" t="s">
        <v>4</v>
      </c>
    </row>
    <row r="2" spans="8:46" x14ac:dyDescent="0.2">
      <c r="AM2" s="214">
        <v>2</v>
      </c>
      <c r="AT2" s="214" t="s">
        <v>6</v>
      </c>
    </row>
    <row r="3" spans="8:46" x14ac:dyDescent="0.2">
      <c r="AM3" s="214">
        <v>3</v>
      </c>
      <c r="AT3" s="214" t="s">
        <v>5</v>
      </c>
    </row>
    <row r="4" spans="8:46" x14ac:dyDescent="0.2">
      <c r="X4" s="214" t="s">
        <v>89</v>
      </c>
      <c r="AM4" s="214">
        <v>4</v>
      </c>
      <c r="AT4" s="214" t="s">
        <v>83</v>
      </c>
    </row>
    <row r="5" spans="8:46" x14ac:dyDescent="0.2">
      <c r="N5" s="214" t="b">
        <v>0</v>
      </c>
      <c r="O5" s="214" t="b">
        <v>0</v>
      </c>
      <c r="P5" s="214" t="b">
        <v>0</v>
      </c>
      <c r="X5" s="214" t="s">
        <v>97</v>
      </c>
      <c r="Y5" s="214" t="s">
        <v>100</v>
      </c>
      <c r="Z5" s="214" t="s">
        <v>99</v>
      </c>
      <c r="AM5" s="214">
        <v>5</v>
      </c>
    </row>
    <row r="6" spans="8:46" x14ac:dyDescent="0.2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">
      <c r="AM7" s="214">
        <v>7</v>
      </c>
    </row>
    <row r="8" spans="8:46" x14ac:dyDescent="0.2">
      <c r="AM8" s="214">
        <v>8</v>
      </c>
    </row>
    <row r="9" spans="8:46" x14ac:dyDescent="0.2">
      <c r="AM9" s="214">
        <v>9</v>
      </c>
    </row>
    <row r="10" spans="8:46" x14ac:dyDescent="0.2">
      <c r="AM10" s="214">
        <v>10</v>
      </c>
    </row>
    <row r="11" spans="8:46" x14ac:dyDescent="0.2">
      <c r="W11" s="217"/>
      <c r="X11" s="217"/>
      <c r="Y11" s="217"/>
      <c r="Z11" s="217"/>
      <c r="AA11" s="217"/>
      <c r="AB11" s="217"/>
    </row>
    <row r="13" spans="8:46" x14ac:dyDescent="0.2">
      <c r="H13" s="218"/>
      <c r="I13" s="218"/>
    </row>
    <row r="21" spans="1:32" x14ac:dyDescent="0.2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">
      <c r="B22" s="219"/>
      <c r="T22" s="215" t="b">
        <v>0</v>
      </c>
      <c r="U22" s="215" t="b">
        <v>0</v>
      </c>
      <c r="V22" s="215" t="b">
        <v>0</v>
      </c>
    </row>
    <row r="23" spans="1:32" x14ac:dyDescent="0.2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">
      <c r="B24" s="219"/>
      <c r="T24" s="215" t="b">
        <v>0</v>
      </c>
      <c r="U24" s="215" t="b">
        <v>0</v>
      </c>
      <c r="V24" s="215" t="b">
        <v>0</v>
      </c>
    </row>
    <row r="25" spans="1:32" x14ac:dyDescent="0.2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">
      <c r="T31" s="215">
        <v>1</v>
      </c>
      <c r="U31" s="215">
        <v>1</v>
      </c>
      <c r="V31" s="215">
        <v>1</v>
      </c>
    </row>
    <row r="32" spans="1:32" x14ac:dyDescent="0.2">
      <c r="T32" s="215">
        <v>1</v>
      </c>
      <c r="U32" s="215">
        <v>1</v>
      </c>
      <c r="V32" s="215">
        <v>1</v>
      </c>
    </row>
    <row r="33" spans="1:24" x14ac:dyDescent="0.2">
      <c r="T33" s="215">
        <v>1</v>
      </c>
      <c r="U33" s="215">
        <v>1</v>
      </c>
      <c r="V33" s="215">
        <v>1</v>
      </c>
    </row>
    <row r="34" spans="1:24" x14ac:dyDescent="0.2">
      <c r="T34" s="215">
        <v>1</v>
      </c>
      <c r="U34" s="215">
        <v>1</v>
      </c>
      <c r="V34" s="215">
        <v>1</v>
      </c>
    </row>
    <row r="35" spans="1:24" x14ac:dyDescent="0.2">
      <c r="T35" s="215">
        <v>1</v>
      </c>
      <c r="U35" s="215">
        <v>1</v>
      </c>
      <c r="V35" s="215">
        <v>1</v>
      </c>
    </row>
    <row r="36" spans="1:24" x14ac:dyDescent="0.2">
      <c r="T36" s="215">
        <v>1</v>
      </c>
      <c r="U36" s="215">
        <v>1</v>
      </c>
      <c r="V36" s="215">
        <v>1</v>
      </c>
    </row>
    <row r="37" spans="1:24" x14ac:dyDescent="0.2">
      <c r="E37" s="215" t="s">
        <v>63</v>
      </c>
      <c r="F37" s="215">
        <v>1</v>
      </c>
      <c r="G37" s="215" t="b">
        <v>0</v>
      </c>
      <c r="H37" s="215" t="b">
        <v>0</v>
      </c>
      <c r="I37" s="215" t="b">
        <v>0</v>
      </c>
      <c r="K37" s="223">
        <v>1</v>
      </c>
      <c r="L37" s="223"/>
      <c r="M37" s="223"/>
      <c r="N37" s="223"/>
      <c r="O37" s="215" t="s">
        <v>16</v>
      </c>
      <c r="T37" s="215">
        <v>1</v>
      </c>
      <c r="U37" s="215">
        <v>1</v>
      </c>
      <c r="V37" s="215">
        <v>1</v>
      </c>
    </row>
    <row r="38" spans="1:24" x14ac:dyDescent="0.2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68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86</v>
      </c>
    </row>
    <row r="42" spans="1:24" x14ac:dyDescent="0.2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66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101</v>
      </c>
    </row>
    <row r="44" spans="1:24" x14ac:dyDescent="0.2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65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">
      <c r="A47" s="214" t="s">
        <v>159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17</v>
      </c>
      <c r="R48" s="214" t="s">
        <v>63</v>
      </c>
      <c r="S48" s="215">
        <v>1</v>
      </c>
      <c r="T48" s="215" t="b">
        <v>0</v>
      </c>
      <c r="U48" s="215" t="b">
        <v>0</v>
      </c>
      <c r="V48" s="215" t="b">
        <v>0</v>
      </c>
    </row>
    <row r="49" spans="6:56" x14ac:dyDescent="0.2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0</v>
      </c>
      <c r="U49" s="215" t="b">
        <v>0</v>
      </c>
      <c r="V49" s="215" t="b">
        <v>0</v>
      </c>
    </row>
    <row r="50" spans="6:56" x14ac:dyDescent="0.2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14</v>
      </c>
      <c r="T50" s="215" t="b">
        <v>0</v>
      </c>
      <c r="U50" s="215" t="b">
        <v>0</v>
      </c>
      <c r="V50" s="215" t="b">
        <v>0</v>
      </c>
    </row>
    <row r="51" spans="6:56" x14ac:dyDescent="0.2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9</v>
      </c>
      <c r="S51" s="215">
        <v>1</v>
      </c>
      <c r="T51" s="215">
        <v>5</v>
      </c>
      <c r="U51" s="215">
        <v>5</v>
      </c>
      <c r="V51" s="215">
        <v>5</v>
      </c>
    </row>
    <row r="52" spans="6:56" x14ac:dyDescent="0.2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2</v>
      </c>
      <c r="U52" s="215">
        <v>2</v>
      </c>
      <c r="V52" s="215">
        <v>2</v>
      </c>
    </row>
    <row r="53" spans="6:56" x14ac:dyDescent="0.2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14</v>
      </c>
      <c r="T53" s="215">
        <v>2</v>
      </c>
      <c r="U53" s="215">
        <v>2</v>
      </c>
      <c r="V53" s="215">
        <v>2</v>
      </c>
    </row>
    <row r="54" spans="6:56" x14ac:dyDescent="0.2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67</v>
      </c>
      <c r="R54" s="214" t="s">
        <v>63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156</v>
      </c>
      <c r="X55" s="214" t="s">
        <v>156</v>
      </c>
      <c r="Y55" s="214" t="s">
        <v>156</v>
      </c>
      <c r="AA55" s="214" t="s">
        <v>5</v>
      </c>
    </row>
    <row r="56" spans="6:56" x14ac:dyDescent="0.2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6</v>
      </c>
      <c r="X56" s="214">
        <v>6</v>
      </c>
      <c r="Y56" s="214">
        <v>6</v>
      </c>
    </row>
    <row r="57" spans="6:56" x14ac:dyDescent="0.2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84</v>
      </c>
      <c r="S57" s="215">
        <v>0</v>
      </c>
      <c r="W57" s="214" t="s">
        <v>156</v>
      </c>
      <c r="X57" s="214" t="s">
        <v>156</v>
      </c>
      <c r="Y57" s="214" t="s">
        <v>156</v>
      </c>
      <c r="Z57" s="214" t="s">
        <v>4</v>
      </c>
      <c r="AA57" s="214" t="s">
        <v>6</v>
      </c>
    </row>
    <row r="58" spans="6:56" x14ac:dyDescent="0.2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85</v>
      </c>
      <c r="S58" s="215">
        <v>0</v>
      </c>
      <c r="T58" s="215">
        <v>1</v>
      </c>
      <c r="U58" s="215">
        <v>1</v>
      </c>
      <c r="V58" s="215">
        <v>1</v>
      </c>
      <c r="W58" s="214">
        <v>6</v>
      </c>
      <c r="X58" s="214">
        <v>6</v>
      </c>
      <c r="Y58" s="214">
        <v>6</v>
      </c>
    </row>
    <row r="59" spans="6:56" x14ac:dyDescent="0.2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69</v>
      </c>
      <c r="S59" s="215">
        <v>0</v>
      </c>
      <c r="BA59" s="214" t="s">
        <v>1</v>
      </c>
    </row>
    <row r="60" spans="6:56" x14ac:dyDescent="0.2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</v>
      </c>
      <c r="U61" s="224">
        <v>1</v>
      </c>
      <c r="V61" s="224">
        <v>1</v>
      </c>
      <c r="W61" s="225">
        <f>Diagrama!B212</f>
        <v>0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2</v>
      </c>
      <c r="U62" s="224">
        <v>2</v>
      </c>
      <c r="V62" s="224">
        <v>2</v>
      </c>
      <c r="W62" s="225">
        <f>Diagrama!B213</f>
        <v>0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5</v>
      </c>
      <c r="U63" s="224">
        <v>5</v>
      </c>
      <c r="V63" s="224">
        <v>5</v>
      </c>
      <c r="W63" s="225">
        <f>Diagrama!B214</f>
        <v>0</v>
      </c>
      <c r="X63" s="225">
        <f>Diagrama!C214</f>
        <v>0</v>
      </c>
      <c r="Y63" s="225">
        <f>Diagrama!D214</f>
        <v>0</v>
      </c>
      <c r="Z63" s="225">
        <f>Diagrama!E214</f>
        <v>0</v>
      </c>
      <c r="AA63" s="225">
        <f>Diagrama!F214</f>
        <v>0</v>
      </c>
      <c r="AB63" s="225">
        <f>Diagrama!G214</f>
        <v>0</v>
      </c>
      <c r="AC63" s="225">
        <f>Diagrama!H214</f>
        <v>0</v>
      </c>
      <c r="AD63" s="225">
        <f>Diagrama!I214</f>
        <v>0</v>
      </c>
      <c r="AE63" s="225">
        <f>Diagrama!J214</f>
        <v>0</v>
      </c>
      <c r="AF63" s="225">
        <f>Diagrama!K214</f>
        <v>0</v>
      </c>
      <c r="AG63" s="225">
        <f>Diagrama!L214</f>
        <v>0</v>
      </c>
      <c r="AH63" s="225">
        <f>Diagrama!M214</f>
        <v>0</v>
      </c>
      <c r="AI63" s="225">
        <f>Diagrama!N214</f>
        <v>0</v>
      </c>
      <c r="AJ63" s="225">
        <f>Diagrama!O214</f>
        <v>0</v>
      </c>
      <c r="AK63" s="225">
        <f>Diagrama!P214</f>
        <v>0</v>
      </c>
      <c r="AL63" s="225">
        <f>Diagrama!Q214</f>
        <v>0</v>
      </c>
      <c r="AM63" s="225">
        <f>Diagrama!R214</f>
        <v>0</v>
      </c>
      <c r="AN63" s="225">
        <f>Diagrama!S214</f>
        <v>0</v>
      </c>
      <c r="AO63" s="225">
        <f>Diagrama!T214</f>
        <v>0</v>
      </c>
      <c r="AP63" s="225">
        <f>Diagrama!U214</f>
        <v>0</v>
      </c>
      <c r="AQ63" s="225">
        <f>Diagrama!V214</f>
        <v>0</v>
      </c>
      <c r="AR63" s="225">
        <f>Diagrama!W214</f>
        <v>0</v>
      </c>
      <c r="AS63" s="225">
        <f>Diagrama!X214</f>
        <v>0</v>
      </c>
      <c r="AT63" s="225">
        <f>Diagrama!Y214</f>
        <v>0</v>
      </c>
      <c r="AU63" s="225">
        <f>Diagrama!Z214</f>
        <v>0</v>
      </c>
      <c r="AV63" s="225">
        <f>Diagrama!AA214</f>
        <v>0</v>
      </c>
      <c r="AW63" s="225">
        <f>Diagrama!AB214</f>
        <v>0</v>
      </c>
      <c r="AX63" s="225">
        <f>Diagrama!AC214</f>
        <v>0</v>
      </c>
      <c r="AY63" s="225">
        <f>Diagrama!AD214</f>
        <v>0</v>
      </c>
      <c r="AZ63" s="225">
        <f>Diagrama!AE214</f>
        <v>0</v>
      </c>
      <c r="BA63" s="225"/>
    </row>
    <row r="64" spans="6:56" x14ac:dyDescent="0.2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13</v>
      </c>
      <c r="T64" s="224">
        <v>8</v>
      </c>
      <c r="U64" s="224">
        <v>8</v>
      </c>
      <c r="V64" s="224">
        <v>8</v>
      </c>
      <c r="W64" s="225">
        <f>Diagrama!B215</f>
        <v>0</v>
      </c>
      <c r="X64" s="225">
        <f>Diagrama!C215</f>
        <v>0</v>
      </c>
      <c r="Y64" s="225">
        <f>Diagrama!D215</f>
        <v>0</v>
      </c>
      <c r="Z64" s="225">
        <f>Diagrama!E215</f>
        <v>0</v>
      </c>
      <c r="AA64" s="225">
        <f>Diagrama!F215</f>
        <v>0</v>
      </c>
      <c r="AB64" s="225">
        <f>Diagrama!G215</f>
        <v>0</v>
      </c>
      <c r="AC64" s="225">
        <f>Diagrama!H215</f>
        <v>0</v>
      </c>
      <c r="AD64" s="225">
        <f>Diagrama!I215</f>
        <v>0</v>
      </c>
      <c r="AE64" s="225">
        <f>Diagrama!J215</f>
        <v>0</v>
      </c>
      <c r="AF64" s="225">
        <f>Diagrama!K215</f>
        <v>0</v>
      </c>
      <c r="AG64" s="225">
        <f>Diagrama!L215</f>
        <v>0</v>
      </c>
      <c r="AH64" s="225">
        <f>Diagrama!M215</f>
        <v>0</v>
      </c>
      <c r="AI64" s="225">
        <f>Diagrama!N215</f>
        <v>0</v>
      </c>
      <c r="AJ64" s="225">
        <f>Diagrama!O215</f>
        <v>0</v>
      </c>
      <c r="AK64" s="225">
        <f>Diagrama!P215</f>
        <v>0</v>
      </c>
      <c r="AL64" s="225">
        <f>Diagrama!Q215</f>
        <v>0</v>
      </c>
      <c r="AM64" s="225">
        <f>Diagrama!R215</f>
        <v>0</v>
      </c>
      <c r="AN64" s="225">
        <f>Diagrama!S215</f>
        <v>0</v>
      </c>
      <c r="AO64" s="225">
        <f>Diagrama!T215</f>
        <v>0</v>
      </c>
      <c r="AP64" s="225">
        <f>Diagrama!U215</f>
        <v>0</v>
      </c>
      <c r="AQ64" s="225">
        <f>Diagrama!V215</f>
        <v>0</v>
      </c>
      <c r="AR64" s="225">
        <f>Diagrama!W215</f>
        <v>0</v>
      </c>
      <c r="AS64" s="225">
        <f>Diagrama!X215</f>
        <v>0</v>
      </c>
      <c r="AT64" s="225">
        <f>Diagrama!Y215</f>
        <v>0</v>
      </c>
      <c r="AU64" s="225">
        <f>Diagrama!Z215</f>
        <v>0</v>
      </c>
      <c r="AV64" s="225">
        <f>Diagrama!AA215</f>
        <v>0</v>
      </c>
      <c r="AW64" s="225">
        <f>Diagrama!AB215</f>
        <v>0</v>
      </c>
      <c r="AX64" s="225">
        <f>Diagrama!AC215</f>
        <v>0</v>
      </c>
      <c r="AY64" s="225">
        <f>Diagrama!AD215</f>
        <v>0</v>
      </c>
      <c r="AZ64" s="225">
        <f>Diagrama!AE215</f>
        <v>0</v>
      </c>
      <c r="BA64" s="225"/>
    </row>
    <row r="65" spans="6:53" x14ac:dyDescent="0.2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27</v>
      </c>
      <c r="T65" s="226">
        <v>1.6</v>
      </c>
      <c r="U65" s="227">
        <v>1.6</v>
      </c>
      <c r="V65" s="226">
        <v>1.6</v>
      </c>
      <c r="W65" s="228">
        <f>Diagrama!B226</f>
        <v>0</v>
      </c>
      <c r="X65" s="228">
        <f>Diagrama!C226</f>
        <v>0</v>
      </c>
      <c r="Y65" s="228">
        <f>Diagrama!D226</f>
        <v>0</v>
      </c>
      <c r="Z65" s="228">
        <f>Diagrama!E226</f>
        <v>0</v>
      </c>
      <c r="AA65" s="228">
        <f>Diagrama!F226</f>
        <v>0</v>
      </c>
      <c r="AB65" s="228">
        <f>Diagrama!G226</f>
        <v>0</v>
      </c>
      <c r="AC65" s="228">
        <f>Diagrama!H226</f>
        <v>0</v>
      </c>
      <c r="AD65" s="228">
        <f>Diagrama!I226</f>
        <v>0</v>
      </c>
      <c r="AE65" s="228">
        <f>Diagrama!J226</f>
        <v>0</v>
      </c>
      <c r="AF65" s="228">
        <f>Diagrama!K226</f>
        <v>0</v>
      </c>
      <c r="AG65" s="228">
        <f>Diagrama!L226</f>
        <v>0</v>
      </c>
      <c r="AH65" s="228">
        <f>Diagrama!M226</f>
        <v>0</v>
      </c>
      <c r="AI65" s="228">
        <f>Diagrama!N226</f>
        <v>0</v>
      </c>
      <c r="AJ65" s="228">
        <f>Diagrama!O226</f>
        <v>0</v>
      </c>
      <c r="AK65" s="228">
        <f>Diagrama!P226</f>
        <v>0</v>
      </c>
      <c r="AL65" s="228">
        <f>Diagrama!Q226</f>
        <v>0</v>
      </c>
      <c r="AM65" s="228">
        <f>Diagrama!R226</f>
        <v>0</v>
      </c>
      <c r="AN65" s="228">
        <f>Diagrama!S226</f>
        <v>0</v>
      </c>
      <c r="AO65" s="228">
        <f>Diagrama!T226</f>
        <v>0</v>
      </c>
      <c r="AP65" s="228">
        <f>Diagrama!U226</f>
        <v>0</v>
      </c>
      <c r="AQ65" s="228">
        <f>Diagrama!V226</f>
        <v>0</v>
      </c>
      <c r="AR65" s="228">
        <f>Diagrama!W226</f>
        <v>0</v>
      </c>
      <c r="AS65" s="228">
        <f>Diagrama!X226</f>
        <v>0</v>
      </c>
      <c r="AT65" s="228">
        <f>Diagrama!Y226</f>
        <v>0</v>
      </c>
      <c r="AU65" s="228">
        <f>Diagrama!Z226</f>
        <v>0</v>
      </c>
      <c r="AV65" s="228">
        <f>Diagrama!AA226</f>
        <v>0</v>
      </c>
      <c r="AW65" s="228">
        <f>Diagrama!AB226</f>
        <v>0</v>
      </c>
      <c r="AX65" s="228">
        <f>Diagrama!AC226</f>
        <v>0</v>
      </c>
      <c r="AY65" s="228">
        <f>Diagrama!AD226</f>
        <v>0</v>
      </c>
      <c r="AZ65" s="228">
        <f>Diagrama!AE226</f>
        <v>0</v>
      </c>
      <c r="BA65" s="228"/>
    </row>
    <row r="66" spans="6:53" x14ac:dyDescent="0.2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28</v>
      </c>
      <c r="T66" s="226">
        <v>1.6666666666666667</v>
      </c>
      <c r="U66" s="227">
        <v>1.6666666666666667</v>
      </c>
      <c r="V66" s="226">
        <v>1.6666666666666667</v>
      </c>
      <c r="W66" s="228">
        <f>Diagrama!B227</f>
        <v>0</v>
      </c>
      <c r="X66" s="228">
        <f>Diagrama!C227</f>
        <v>0</v>
      </c>
      <c r="Y66" s="228">
        <f>Diagrama!D227</f>
        <v>0</v>
      </c>
      <c r="Z66" s="228">
        <f>Diagrama!E227</f>
        <v>0</v>
      </c>
      <c r="AA66" s="228">
        <f>Diagrama!F227</f>
        <v>0</v>
      </c>
      <c r="AB66" s="228">
        <f>Diagrama!G227</f>
        <v>0</v>
      </c>
      <c r="AC66" s="228">
        <f>Diagrama!H227</f>
        <v>0</v>
      </c>
      <c r="AD66" s="228">
        <f>Diagrama!I227</f>
        <v>0</v>
      </c>
      <c r="AE66" s="228">
        <f>Diagrama!J227</f>
        <v>0</v>
      </c>
      <c r="AF66" s="228">
        <f>Diagrama!K227</f>
        <v>0</v>
      </c>
      <c r="AG66" s="228">
        <f>Diagrama!L227</f>
        <v>0</v>
      </c>
      <c r="AH66" s="228">
        <f>Diagrama!M227</f>
        <v>0</v>
      </c>
      <c r="AI66" s="228">
        <f>Diagrama!N227</f>
        <v>0</v>
      </c>
      <c r="AJ66" s="228">
        <f>Diagrama!O227</f>
        <v>0</v>
      </c>
      <c r="AK66" s="228">
        <f>Diagrama!P227</f>
        <v>0</v>
      </c>
      <c r="AL66" s="228">
        <f>Diagrama!Q227</f>
        <v>0</v>
      </c>
      <c r="AM66" s="228">
        <f>Diagrama!R227</f>
        <v>0</v>
      </c>
      <c r="AN66" s="228">
        <f>Diagrama!S227</f>
        <v>0</v>
      </c>
      <c r="AO66" s="228">
        <f>Diagrama!T227</f>
        <v>0</v>
      </c>
      <c r="AP66" s="228">
        <f>Diagrama!U227</f>
        <v>0</v>
      </c>
      <c r="AQ66" s="228">
        <f>Diagrama!V227</f>
        <v>0</v>
      </c>
      <c r="AR66" s="228">
        <f>Diagrama!W227</f>
        <v>0</v>
      </c>
      <c r="AS66" s="228">
        <f>Diagrama!X227</f>
        <v>0</v>
      </c>
      <c r="AT66" s="228">
        <f>Diagrama!Y227</f>
        <v>0</v>
      </c>
      <c r="AU66" s="228">
        <f>Diagrama!Z227</f>
        <v>0</v>
      </c>
      <c r="AV66" s="228">
        <f>Diagrama!AA227</f>
        <v>0</v>
      </c>
      <c r="AW66" s="228">
        <f>Diagrama!AB227</f>
        <v>0</v>
      </c>
      <c r="AX66" s="228">
        <f>Diagrama!AC227</f>
        <v>0</v>
      </c>
      <c r="AY66" s="228">
        <f>Diagrama!AD227</f>
        <v>0</v>
      </c>
      <c r="AZ66" s="228">
        <f>Diagrama!AE227</f>
        <v>0</v>
      </c>
      <c r="BA66" s="228"/>
    </row>
    <row r="67" spans="6:53" x14ac:dyDescent="0.2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29</v>
      </c>
      <c r="T67" s="226">
        <v>7</v>
      </c>
      <c r="U67" s="227">
        <v>7</v>
      </c>
      <c r="V67" s="226">
        <v>7</v>
      </c>
      <c r="W67" s="228">
        <f>Diagrama!B228</f>
        <v>0</v>
      </c>
      <c r="X67" s="228">
        <f>Diagrama!C228</f>
        <v>0</v>
      </c>
      <c r="Y67" s="228">
        <f>Diagrama!D228</f>
        <v>0</v>
      </c>
      <c r="Z67" s="228">
        <f>Diagrama!E228</f>
        <v>0</v>
      </c>
      <c r="AA67" s="228">
        <f>Diagrama!F228</f>
        <v>0</v>
      </c>
      <c r="AB67" s="228">
        <f>Diagrama!G228</f>
        <v>0</v>
      </c>
      <c r="AC67" s="228">
        <f>Diagrama!H228</f>
        <v>0</v>
      </c>
      <c r="AD67" s="228">
        <f>Diagrama!I228</f>
        <v>0</v>
      </c>
      <c r="AE67" s="228">
        <f>Diagrama!J228</f>
        <v>0</v>
      </c>
      <c r="AF67" s="228">
        <f>Diagrama!K228</f>
        <v>0</v>
      </c>
      <c r="AG67" s="228">
        <f>Diagrama!L228</f>
        <v>0</v>
      </c>
      <c r="AH67" s="228">
        <f>Diagrama!M228</f>
        <v>0</v>
      </c>
      <c r="AI67" s="228">
        <f>Diagrama!N228</f>
        <v>0</v>
      </c>
      <c r="AJ67" s="228">
        <f>Diagrama!O228</f>
        <v>0</v>
      </c>
      <c r="AK67" s="228">
        <f>Diagrama!P228</f>
        <v>0</v>
      </c>
      <c r="AL67" s="228">
        <f>Diagrama!Q228</f>
        <v>0</v>
      </c>
      <c r="AM67" s="228">
        <f>Diagrama!R228</f>
        <v>0</v>
      </c>
      <c r="AN67" s="228">
        <f>Diagrama!S228</f>
        <v>0</v>
      </c>
      <c r="AO67" s="228">
        <f>Diagrama!T228</f>
        <v>0</v>
      </c>
      <c r="AP67" s="228">
        <f>Diagrama!U228</f>
        <v>0</v>
      </c>
      <c r="AQ67" s="228">
        <f>Diagrama!V228</f>
        <v>0</v>
      </c>
      <c r="AR67" s="228">
        <f>Diagrama!W228</f>
        <v>0</v>
      </c>
      <c r="AS67" s="228">
        <f>Diagrama!X228</f>
        <v>0</v>
      </c>
      <c r="AT67" s="228">
        <f>Diagrama!Y228</f>
        <v>0</v>
      </c>
      <c r="AU67" s="228">
        <f>Diagrama!Z228</f>
        <v>0</v>
      </c>
      <c r="AV67" s="228">
        <f>Diagrama!AA228</f>
        <v>0</v>
      </c>
      <c r="AW67" s="228">
        <f>Diagrama!AB228</f>
        <v>0</v>
      </c>
      <c r="AX67" s="228">
        <f>Diagrama!AC228</f>
        <v>0</v>
      </c>
      <c r="AY67" s="228">
        <f>Diagrama!AD228</f>
        <v>0</v>
      </c>
      <c r="AZ67" s="228">
        <f>Diagrama!AE228</f>
        <v>0</v>
      </c>
      <c r="BA67" s="228"/>
    </row>
    <row r="68" spans="6:53" x14ac:dyDescent="0.2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17</v>
      </c>
      <c r="T68" s="226">
        <v>0.22857142857142859</v>
      </c>
      <c r="U68" s="227">
        <v>0.22857142857142859</v>
      </c>
      <c r="V68" s="226">
        <v>0.22857142857142859</v>
      </c>
      <c r="W68" s="228">
        <f>Diagrama!B229</f>
        <v>0</v>
      </c>
      <c r="X68" s="228">
        <f>Diagrama!C229</f>
        <v>0</v>
      </c>
      <c r="Y68" s="228">
        <f>Diagrama!D229</f>
        <v>0</v>
      </c>
      <c r="Z68" s="228">
        <f>Diagrama!E229</f>
        <v>0</v>
      </c>
      <c r="AA68" s="228">
        <f>Diagrama!F229</f>
        <v>0</v>
      </c>
      <c r="AB68" s="228">
        <f>Diagrama!G229</f>
        <v>0</v>
      </c>
      <c r="AC68" s="228">
        <f>Diagrama!H229</f>
        <v>0</v>
      </c>
      <c r="AD68" s="228">
        <f>Diagrama!I229</f>
        <v>0</v>
      </c>
      <c r="AE68" s="228">
        <f>Diagrama!J229</f>
        <v>0</v>
      </c>
      <c r="AF68" s="228">
        <f>Diagrama!K229</f>
        <v>0</v>
      </c>
      <c r="AG68" s="228">
        <f>Diagrama!L229</f>
        <v>0</v>
      </c>
      <c r="AH68" s="228">
        <f>Diagrama!M229</f>
        <v>0</v>
      </c>
      <c r="AI68" s="228">
        <f>Diagrama!N229</f>
        <v>0</v>
      </c>
      <c r="AJ68" s="228">
        <f>Diagrama!O229</f>
        <v>0</v>
      </c>
      <c r="AK68" s="228">
        <f>Diagrama!P229</f>
        <v>0</v>
      </c>
      <c r="AL68" s="228">
        <f>Diagrama!Q229</f>
        <v>0</v>
      </c>
      <c r="AM68" s="228">
        <f>Diagrama!R229</f>
        <v>0</v>
      </c>
      <c r="AN68" s="228">
        <f>Diagrama!S229</f>
        <v>0</v>
      </c>
      <c r="AO68" s="228">
        <f>Diagrama!T229</f>
        <v>0</v>
      </c>
      <c r="AP68" s="228">
        <f>Diagrama!U229</f>
        <v>0</v>
      </c>
      <c r="AQ68" s="228">
        <f>Diagrama!V229</f>
        <v>0</v>
      </c>
      <c r="AR68" s="228">
        <f>Diagrama!W229</f>
        <v>0</v>
      </c>
      <c r="AS68" s="228">
        <f>Diagrama!X229</f>
        <v>0</v>
      </c>
      <c r="AT68" s="228">
        <f>Diagrama!Y229</f>
        <v>0</v>
      </c>
      <c r="AU68" s="228">
        <f>Diagrama!Z229</f>
        <v>0</v>
      </c>
      <c r="AV68" s="228">
        <f>Diagrama!AA229</f>
        <v>0</v>
      </c>
      <c r="AW68" s="228">
        <f>Diagrama!AB229</f>
        <v>0</v>
      </c>
      <c r="AX68" s="228">
        <f>Diagrama!AC229</f>
        <v>0</v>
      </c>
      <c r="AY68" s="228">
        <f>Diagrama!AD229</f>
        <v>0</v>
      </c>
      <c r="AZ68" s="228">
        <f>Diagrama!AE229</f>
        <v>0</v>
      </c>
      <c r="BA68" s="228"/>
    </row>
    <row r="69" spans="6:53" x14ac:dyDescent="0.2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10</v>
      </c>
      <c r="T69" s="229">
        <v>12.5</v>
      </c>
      <c r="U69" s="227">
        <v>12.5</v>
      </c>
      <c r="V69" s="229">
        <v>12.5</v>
      </c>
      <c r="W69" s="230" t="e">
        <f>100*W61/W64</f>
        <v>#DIV/0!</v>
      </c>
      <c r="X69" s="230" t="e">
        <f t="shared" ref="X69:AZ69" si="0">100*X61/X64</f>
        <v>#DIV/0!</v>
      </c>
      <c r="Y69" s="230" t="e">
        <f t="shared" si="0"/>
        <v>#DIV/0!</v>
      </c>
      <c r="Z69" s="230" t="e">
        <f t="shared" si="0"/>
        <v>#DIV/0!</v>
      </c>
      <c r="AA69" s="230" t="e">
        <f t="shared" si="0"/>
        <v>#DIV/0!</v>
      </c>
      <c r="AB69" s="230" t="e">
        <f t="shared" si="0"/>
        <v>#DIV/0!</v>
      </c>
      <c r="AC69" s="230" t="e">
        <f t="shared" si="0"/>
        <v>#DIV/0!</v>
      </c>
      <c r="AD69" s="230" t="e">
        <f t="shared" si="0"/>
        <v>#DIV/0!</v>
      </c>
      <c r="AE69" s="230" t="e">
        <f t="shared" si="0"/>
        <v>#DIV/0!</v>
      </c>
      <c r="AF69" s="230" t="e">
        <f t="shared" si="0"/>
        <v>#DIV/0!</v>
      </c>
      <c r="AG69" s="230" t="e">
        <f t="shared" si="0"/>
        <v>#DIV/0!</v>
      </c>
      <c r="AH69" s="230" t="e">
        <f t="shared" si="0"/>
        <v>#DIV/0!</v>
      </c>
      <c r="AI69" s="230" t="e">
        <f t="shared" si="0"/>
        <v>#DIV/0!</v>
      </c>
      <c r="AJ69" s="230" t="e">
        <f t="shared" si="0"/>
        <v>#DIV/0!</v>
      </c>
      <c r="AK69" s="230" t="e">
        <f t="shared" si="0"/>
        <v>#DIV/0!</v>
      </c>
      <c r="AL69" s="230" t="e">
        <f t="shared" si="0"/>
        <v>#DIV/0!</v>
      </c>
      <c r="AM69" s="230" t="e">
        <f t="shared" si="0"/>
        <v>#DIV/0!</v>
      </c>
      <c r="AN69" s="230" t="e">
        <f t="shared" si="0"/>
        <v>#DIV/0!</v>
      </c>
      <c r="AO69" s="230" t="e">
        <f t="shared" si="0"/>
        <v>#DIV/0!</v>
      </c>
      <c r="AP69" s="230" t="e">
        <f t="shared" si="0"/>
        <v>#DIV/0!</v>
      </c>
      <c r="AQ69" s="230" t="e">
        <f t="shared" si="0"/>
        <v>#DIV/0!</v>
      </c>
      <c r="AR69" s="230" t="e">
        <f t="shared" si="0"/>
        <v>#DIV/0!</v>
      </c>
      <c r="AS69" s="230" t="e">
        <f t="shared" si="0"/>
        <v>#DIV/0!</v>
      </c>
      <c r="AT69" s="230" t="e">
        <f t="shared" si="0"/>
        <v>#DIV/0!</v>
      </c>
      <c r="AU69" s="230" t="e">
        <f t="shared" si="0"/>
        <v>#DIV/0!</v>
      </c>
      <c r="AV69" s="230" t="e">
        <f t="shared" si="0"/>
        <v>#DIV/0!</v>
      </c>
      <c r="AW69" s="230" t="e">
        <f t="shared" si="0"/>
        <v>#DIV/0!</v>
      </c>
      <c r="AX69" s="230" t="e">
        <f t="shared" si="0"/>
        <v>#DIV/0!</v>
      </c>
      <c r="AY69" s="230" t="e">
        <f t="shared" si="0"/>
        <v>#DIV/0!</v>
      </c>
      <c r="AZ69" s="230" t="e">
        <f t="shared" si="0"/>
        <v>#DIV/0!</v>
      </c>
      <c r="BA69" s="230"/>
    </row>
    <row r="70" spans="6:53" x14ac:dyDescent="0.2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70</v>
      </c>
      <c r="T70" s="224">
        <v>0</v>
      </c>
      <c r="U70" s="224">
        <v>0</v>
      </c>
      <c r="V70" s="224">
        <v>0</v>
      </c>
    </row>
    <row r="71" spans="6:53" x14ac:dyDescent="0.2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71</v>
      </c>
    </row>
    <row r="72" spans="6:53" x14ac:dyDescent="0.2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82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W76" s="232"/>
      <c r="X76" s="232"/>
      <c r="Y76" s="232"/>
      <c r="Z76" s="232"/>
      <c r="AA76" s="232"/>
      <c r="AB76" s="232"/>
      <c r="AC76" s="232"/>
      <c r="AD76" s="232"/>
      <c r="AE76" s="232"/>
      <c r="AF76" s="232"/>
      <c r="AG76" s="232"/>
      <c r="AH76" s="232"/>
      <c r="AI76" s="232"/>
      <c r="AJ76" s="232"/>
      <c r="AK76" s="232"/>
      <c r="AL76" s="232"/>
      <c r="AM76" s="232"/>
      <c r="AN76" s="232"/>
      <c r="AO76" s="232"/>
      <c r="AP76" s="232"/>
      <c r="AQ76" s="232"/>
      <c r="AR76" s="232"/>
      <c r="AS76" s="232"/>
      <c r="AT76" s="232"/>
      <c r="AU76" s="232"/>
      <c r="AV76" s="232"/>
      <c r="AW76" s="232"/>
      <c r="AX76" s="232"/>
      <c r="AY76" s="232"/>
      <c r="AZ76" s="232"/>
    </row>
    <row r="77" spans="6:53" x14ac:dyDescent="0.2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W77" s="232"/>
      <c r="X77" s="232"/>
      <c r="Y77" s="232"/>
      <c r="Z77" s="232"/>
      <c r="AA77" s="232"/>
      <c r="AB77" s="232"/>
      <c r="AC77" s="232"/>
      <c r="AD77" s="232"/>
      <c r="AE77" s="232"/>
      <c r="AF77" s="232"/>
      <c r="AG77" s="232"/>
      <c r="AH77" s="232"/>
      <c r="AI77" s="232"/>
      <c r="AJ77" s="232"/>
      <c r="AK77" s="232"/>
      <c r="AL77" s="232"/>
      <c r="AM77" s="232"/>
      <c r="AN77" s="232"/>
      <c r="AO77" s="232"/>
      <c r="AP77" s="232"/>
      <c r="AQ77" s="232"/>
      <c r="AR77" s="232"/>
      <c r="AS77" s="232"/>
      <c r="AT77" s="232"/>
      <c r="AU77" s="232"/>
      <c r="AV77" s="232"/>
      <c r="AW77" s="232"/>
      <c r="AX77" s="232"/>
      <c r="AY77" s="232"/>
      <c r="AZ77" s="232"/>
    </row>
    <row r="78" spans="6:53" x14ac:dyDescent="0.2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W78" s="232"/>
      <c r="X78" s="232"/>
      <c r="Y78" s="232"/>
      <c r="Z78" s="232"/>
      <c r="AA78" s="232"/>
      <c r="AB78" s="232"/>
      <c r="AC78" s="232"/>
      <c r="AD78" s="232"/>
      <c r="AE78" s="232"/>
      <c r="AF78" s="232"/>
      <c r="AG78" s="232"/>
      <c r="AH78" s="232"/>
      <c r="AI78" s="232"/>
      <c r="AJ78" s="232"/>
      <c r="AK78" s="232"/>
      <c r="AL78" s="232"/>
      <c r="AM78" s="232"/>
      <c r="AN78" s="232"/>
      <c r="AO78" s="232"/>
      <c r="AP78" s="232"/>
      <c r="AQ78" s="232"/>
      <c r="AR78" s="232"/>
      <c r="AS78" s="232"/>
      <c r="AT78" s="232"/>
      <c r="AU78" s="232"/>
      <c r="AV78" s="232"/>
      <c r="AW78" s="232"/>
      <c r="AX78" s="232"/>
      <c r="AY78" s="232"/>
      <c r="AZ78" s="232"/>
    </row>
    <row r="79" spans="6:53" x14ac:dyDescent="0.2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W79" s="232"/>
      <c r="X79" s="232"/>
      <c r="Y79" s="232"/>
      <c r="Z79" s="232"/>
      <c r="AA79" s="232"/>
      <c r="AB79" s="232"/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2"/>
      <c r="AN79" s="232"/>
      <c r="AO79" s="232"/>
      <c r="AP79" s="232"/>
      <c r="AQ79" s="232"/>
      <c r="AR79" s="232"/>
      <c r="AS79" s="232"/>
      <c r="AT79" s="232"/>
      <c r="AU79" s="232"/>
      <c r="AV79" s="232"/>
      <c r="AW79" s="232"/>
      <c r="AX79" s="232"/>
      <c r="AY79" s="232"/>
      <c r="AZ79" s="232"/>
    </row>
    <row r="80" spans="6:53" x14ac:dyDescent="0.2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">
      <c r="E239" s="214" t="s">
        <v>112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113</v>
      </c>
    </row>
    <row r="240" spans="5:15" x14ac:dyDescent="0.2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">
      <c r="A440" s="214" t="s">
        <v>115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">
      <c r="A442" s="214" t="s">
        <v>113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I3" sqref="I3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3.625" style="201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3" t="s">
        <v>158</v>
      </c>
      <c r="I1" s="185"/>
      <c r="J1" s="202" t="s">
        <v>157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I28" s="189"/>
    </row>
    <row r="29" spans="2:11" x14ac:dyDescent="0.2">
      <c r="B29" s="187"/>
      <c r="E29" s="189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6" fitToHeight="0" orientation="portrait" verticalDpi="300" r:id="rId1"/>
  <headerFooter alignWithMargins="0">
    <oddHeader xml:space="preserve">&amp;L&amp;"Comic Sans MS,Negrito"&amp;14Summarized Emergy Flows and Indices&amp;R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7">
        <v>1</v>
      </c>
      <c r="B2" s="211"/>
      <c r="C2" s="212" t="s">
        <v>153</v>
      </c>
      <c r="D2" s="213"/>
    </row>
    <row r="3" spans="1:4" ht="12" x14ac:dyDescent="0.2">
      <c r="A3" s="207">
        <f>$A$2+0</f>
        <v>1</v>
      </c>
      <c r="B3" s="208">
        <f t="shared" ref="B3:B4" si="0">$B$2</f>
        <v>0</v>
      </c>
      <c r="C3" s="205" t="s">
        <v>154</v>
      </c>
      <c r="D3" s="206"/>
    </row>
    <row r="4" spans="1:4" ht="12" x14ac:dyDescent="0.2">
      <c r="A4" s="207">
        <f>$A$2+0</f>
        <v>1</v>
      </c>
      <c r="B4" s="208">
        <f t="shared" si="0"/>
        <v>0</v>
      </c>
      <c r="C4" s="205" t="s">
        <v>155</v>
      </c>
      <c r="D4" s="206"/>
    </row>
    <row r="5" spans="1:4" ht="12" x14ac:dyDescent="0.2">
      <c r="A5" s="203">
        <f>2</f>
        <v>2</v>
      </c>
      <c r="B5" s="204"/>
      <c r="C5" s="205" t="s">
        <v>153</v>
      </c>
      <c r="D5" s="206"/>
    </row>
    <row r="6" spans="1:4" ht="12" x14ac:dyDescent="0.2">
      <c r="A6" s="207">
        <f>$A$5</f>
        <v>2</v>
      </c>
      <c r="B6" s="208">
        <f t="shared" ref="B6:B7" si="1">$B$5</f>
        <v>0</v>
      </c>
      <c r="C6" s="205" t="s">
        <v>154</v>
      </c>
      <c r="D6" s="206"/>
    </row>
    <row r="7" spans="1:4" ht="12" x14ac:dyDescent="0.2">
      <c r="A7" s="207">
        <f>$A$5</f>
        <v>2</v>
      </c>
      <c r="B7" s="208">
        <f t="shared" si="1"/>
        <v>0</v>
      </c>
      <c r="C7" s="205" t="s">
        <v>155</v>
      </c>
      <c r="D7" s="206"/>
    </row>
    <row r="8" spans="1:4" ht="12" x14ac:dyDescent="0.2">
      <c r="A8" s="203">
        <f>3</f>
        <v>3</v>
      </c>
      <c r="B8" s="204"/>
      <c r="C8" s="205" t="s">
        <v>153</v>
      </c>
      <c r="D8" s="206"/>
    </row>
    <row r="9" spans="1:4" ht="12" x14ac:dyDescent="0.2">
      <c r="A9" s="207">
        <f>$A$8</f>
        <v>3</v>
      </c>
      <c r="B9" s="208">
        <f t="shared" ref="B9:B10" si="2">$B$8</f>
        <v>0</v>
      </c>
      <c r="C9" s="205" t="s">
        <v>154</v>
      </c>
      <c r="D9" s="206"/>
    </row>
    <row r="10" spans="1:4" ht="12" x14ac:dyDescent="0.2">
      <c r="A10" s="207">
        <f>$A$8</f>
        <v>3</v>
      </c>
      <c r="B10" s="208">
        <f t="shared" si="2"/>
        <v>0</v>
      </c>
      <c r="C10" s="205" t="s">
        <v>155</v>
      </c>
      <c r="D10" s="206"/>
    </row>
    <row r="11" spans="1:4" ht="12" x14ac:dyDescent="0.2">
      <c r="A11" s="203">
        <f>4</f>
        <v>4</v>
      </c>
      <c r="B11" s="204"/>
      <c r="C11" s="205" t="s">
        <v>153</v>
      </c>
      <c r="D11" s="206"/>
    </row>
    <row r="12" spans="1:4" ht="12" x14ac:dyDescent="0.2">
      <c r="A12" s="207">
        <f>$A$11</f>
        <v>4</v>
      </c>
      <c r="B12" s="208">
        <f t="shared" ref="B12:B13" si="3">$B$11</f>
        <v>0</v>
      </c>
      <c r="C12" s="205" t="s">
        <v>154</v>
      </c>
      <c r="D12" s="206"/>
    </row>
    <row r="13" spans="1:4" ht="12" x14ac:dyDescent="0.2">
      <c r="A13" s="207">
        <f>$A$11</f>
        <v>4</v>
      </c>
      <c r="B13" s="208">
        <f t="shared" si="3"/>
        <v>0</v>
      </c>
      <c r="C13" s="205" t="s">
        <v>155</v>
      </c>
      <c r="D13" s="206"/>
    </row>
    <row r="14" spans="1:4" ht="12" x14ac:dyDescent="0.2">
      <c r="A14" s="203">
        <f>5</f>
        <v>5</v>
      </c>
      <c r="B14" s="204"/>
      <c r="C14" s="205" t="s">
        <v>153</v>
      </c>
      <c r="D14" s="206"/>
    </row>
    <row r="15" spans="1:4" ht="12" x14ac:dyDescent="0.2">
      <c r="A15" s="207">
        <f>$A$14</f>
        <v>5</v>
      </c>
      <c r="B15" s="208">
        <f t="shared" ref="B15:B16" si="4">$B$14</f>
        <v>0</v>
      </c>
      <c r="C15" s="205" t="s">
        <v>154</v>
      </c>
      <c r="D15" s="206"/>
    </row>
    <row r="16" spans="1:4" ht="12" x14ac:dyDescent="0.2">
      <c r="A16" s="207">
        <f>$A$14</f>
        <v>5</v>
      </c>
      <c r="B16" s="208">
        <f t="shared" si="4"/>
        <v>0</v>
      </c>
      <c r="C16" s="205" t="s">
        <v>155</v>
      </c>
      <c r="D16" s="206"/>
    </row>
    <row r="17" spans="1:4" ht="12" x14ac:dyDescent="0.2">
      <c r="A17" s="203">
        <f>6</f>
        <v>6</v>
      </c>
      <c r="B17" s="204"/>
      <c r="C17" s="205" t="s">
        <v>153</v>
      </c>
      <c r="D17" s="206"/>
    </row>
    <row r="18" spans="1:4" ht="12" x14ac:dyDescent="0.2">
      <c r="A18" s="207">
        <f>$A$17</f>
        <v>6</v>
      </c>
      <c r="B18" s="208">
        <f t="shared" ref="B18:B19" si="5">$B$17</f>
        <v>0</v>
      </c>
      <c r="C18" s="205" t="s">
        <v>154</v>
      </c>
      <c r="D18" s="206"/>
    </row>
    <row r="19" spans="1:4" ht="12" x14ac:dyDescent="0.2">
      <c r="A19" s="207">
        <f>$A$17</f>
        <v>6</v>
      </c>
      <c r="B19" s="208">
        <f t="shared" si="5"/>
        <v>0</v>
      </c>
      <c r="C19" s="205" t="s">
        <v>155</v>
      </c>
      <c r="D19" s="206"/>
    </row>
    <row r="20" spans="1:4" ht="12" x14ac:dyDescent="0.2">
      <c r="A20" s="203">
        <f>7</f>
        <v>7</v>
      </c>
      <c r="B20" s="204"/>
      <c r="C20" s="205" t="s">
        <v>153</v>
      </c>
      <c r="D20" s="206"/>
    </row>
    <row r="21" spans="1:4" ht="12" x14ac:dyDescent="0.2">
      <c r="A21" s="207">
        <f>$A$20</f>
        <v>7</v>
      </c>
      <c r="B21" s="208">
        <f t="shared" ref="B21:B22" si="6">$B$20</f>
        <v>0</v>
      </c>
      <c r="C21" s="205" t="s">
        <v>154</v>
      </c>
      <c r="D21" s="206"/>
    </row>
    <row r="22" spans="1:4" ht="12" x14ac:dyDescent="0.2">
      <c r="A22" s="207">
        <f>$A$20</f>
        <v>7</v>
      </c>
      <c r="B22" s="208">
        <f t="shared" si="6"/>
        <v>0</v>
      </c>
      <c r="C22" s="205" t="s">
        <v>155</v>
      </c>
      <c r="D22" s="206"/>
    </row>
    <row r="23" spans="1:4" ht="12" x14ac:dyDescent="0.2">
      <c r="A23" s="203">
        <f>8</f>
        <v>8</v>
      </c>
      <c r="B23" s="204"/>
      <c r="C23" s="205" t="s">
        <v>153</v>
      </c>
      <c r="D23" s="206"/>
    </row>
    <row r="24" spans="1:4" ht="12" x14ac:dyDescent="0.2">
      <c r="A24" s="207">
        <f>$A$23</f>
        <v>8</v>
      </c>
      <c r="B24" s="208">
        <f t="shared" ref="B24:B25" si="7">$B$23</f>
        <v>0</v>
      </c>
      <c r="C24" s="205" t="s">
        <v>154</v>
      </c>
      <c r="D24" s="206"/>
    </row>
    <row r="25" spans="1:4" ht="12" x14ac:dyDescent="0.2">
      <c r="A25" s="207">
        <f>$A$23</f>
        <v>8</v>
      </c>
      <c r="B25" s="208">
        <f t="shared" si="7"/>
        <v>0</v>
      </c>
      <c r="C25" s="205" t="s">
        <v>155</v>
      </c>
      <c r="D25" s="206"/>
    </row>
    <row r="26" spans="1:4" ht="12" x14ac:dyDescent="0.2">
      <c r="A26" s="203">
        <f>9</f>
        <v>9</v>
      </c>
      <c r="B26" s="204"/>
      <c r="C26" s="205" t="s">
        <v>153</v>
      </c>
      <c r="D26" s="206"/>
    </row>
    <row r="27" spans="1:4" ht="12" x14ac:dyDescent="0.2">
      <c r="A27" s="207">
        <f>$A$26</f>
        <v>9</v>
      </c>
      <c r="B27" s="208">
        <f t="shared" ref="B27:B28" si="8">$B$26</f>
        <v>0</v>
      </c>
      <c r="C27" s="205" t="s">
        <v>154</v>
      </c>
      <c r="D27" s="206"/>
    </row>
    <row r="28" spans="1:4" ht="12" x14ac:dyDescent="0.2">
      <c r="A28" s="207">
        <f>$A$26</f>
        <v>9</v>
      </c>
      <c r="B28" s="208">
        <f t="shared" si="8"/>
        <v>0</v>
      </c>
      <c r="C28" s="205" t="s">
        <v>155</v>
      </c>
      <c r="D28" s="206"/>
    </row>
    <row r="29" spans="1:4" ht="12" x14ac:dyDescent="0.2">
      <c r="A29" s="209">
        <v>10</v>
      </c>
      <c r="B29" s="204"/>
      <c r="C29" s="205" t="s">
        <v>153</v>
      </c>
      <c r="D29" s="206"/>
    </row>
    <row r="30" spans="1:4" ht="12" x14ac:dyDescent="0.2">
      <c r="A30" s="207">
        <f>$A$29</f>
        <v>10</v>
      </c>
      <c r="B30" s="208">
        <f t="shared" ref="B30:B31" si="9">$B$29</f>
        <v>0</v>
      </c>
      <c r="C30" s="205" t="s">
        <v>154</v>
      </c>
      <c r="D30" s="206"/>
    </row>
    <row r="31" spans="1:4" ht="12" x14ac:dyDescent="0.2">
      <c r="A31" s="207">
        <f>$A$29</f>
        <v>10</v>
      </c>
      <c r="B31" s="208">
        <f t="shared" si="9"/>
        <v>0</v>
      </c>
      <c r="C31" s="205" t="s">
        <v>155</v>
      </c>
      <c r="D31" s="206"/>
    </row>
    <row r="32" spans="1:4" ht="13.5" x14ac:dyDescent="0.25">
      <c r="A32" s="210">
        <v>11</v>
      </c>
      <c r="B32" s="204"/>
      <c r="C32" s="205" t="s">
        <v>153</v>
      </c>
      <c r="D32" s="206"/>
    </row>
    <row r="33" spans="1:7" ht="13.5" x14ac:dyDescent="0.25">
      <c r="A33" s="210">
        <v>11</v>
      </c>
      <c r="B33" s="208">
        <f t="shared" ref="B33:B34" si="10">$B$32</f>
        <v>0</v>
      </c>
      <c r="C33" s="205" t="s">
        <v>154</v>
      </c>
      <c r="D33" s="206"/>
    </row>
    <row r="34" spans="1:7" ht="13.5" x14ac:dyDescent="0.25">
      <c r="A34" s="210">
        <v>11</v>
      </c>
      <c r="B34" s="208">
        <f t="shared" si="10"/>
        <v>0</v>
      </c>
      <c r="C34" s="205" t="s">
        <v>155</v>
      </c>
      <c r="D34" s="206"/>
    </row>
    <row r="35" spans="1:7" ht="13.5" x14ac:dyDescent="0.25">
      <c r="A35" s="210">
        <v>12</v>
      </c>
      <c r="B35" s="204"/>
      <c r="C35" s="205" t="s">
        <v>153</v>
      </c>
      <c r="D35" s="206"/>
    </row>
    <row r="36" spans="1:7" ht="13.5" x14ac:dyDescent="0.25">
      <c r="A36" s="210">
        <v>12</v>
      </c>
      <c r="B36" s="208">
        <f t="shared" ref="B36:B37" si="11">$B$35</f>
        <v>0</v>
      </c>
      <c r="C36" s="205" t="s">
        <v>154</v>
      </c>
      <c r="D36" s="206"/>
      <c r="G36" s="175"/>
    </row>
    <row r="37" spans="1:7" ht="13.5" x14ac:dyDescent="0.25">
      <c r="A37" s="210">
        <v>12</v>
      </c>
      <c r="B37" s="208">
        <f t="shared" si="11"/>
        <v>0</v>
      </c>
      <c r="C37" s="205" t="s">
        <v>155</v>
      </c>
      <c r="D37" s="206"/>
      <c r="G37" s="175"/>
    </row>
    <row r="38" spans="1:7" ht="13.5" x14ac:dyDescent="0.25">
      <c r="A38" s="210">
        <v>13</v>
      </c>
      <c r="B38" s="204"/>
      <c r="C38" s="205" t="s">
        <v>153</v>
      </c>
      <c r="D38" s="206"/>
    </row>
    <row r="39" spans="1:7" ht="13.5" x14ac:dyDescent="0.25">
      <c r="A39" s="210">
        <v>13</v>
      </c>
      <c r="B39" s="208">
        <f t="shared" ref="B39:B40" si="12">$B$38</f>
        <v>0</v>
      </c>
      <c r="C39" s="205" t="s">
        <v>154</v>
      </c>
      <c r="D39" s="206"/>
    </row>
    <row r="40" spans="1:7" ht="13.5" x14ac:dyDescent="0.25">
      <c r="A40" s="210">
        <v>13</v>
      </c>
      <c r="B40" s="208">
        <f t="shared" si="12"/>
        <v>0</v>
      </c>
      <c r="C40" s="205" t="s">
        <v>155</v>
      </c>
      <c r="D40" s="206"/>
    </row>
    <row r="41" spans="1:7" ht="13.5" x14ac:dyDescent="0.25">
      <c r="A41" s="210">
        <v>14</v>
      </c>
      <c r="B41" s="204"/>
      <c r="C41" s="205" t="s">
        <v>153</v>
      </c>
      <c r="D41" s="206"/>
    </row>
    <row r="42" spans="1:7" ht="13.5" x14ac:dyDescent="0.25">
      <c r="A42" s="210">
        <v>14</v>
      </c>
      <c r="B42" s="208">
        <f t="shared" ref="B42:B43" si="13">$B$41</f>
        <v>0</v>
      </c>
      <c r="C42" s="205" t="s">
        <v>154</v>
      </c>
      <c r="D42" s="206"/>
    </row>
    <row r="43" spans="1:7" ht="13.5" x14ac:dyDescent="0.25">
      <c r="A43" s="210">
        <v>14</v>
      </c>
      <c r="B43" s="208">
        <f t="shared" si="13"/>
        <v>0</v>
      </c>
      <c r="C43" s="205" t="s">
        <v>155</v>
      </c>
      <c r="D43" s="206"/>
    </row>
    <row r="44" spans="1:7" ht="13.5" x14ac:dyDescent="0.25">
      <c r="A44" s="210">
        <v>15</v>
      </c>
      <c r="B44" s="204"/>
      <c r="C44" s="205" t="s">
        <v>153</v>
      </c>
      <c r="D44" s="206"/>
    </row>
    <row r="45" spans="1:7" ht="13.5" x14ac:dyDescent="0.25">
      <c r="A45" s="210">
        <v>15</v>
      </c>
      <c r="B45" s="208">
        <f t="shared" ref="B45:B46" si="14">$B$44</f>
        <v>0</v>
      </c>
      <c r="C45" s="205" t="s">
        <v>154</v>
      </c>
      <c r="D45" s="206"/>
    </row>
    <row r="46" spans="1:7" ht="13.5" x14ac:dyDescent="0.25">
      <c r="A46" s="210">
        <v>15</v>
      </c>
      <c r="B46" s="208">
        <f t="shared" si="14"/>
        <v>0</v>
      </c>
      <c r="C46" s="205" t="s">
        <v>155</v>
      </c>
      <c r="D46" s="206"/>
    </row>
    <row r="47" spans="1:7" ht="13.5" x14ac:dyDescent="0.25">
      <c r="A47" s="210">
        <v>16</v>
      </c>
      <c r="B47" s="204"/>
      <c r="C47" s="205" t="s">
        <v>153</v>
      </c>
      <c r="D47" s="206"/>
    </row>
    <row r="48" spans="1:7" ht="13.5" x14ac:dyDescent="0.25">
      <c r="A48" s="210">
        <v>16</v>
      </c>
      <c r="B48" s="208">
        <f t="shared" ref="B48:B49" si="15">$B$47</f>
        <v>0</v>
      </c>
      <c r="C48" s="205" t="s">
        <v>154</v>
      </c>
      <c r="D48" s="206"/>
    </row>
    <row r="49" spans="1:9" ht="13.5" x14ac:dyDescent="0.25">
      <c r="A49" s="210">
        <v>16</v>
      </c>
      <c r="B49" s="208">
        <f t="shared" si="15"/>
        <v>0</v>
      </c>
      <c r="C49" s="205" t="s">
        <v>155</v>
      </c>
      <c r="D49" s="206"/>
    </row>
    <row r="50" spans="1:9" ht="13.5" x14ac:dyDescent="0.25">
      <c r="A50" s="210">
        <v>17</v>
      </c>
      <c r="B50" s="204"/>
      <c r="C50" s="205" t="s">
        <v>153</v>
      </c>
      <c r="D50" s="206"/>
    </row>
    <row r="51" spans="1:9" ht="13.5" x14ac:dyDescent="0.25">
      <c r="A51" s="210">
        <v>17</v>
      </c>
      <c r="B51" s="208">
        <f t="shared" ref="B51:B52" si="16">$B$50</f>
        <v>0</v>
      </c>
      <c r="C51" s="205" t="s">
        <v>154</v>
      </c>
      <c r="D51" s="206"/>
    </row>
    <row r="52" spans="1:9" ht="13.5" x14ac:dyDescent="0.25">
      <c r="A52" s="210">
        <v>17</v>
      </c>
      <c r="B52" s="208">
        <f t="shared" si="16"/>
        <v>0</v>
      </c>
      <c r="C52" s="205" t="s">
        <v>155</v>
      </c>
      <c r="D52" s="206"/>
    </row>
    <row r="53" spans="1:9" ht="13.5" x14ac:dyDescent="0.25">
      <c r="A53" s="210">
        <v>18</v>
      </c>
      <c r="B53" s="204"/>
      <c r="C53" s="205" t="s">
        <v>153</v>
      </c>
      <c r="D53" s="206"/>
    </row>
    <row r="54" spans="1:9" ht="13.5" x14ac:dyDescent="0.25">
      <c r="A54" s="210">
        <v>18</v>
      </c>
      <c r="B54" s="208">
        <f t="shared" ref="B54:B55" si="17">$B$53</f>
        <v>0</v>
      </c>
      <c r="C54" s="205" t="s">
        <v>154</v>
      </c>
      <c r="D54" s="206"/>
    </row>
    <row r="55" spans="1:9" ht="13.5" x14ac:dyDescent="0.25">
      <c r="A55" s="210">
        <v>18</v>
      </c>
      <c r="B55" s="208">
        <f t="shared" si="17"/>
        <v>0</v>
      </c>
      <c r="C55" s="205" t="s">
        <v>155</v>
      </c>
      <c r="D55" s="206"/>
    </row>
    <row r="56" spans="1:9" ht="13.5" x14ac:dyDescent="0.25">
      <c r="A56" s="210">
        <v>19</v>
      </c>
      <c r="B56" s="204"/>
      <c r="C56" s="205" t="s">
        <v>153</v>
      </c>
      <c r="D56" s="206"/>
    </row>
    <row r="57" spans="1:9" ht="13.5" x14ac:dyDescent="0.25">
      <c r="A57" s="210">
        <v>19</v>
      </c>
      <c r="B57" s="208">
        <f t="shared" ref="B57:B58" si="18">$B$56</f>
        <v>0</v>
      </c>
      <c r="C57" s="205" t="s">
        <v>154</v>
      </c>
      <c r="D57" s="206"/>
    </row>
    <row r="58" spans="1:9" ht="13.5" x14ac:dyDescent="0.25">
      <c r="A58" s="210">
        <v>19</v>
      </c>
      <c r="B58" s="208">
        <f t="shared" si="18"/>
        <v>0</v>
      </c>
      <c r="C58" s="205" t="s">
        <v>155</v>
      </c>
      <c r="D58" s="206"/>
    </row>
    <row r="59" spans="1:9" ht="13.5" x14ac:dyDescent="0.25">
      <c r="A59" s="210">
        <v>20</v>
      </c>
      <c r="B59" s="204"/>
      <c r="C59" s="205" t="s">
        <v>153</v>
      </c>
      <c r="D59" s="206"/>
    </row>
    <row r="60" spans="1:9" ht="13.5" x14ac:dyDescent="0.25">
      <c r="A60" s="210">
        <v>20</v>
      </c>
      <c r="B60" s="208">
        <f t="shared" ref="B60:B61" si="19">$B$59</f>
        <v>0</v>
      </c>
      <c r="C60" s="205" t="s">
        <v>154</v>
      </c>
      <c r="D60" s="206"/>
    </row>
    <row r="61" spans="1:9" ht="13.5" x14ac:dyDescent="0.25">
      <c r="A61" s="210">
        <v>20</v>
      </c>
      <c r="B61" s="208">
        <f t="shared" si="19"/>
        <v>0</v>
      </c>
      <c r="C61" s="205" t="s">
        <v>155</v>
      </c>
      <c r="D61" s="206"/>
    </row>
    <row r="62" spans="1:9" ht="13.5" x14ac:dyDescent="0.25">
      <c r="A62" s="210">
        <v>21</v>
      </c>
      <c r="B62" s="204"/>
      <c r="C62" s="205" t="s">
        <v>153</v>
      </c>
      <c r="D62" s="206"/>
      <c r="E62" s="176"/>
      <c r="F62" s="176"/>
      <c r="G62" s="177"/>
      <c r="I62" s="176"/>
    </row>
    <row r="63" spans="1:9" ht="13.5" x14ac:dyDescent="0.25">
      <c r="A63" s="210">
        <v>21</v>
      </c>
      <c r="B63" s="208">
        <f t="shared" ref="B63:B64" si="20">$B$62</f>
        <v>0</v>
      </c>
      <c r="C63" s="205" t="s">
        <v>154</v>
      </c>
      <c r="D63" s="206"/>
      <c r="E63" s="176"/>
      <c r="F63" s="176"/>
      <c r="G63" s="177"/>
      <c r="I63" s="176"/>
    </row>
    <row r="64" spans="1:9" ht="13.5" x14ac:dyDescent="0.25">
      <c r="A64" s="210">
        <v>21</v>
      </c>
      <c r="B64" s="208">
        <f t="shared" si="20"/>
        <v>0</v>
      </c>
      <c r="C64" s="205" t="s">
        <v>155</v>
      </c>
      <c r="D64" s="206"/>
      <c r="E64" s="176"/>
      <c r="F64" s="176"/>
      <c r="G64" s="177"/>
      <c r="I64" s="176"/>
    </row>
    <row r="65" spans="1:9" ht="13.5" x14ac:dyDescent="0.25">
      <c r="A65" s="210">
        <v>22</v>
      </c>
      <c r="B65" s="204"/>
      <c r="C65" s="205" t="s">
        <v>153</v>
      </c>
      <c r="D65" s="206"/>
      <c r="E65" s="176"/>
      <c r="F65" s="176"/>
      <c r="G65" s="177"/>
      <c r="I65" s="176"/>
    </row>
    <row r="66" spans="1:9" ht="13.5" x14ac:dyDescent="0.25">
      <c r="A66" s="210">
        <v>22</v>
      </c>
      <c r="B66" s="208">
        <f t="shared" ref="B66:B67" si="21">$B$65</f>
        <v>0</v>
      </c>
      <c r="C66" s="205" t="s">
        <v>154</v>
      </c>
      <c r="D66" s="206"/>
      <c r="E66" s="176"/>
      <c r="F66" s="176"/>
      <c r="G66" s="177"/>
      <c r="I66" s="176"/>
    </row>
    <row r="67" spans="1:9" ht="13.5" x14ac:dyDescent="0.25">
      <c r="A67" s="210">
        <v>22</v>
      </c>
      <c r="B67" s="208">
        <f t="shared" si="21"/>
        <v>0</v>
      </c>
      <c r="C67" s="205" t="s">
        <v>155</v>
      </c>
      <c r="D67" s="206"/>
      <c r="E67" s="176"/>
      <c r="F67" s="176"/>
      <c r="G67" s="177"/>
    </row>
    <row r="68" spans="1:9" ht="13.5" x14ac:dyDescent="0.25">
      <c r="A68" s="210">
        <v>23</v>
      </c>
      <c r="B68" s="204"/>
      <c r="C68" s="205" t="s">
        <v>153</v>
      </c>
      <c r="D68" s="206"/>
      <c r="E68" s="176"/>
      <c r="F68" s="176"/>
      <c r="G68" s="177"/>
    </row>
    <row r="69" spans="1:9" ht="13.5" x14ac:dyDescent="0.25">
      <c r="A69" s="210">
        <v>23</v>
      </c>
      <c r="B69" s="208">
        <f t="shared" ref="B69:B70" si="22">$B$68</f>
        <v>0</v>
      </c>
      <c r="C69" s="205" t="s">
        <v>154</v>
      </c>
      <c r="D69" s="206"/>
      <c r="E69" s="176"/>
      <c r="F69" s="176"/>
      <c r="G69" s="177"/>
    </row>
    <row r="70" spans="1:9" ht="13.5" x14ac:dyDescent="0.25">
      <c r="A70" s="210">
        <v>23</v>
      </c>
      <c r="B70" s="208">
        <f t="shared" si="22"/>
        <v>0</v>
      </c>
      <c r="C70" s="205" t="s">
        <v>155</v>
      </c>
      <c r="D70" s="206"/>
      <c r="E70" s="176"/>
      <c r="F70" s="176"/>
      <c r="G70" s="177"/>
    </row>
    <row r="71" spans="1:9" ht="13.5" x14ac:dyDescent="0.25">
      <c r="A71" s="210">
        <v>24</v>
      </c>
      <c r="B71" s="204"/>
      <c r="C71" s="205" t="s">
        <v>153</v>
      </c>
      <c r="D71" s="206"/>
      <c r="E71" s="176"/>
      <c r="F71" s="176"/>
      <c r="G71" s="177"/>
    </row>
    <row r="72" spans="1:9" ht="13.5" x14ac:dyDescent="0.25">
      <c r="A72" s="210">
        <v>24</v>
      </c>
      <c r="B72" s="208">
        <f t="shared" ref="B72:B73" si="23">$B$71</f>
        <v>0</v>
      </c>
      <c r="C72" s="205" t="s">
        <v>154</v>
      </c>
      <c r="D72" s="206"/>
      <c r="E72" s="176"/>
      <c r="F72" s="176"/>
      <c r="G72" s="177"/>
    </row>
    <row r="73" spans="1:9" ht="13.5" x14ac:dyDescent="0.25">
      <c r="A73" s="210">
        <v>24</v>
      </c>
      <c r="B73" s="208">
        <f t="shared" si="23"/>
        <v>0</v>
      </c>
      <c r="C73" s="205" t="s">
        <v>155</v>
      </c>
      <c r="D73" s="206"/>
      <c r="E73" s="176"/>
      <c r="F73" s="176"/>
      <c r="G73" s="177"/>
    </row>
    <row r="74" spans="1:9" ht="13.5" x14ac:dyDescent="0.25">
      <c r="A74" s="210">
        <v>25</v>
      </c>
      <c r="B74" s="204"/>
      <c r="C74" s="205" t="s">
        <v>153</v>
      </c>
      <c r="D74" s="206"/>
      <c r="E74" s="176"/>
      <c r="F74" s="176"/>
      <c r="G74" s="177"/>
    </row>
    <row r="75" spans="1:9" ht="13.5" x14ac:dyDescent="0.25">
      <c r="A75" s="210">
        <v>25</v>
      </c>
      <c r="B75" s="208">
        <f t="shared" ref="B75:B76" si="24">$B$74</f>
        <v>0</v>
      </c>
      <c r="C75" s="205" t="s">
        <v>154</v>
      </c>
      <c r="D75" s="206"/>
      <c r="E75" s="176"/>
      <c r="F75" s="176"/>
      <c r="G75" s="177"/>
    </row>
    <row r="76" spans="1:9" ht="13.5" x14ac:dyDescent="0.25">
      <c r="A76" s="210">
        <v>25</v>
      </c>
      <c r="B76" s="208">
        <f t="shared" si="24"/>
        <v>0</v>
      </c>
      <c r="C76" s="205" t="s">
        <v>155</v>
      </c>
      <c r="D76" s="206"/>
      <c r="E76" s="176"/>
      <c r="F76" s="176"/>
      <c r="G76" s="177"/>
    </row>
    <row r="77" spans="1:9" ht="13.5" x14ac:dyDescent="0.25">
      <c r="A77" s="210">
        <v>26</v>
      </c>
      <c r="B77" s="204"/>
      <c r="C77" s="205" t="s">
        <v>153</v>
      </c>
      <c r="D77" s="206"/>
      <c r="E77" s="176"/>
      <c r="F77" s="176"/>
      <c r="G77" s="177"/>
    </row>
    <row r="78" spans="1:9" ht="13.5" x14ac:dyDescent="0.25">
      <c r="A78" s="210">
        <v>26</v>
      </c>
      <c r="B78" s="208">
        <f t="shared" ref="B78:B79" si="25">$B$77</f>
        <v>0</v>
      </c>
      <c r="C78" s="205" t="s">
        <v>154</v>
      </c>
      <c r="D78" s="206"/>
      <c r="E78" s="176"/>
      <c r="F78" s="176"/>
      <c r="G78" s="177"/>
    </row>
    <row r="79" spans="1:9" ht="13.5" x14ac:dyDescent="0.25">
      <c r="A79" s="210">
        <v>26</v>
      </c>
      <c r="B79" s="208">
        <f t="shared" si="25"/>
        <v>0</v>
      </c>
      <c r="C79" s="205" t="s">
        <v>155</v>
      </c>
      <c r="D79" s="206"/>
    </row>
    <row r="80" spans="1:9" ht="13.5" x14ac:dyDescent="0.25">
      <c r="A80" s="210">
        <v>27</v>
      </c>
      <c r="B80" s="204"/>
      <c r="C80" s="205" t="s">
        <v>153</v>
      </c>
      <c r="D80" s="206"/>
    </row>
    <row r="81" spans="1:4" ht="13.5" x14ac:dyDescent="0.25">
      <c r="A81" s="210">
        <v>27</v>
      </c>
      <c r="B81" s="208">
        <f t="shared" ref="B81:B82" si="26">$B$80</f>
        <v>0</v>
      </c>
      <c r="C81" s="205" t="s">
        <v>154</v>
      </c>
      <c r="D81" s="206"/>
    </row>
    <row r="82" spans="1:4" ht="13.5" x14ac:dyDescent="0.25">
      <c r="A82" s="210">
        <v>27</v>
      </c>
      <c r="B82" s="208">
        <f t="shared" si="26"/>
        <v>0</v>
      </c>
      <c r="C82" s="205" t="s">
        <v>155</v>
      </c>
      <c r="D82" s="206"/>
    </row>
    <row r="83" spans="1:4" ht="13.5" x14ac:dyDescent="0.25">
      <c r="A83" s="210">
        <v>28</v>
      </c>
      <c r="B83" s="204"/>
      <c r="C83" s="205" t="s">
        <v>153</v>
      </c>
      <c r="D83" s="206"/>
    </row>
    <row r="84" spans="1:4" ht="13.5" x14ac:dyDescent="0.25">
      <c r="A84" s="210">
        <v>28</v>
      </c>
      <c r="B84" s="208">
        <f t="shared" ref="B84:B85" si="27">$B$83</f>
        <v>0</v>
      </c>
      <c r="C84" s="205" t="s">
        <v>154</v>
      </c>
      <c r="D84" s="206"/>
    </row>
    <row r="85" spans="1:4" ht="13.5" x14ac:dyDescent="0.25">
      <c r="A85" s="210">
        <v>28</v>
      </c>
      <c r="B85" s="208">
        <f t="shared" si="27"/>
        <v>0</v>
      </c>
      <c r="C85" s="205" t="s">
        <v>155</v>
      </c>
      <c r="D85" s="206"/>
    </row>
    <row r="86" spans="1:4" ht="13.5" x14ac:dyDescent="0.25">
      <c r="A86" s="210">
        <v>29</v>
      </c>
      <c r="B86" s="204"/>
      <c r="C86" s="205" t="s">
        <v>153</v>
      </c>
      <c r="D86" s="206"/>
    </row>
    <row r="87" spans="1:4" ht="13.5" x14ac:dyDescent="0.25">
      <c r="A87" s="210">
        <v>29</v>
      </c>
      <c r="B87" s="208">
        <f t="shared" ref="B87:B88" si="28">$B$86</f>
        <v>0</v>
      </c>
      <c r="C87" s="205" t="s">
        <v>154</v>
      </c>
      <c r="D87" s="206"/>
    </row>
    <row r="88" spans="1:4" ht="13.5" x14ac:dyDescent="0.25">
      <c r="A88" s="210">
        <v>29</v>
      </c>
      <c r="B88" s="208">
        <f t="shared" si="28"/>
        <v>0</v>
      </c>
      <c r="C88" s="205" t="s">
        <v>155</v>
      </c>
      <c r="D88" s="206"/>
    </row>
    <row r="89" spans="1:4" ht="13.5" x14ac:dyDescent="0.25">
      <c r="A89" s="210">
        <v>30</v>
      </c>
      <c r="B89" s="204"/>
      <c r="C89" s="205" t="s">
        <v>153</v>
      </c>
      <c r="D89" s="206"/>
    </row>
    <row r="90" spans="1:4" ht="13.5" x14ac:dyDescent="0.25">
      <c r="A90" s="210">
        <v>30</v>
      </c>
      <c r="B90" s="208">
        <f t="shared" ref="B90:B91" si="29">$B$89</f>
        <v>0</v>
      </c>
      <c r="C90" s="205" t="s">
        <v>154</v>
      </c>
      <c r="D90" s="206"/>
    </row>
    <row r="91" spans="1:4" ht="13.5" x14ac:dyDescent="0.25">
      <c r="A91" s="210">
        <v>30</v>
      </c>
      <c r="B91" s="208">
        <f t="shared" si="29"/>
        <v>0</v>
      </c>
      <c r="C91" s="205" t="s">
        <v>155</v>
      </c>
      <c r="D91" s="206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A7" zoomScale="90" zoomScaleNormal="90" workbookViewId="0">
      <selection activeCell="I82" sqref="I8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33.5" style="6" bestFit="1" customWidth="1"/>
    <col min="19" max="19" width="34.5" style="6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8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199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199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199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199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0" t="s">
        <v>151</v>
      </c>
      <c r="O83" s="234">
        <f t="shared" ref="O83:AI83" si="17">IF(($C$82*O35+$D$82)&gt;1,1,0)</f>
        <v>0</v>
      </c>
      <c r="P83" s="234">
        <f t="shared" si="17"/>
        <v>0</v>
      </c>
      <c r="Q83" s="234">
        <f t="shared" si="17"/>
        <v>0</v>
      </c>
      <c r="R83" s="234">
        <f t="shared" si="17"/>
        <v>0</v>
      </c>
      <c r="S83" s="234">
        <f t="shared" si="17"/>
        <v>0</v>
      </c>
      <c r="T83" s="234">
        <f t="shared" si="17"/>
        <v>0</v>
      </c>
      <c r="U83" s="234">
        <f t="shared" si="17"/>
        <v>0</v>
      </c>
      <c r="V83" s="234">
        <f t="shared" si="17"/>
        <v>0</v>
      </c>
      <c r="W83" s="234">
        <f t="shared" si="17"/>
        <v>0</v>
      </c>
      <c r="X83" s="234">
        <f t="shared" si="17"/>
        <v>0</v>
      </c>
      <c r="Y83" s="234">
        <f t="shared" si="17"/>
        <v>0</v>
      </c>
      <c r="Z83" s="234">
        <f t="shared" si="17"/>
        <v>1</v>
      </c>
      <c r="AA83" s="234">
        <f t="shared" si="17"/>
        <v>1</v>
      </c>
      <c r="AB83" s="234">
        <f t="shared" si="17"/>
        <v>1</v>
      </c>
      <c r="AC83" s="234">
        <f t="shared" si="17"/>
        <v>1</v>
      </c>
      <c r="AD83" s="234">
        <f t="shared" si="17"/>
        <v>1</v>
      </c>
      <c r="AE83" s="234">
        <f t="shared" si="17"/>
        <v>1</v>
      </c>
      <c r="AF83" s="234">
        <f t="shared" si="17"/>
        <v>1</v>
      </c>
      <c r="AG83" s="234">
        <f t="shared" si="17"/>
        <v>1</v>
      </c>
      <c r="AH83" s="234">
        <f t="shared" si="17"/>
        <v>1</v>
      </c>
      <c r="AI83" s="234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2023-10-30T19:47:12Z</cp:lastPrinted>
  <dcterms:created xsi:type="dcterms:W3CDTF">2003-07-04T14:12:44Z</dcterms:created>
  <dcterms:modified xsi:type="dcterms:W3CDTF">2023-11-23T23:10:47Z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