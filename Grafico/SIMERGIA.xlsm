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C56C96CE-C0D4-46F6-80EA-58767DDAE169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1" xr2:uid="{00000000-000D-0000-FFFF-FFFF00000000}"/>
  </bookViews>
  <sheets>
    <sheet name="CAPA" sheetId="9" r:id="rId1"/>
    <sheet name="DIAG" sheetId="1" r:id="rId2"/>
    <sheet name="Entrada de Dados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'Entrada de Dados'!$1:$1</definedName>
  </definedNames>
  <calcPr calcId="191029" iterate="1"/>
</workbook>
</file>

<file path=xl/calcChain.xml><?xml version="1.0" encoding="utf-8"?>
<calcChain xmlns="http://schemas.openxmlformats.org/spreadsheetml/2006/main">
  <c r="AA1" i="1" l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AP26" i="6"/>
  <c r="AY26" i="6"/>
  <c r="E27" i="6"/>
  <c r="S54" i="6" s="1"/>
  <c r="F27" i="6"/>
  <c r="T55" i="6" s="1"/>
  <c r="G27" i="6"/>
  <c r="U56" i="6" s="1"/>
  <c r="H27" i="6"/>
  <c r="V57" i="6" s="1"/>
  <c r="I27" i="6"/>
  <c r="W58" i="6" s="1"/>
  <c r="J27" i="6"/>
  <c r="X59" i="6" s="1"/>
  <c r="K27" i="6"/>
  <c r="Y60" i="6" s="1"/>
  <c r="L27" i="6"/>
  <c r="AP27" i="6"/>
  <c r="AY27" i="6"/>
  <c r="AP29" i="6"/>
  <c r="AY29" i="6"/>
  <c r="AP30" i="6"/>
  <c r="AY30" i="6"/>
  <c r="AP32" i="6"/>
  <c r="AY32" i="6"/>
  <c r="AP33" i="6"/>
  <c r="AY33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AP35" i="6"/>
  <c r="AY35" i="6"/>
  <c r="AP36" i="6"/>
  <c r="AY36" i="6"/>
  <c r="O37" i="6"/>
  <c r="Q37" i="6"/>
  <c r="R37" i="6"/>
  <c r="S37" i="6"/>
  <c r="U37" i="6"/>
  <c r="Y37" i="6"/>
  <c r="Z37" i="6"/>
  <c r="AC37" i="6"/>
  <c r="AG37" i="6"/>
  <c r="AH37" i="6"/>
  <c r="AP38" i="6"/>
  <c r="AY38" i="6"/>
  <c r="P39" i="6"/>
  <c r="AP39" i="6"/>
  <c r="AY39" i="6"/>
  <c r="AP41" i="6"/>
  <c r="AY41" i="6"/>
  <c r="T42" i="6"/>
  <c r="AP42" i="6"/>
  <c r="AY42" i="6"/>
  <c r="S43" i="6"/>
  <c r="T43" i="6"/>
  <c r="Z43" i="6"/>
  <c r="AA43" i="6"/>
  <c r="I44" i="6"/>
  <c r="AP44" i="6"/>
  <c r="AY44" i="6"/>
  <c r="L45" i="6"/>
  <c r="N45" i="6" s="1"/>
  <c r="AP45" i="6"/>
  <c r="AY45" i="6"/>
  <c r="L46" i="6"/>
  <c r="AI46" i="6" s="1"/>
  <c r="L47" i="6"/>
  <c r="O47" i="6" s="1"/>
  <c r="AP47" i="6"/>
  <c r="AY47" i="6"/>
  <c r="AP48" i="6"/>
  <c r="AY48" i="6"/>
  <c r="AP50" i="6"/>
  <c r="AY50" i="6"/>
  <c r="AP51" i="6"/>
  <c r="AY51" i="6"/>
  <c r="AP53" i="6"/>
  <c r="AY53" i="6"/>
  <c r="AP54" i="6"/>
  <c r="AY54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BG73" i="6"/>
  <c r="O74" i="6"/>
  <c r="AG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B5" i="6" s="1"/>
  <c r="D2" i="4"/>
  <c r="E2" i="4"/>
  <c r="F2" i="4"/>
  <c r="G2" i="4"/>
  <c r="H2" i="4"/>
  <c r="I2" i="4" s="1"/>
  <c r="D3" i="4"/>
  <c r="E3" i="4"/>
  <c r="F3" i="4"/>
  <c r="G3" i="4"/>
  <c r="H3" i="4"/>
  <c r="B4" i="4"/>
  <c r="D4" i="4"/>
  <c r="E4" i="4"/>
  <c r="F4" i="4"/>
  <c r="G4" i="4"/>
  <c r="H4" i="4"/>
  <c r="B5" i="4"/>
  <c r="D5" i="4"/>
  <c r="E5" i="4"/>
  <c r="F5" i="4"/>
  <c r="G5" i="4"/>
  <c r="H5" i="4"/>
  <c r="B6" i="4"/>
  <c r="D6" i="4"/>
  <c r="E6" i="4"/>
  <c r="F6" i="4"/>
  <c r="G6" i="4"/>
  <c r="H6" i="4"/>
  <c r="I6" i="4"/>
  <c r="D7" i="4"/>
  <c r="E7" i="4"/>
  <c r="F7" i="4"/>
  <c r="G7" i="4"/>
  <c r="I7" i="4" s="1"/>
  <c r="H7" i="4"/>
  <c r="B8" i="4"/>
  <c r="D8" i="4"/>
  <c r="E8" i="4"/>
  <c r="F8" i="4"/>
  <c r="G8" i="4"/>
  <c r="H8" i="4"/>
  <c r="B9" i="4"/>
  <c r="D9" i="4"/>
  <c r="E9" i="4"/>
  <c r="F9" i="4"/>
  <c r="G9" i="4"/>
  <c r="I9" i="4" s="1"/>
  <c r="H9" i="4"/>
  <c r="B10" i="4"/>
  <c r="D10" i="4"/>
  <c r="E10" i="4"/>
  <c r="F10" i="4"/>
  <c r="G10" i="4"/>
  <c r="H10" i="4"/>
  <c r="I10" i="4"/>
  <c r="D11" i="4"/>
  <c r="E11" i="4"/>
  <c r="F11" i="4"/>
  <c r="G11" i="4"/>
  <c r="I11" i="4" s="1"/>
  <c r="H11" i="4"/>
  <c r="B12" i="4"/>
  <c r="D12" i="4"/>
  <c r="E12" i="4"/>
  <c r="F12" i="4"/>
  <c r="G12" i="4"/>
  <c r="H12" i="4"/>
  <c r="B13" i="4"/>
  <c r="D13" i="4"/>
  <c r="E13" i="4"/>
  <c r="F13" i="4"/>
  <c r="G13" i="4"/>
  <c r="H13" i="4"/>
  <c r="B14" i="4"/>
  <c r="D14" i="4"/>
  <c r="E14" i="4"/>
  <c r="F14" i="4"/>
  <c r="G14" i="4"/>
  <c r="H14" i="4"/>
  <c r="D15" i="4"/>
  <c r="E15" i="4"/>
  <c r="F15" i="4"/>
  <c r="G15" i="4"/>
  <c r="H15" i="4"/>
  <c r="B16" i="4"/>
  <c r="D16" i="4"/>
  <c r="E16" i="4"/>
  <c r="F16" i="4"/>
  <c r="G16" i="4"/>
  <c r="H16" i="4"/>
  <c r="B17" i="4"/>
  <c r="D17" i="4"/>
  <c r="E17" i="4"/>
  <c r="F17" i="4"/>
  <c r="G17" i="4"/>
  <c r="H17" i="4"/>
  <c r="B18" i="4"/>
  <c r="D18" i="4"/>
  <c r="E18" i="4"/>
  <c r="F18" i="4"/>
  <c r="G18" i="4"/>
  <c r="H18" i="4"/>
  <c r="D19" i="4"/>
  <c r="E19" i="4"/>
  <c r="F19" i="4"/>
  <c r="G19" i="4"/>
  <c r="H19" i="4"/>
  <c r="B20" i="4"/>
  <c r="D20" i="4"/>
  <c r="E20" i="4"/>
  <c r="F20" i="4"/>
  <c r="G20" i="4"/>
  <c r="I20" i="4" s="1"/>
  <c r="H20" i="4"/>
  <c r="B21" i="4"/>
  <c r="D21" i="4"/>
  <c r="E21" i="4"/>
  <c r="F21" i="4"/>
  <c r="G21" i="4"/>
  <c r="H21" i="4"/>
  <c r="B22" i="4"/>
  <c r="D22" i="4"/>
  <c r="E22" i="4"/>
  <c r="F22" i="4"/>
  <c r="G22" i="4"/>
  <c r="I22" i="4" s="1"/>
  <c r="H22" i="4"/>
  <c r="D23" i="4"/>
  <c r="E23" i="4"/>
  <c r="F23" i="4"/>
  <c r="G23" i="4"/>
  <c r="I23" i="4" s="1"/>
  <c r="H23" i="4"/>
  <c r="B24" i="4"/>
  <c r="D24" i="4"/>
  <c r="E24" i="4"/>
  <c r="F24" i="4"/>
  <c r="G24" i="4"/>
  <c r="H24" i="4"/>
  <c r="B25" i="4"/>
  <c r="D25" i="4"/>
  <c r="E25" i="4"/>
  <c r="F25" i="4"/>
  <c r="G25" i="4"/>
  <c r="H25" i="4"/>
  <c r="B26" i="4"/>
  <c r="D26" i="4"/>
  <c r="E26" i="4"/>
  <c r="F26" i="4"/>
  <c r="G26" i="4"/>
  <c r="H26" i="4"/>
  <c r="B27" i="4"/>
  <c r="D27" i="4"/>
  <c r="E27" i="4"/>
  <c r="F27" i="4"/>
  <c r="G27" i="4"/>
  <c r="H27" i="4"/>
  <c r="B28" i="4"/>
  <c r="D28" i="4"/>
  <c r="E28" i="4"/>
  <c r="F28" i="4"/>
  <c r="G28" i="4"/>
  <c r="H28" i="4"/>
  <c r="B29" i="4"/>
  <c r="D29" i="4"/>
  <c r="E29" i="4"/>
  <c r="F29" i="4"/>
  <c r="G29" i="4"/>
  <c r="H29" i="4"/>
  <c r="B30" i="4"/>
  <c r="D30" i="4"/>
  <c r="E30" i="4"/>
  <c r="F30" i="4"/>
  <c r="G30" i="4"/>
  <c r="H30" i="4"/>
  <c r="I30" i="4" s="1"/>
  <c r="B31" i="4"/>
  <c r="D31" i="4"/>
  <c r="E31" i="4"/>
  <c r="F31" i="4"/>
  <c r="G31" i="4"/>
  <c r="H31" i="4"/>
  <c r="B32" i="4"/>
  <c r="D32" i="4"/>
  <c r="E32" i="4"/>
  <c r="F32" i="4"/>
  <c r="G32" i="4"/>
  <c r="H32" i="4"/>
  <c r="B33" i="4"/>
  <c r="D33" i="4"/>
  <c r="E33" i="4"/>
  <c r="F33" i="4"/>
  <c r="G33" i="4"/>
  <c r="H33" i="4"/>
  <c r="B34" i="4"/>
  <c r="D34" i="4"/>
  <c r="E34" i="4"/>
  <c r="F34" i="4"/>
  <c r="G34" i="4"/>
  <c r="H34" i="4"/>
  <c r="B35" i="4"/>
  <c r="D35" i="4"/>
  <c r="E35" i="4"/>
  <c r="F35" i="4"/>
  <c r="G35" i="4"/>
  <c r="H35" i="4"/>
  <c r="I35" i="4"/>
  <c r="B36" i="4"/>
  <c r="D36" i="4"/>
  <c r="E36" i="4"/>
  <c r="F36" i="4"/>
  <c r="G36" i="4"/>
  <c r="H36" i="4"/>
  <c r="B37" i="4"/>
  <c r="D37" i="4"/>
  <c r="E37" i="4"/>
  <c r="F37" i="4"/>
  <c r="G37" i="4"/>
  <c r="H37" i="4"/>
  <c r="B38" i="4"/>
  <c r="D38" i="4"/>
  <c r="E38" i="4"/>
  <c r="F38" i="4"/>
  <c r="G38" i="4"/>
  <c r="H38" i="4"/>
  <c r="B39" i="4"/>
  <c r="D39" i="4"/>
  <c r="E39" i="4"/>
  <c r="F39" i="4"/>
  <c r="G39" i="4"/>
  <c r="H39" i="4"/>
  <c r="B40" i="4"/>
  <c r="D40" i="4"/>
  <c r="E40" i="4"/>
  <c r="F40" i="4"/>
  <c r="G40" i="4"/>
  <c r="H40" i="4"/>
  <c r="B41" i="4"/>
  <c r="D41" i="4"/>
  <c r="E41" i="4"/>
  <c r="F41" i="4"/>
  <c r="G41" i="4"/>
  <c r="H41" i="4"/>
  <c r="B42" i="4"/>
  <c r="D42" i="4"/>
  <c r="E42" i="4"/>
  <c r="F42" i="4"/>
  <c r="G42" i="4"/>
  <c r="H42" i="4"/>
  <c r="B43" i="4"/>
  <c r="D43" i="4"/>
  <c r="E43" i="4"/>
  <c r="F43" i="4"/>
  <c r="G43" i="4"/>
  <c r="H43" i="4"/>
  <c r="I43" i="4"/>
  <c r="B44" i="4"/>
  <c r="D44" i="4"/>
  <c r="E44" i="4"/>
  <c r="F44" i="4"/>
  <c r="G44" i="4"/>
  <c r="H44" i="4"/>
  <c r="B45" i="4"/>
  <c r="D45" i="4"/>
  <c r="E45" i="4"/>
  <c r="F45" i="4"/>
  <c r="G45" i="4"/>
  <c r="H45" i="4"/>
  <c r="B46" i="4"/>
  <c r="D46" i="4"/>
  <c r="E46" i="4"/>
  <c r="F46" i="4"/>
  <c r="G46" i="4"/>
  <c r="H46" i="4"/>
  <c r="B47" i="4"/>
  <c r="D47" i="4"/>
  <c r="E47" i="4"/>
  <c r="F47" i="4"/>
  <c r="G47" i="4"/>
  <c r="H47" i="4"/>
  <c r="I47" i="4" s="1"/>
  <c r="B48" i="4"/>
  <c r="D48" i="4"/>
  <c r="E48" i="4"/>
  <c r="F48" i="4"/>
  <c r="G48" i="4"/>
  <c r="H48" i="4"/>
  <c r="B49" i="4"/>
  <c r="D49" i="4"/>
  <c r="E49" i="4"/>
  <c r="F49" i="4"/>
  <c r="G49" i="4"/>
  <c r="H49" i="4"/>
  <c r="B50" i="4"/>
  <c r="D50" i="4"/>
  <c r="E50" i="4"/>
  <c r="F50" i="4"/>
  <c r="G50" i="4"/>
  <c r="H50" i="4"/>
  <c r="I50" i="4"/>
  <c r="B51" i="4"/>
  <c r="D51" i="4"/>
  <c r="E51" i="4"/>
  <c r="F51" i="4"/>
  <c r="G51" i="4"/>
  <c r="I51" i="4" s="1"/>
  <c r="H51" i="4"/>
  <c r="B56" i="4"/>
  <c r="D56" i="4"/>
  <c r="E56" i="4"/>
  <c r="F56" i="4"/>
  <c r="G56" i="4"/>
  <c r="H56" i="4"/>
  <c r="D57" i="4"/>
  <c r="E57" i="4"/>
  <c r="F57" i="4"/>
  <c r="G57" i="4"/>
  <c r="H57" i="4"/>
  <c r="D58" i="4"/>
  <c r="E58" i="4"/>
  <c r="F58" i="4"/>
  <c r="G58" i="4"/>
  <c r="H58" i="4"/>
  <c r="D59" i="4"/>
  <c r="E59" i="4"/>
  <c r="F59" i="4"/>
  <c r="G59" i="4"/>
  <c r="H59" i="4"/>
  <c r="B60" i="4"/>
  <c r="D60" i="4"/>
  <c r="E60" i="4"/>
  <c r="F60" i="4"/>
  <c r="G60" i="4"/>
  <c r="H60" i="4"/>
  <c r="D61" i="4"/>
  <c r="E61" i="4"/>
  <c r="F61" i="4"/>
  <c r="G61" i="4"/>
  <c r="I61" i="4" s="1"/>
  <c r="H61" i="4"/>
  <c r="D62" i="4"/>
  <c r="E62" i="4"/>
  <c r="F62" i="4"/>
  <c r="G62" i="4"/>
  <c r="H62" i="4"/>
  <c r="D63" i="4"/>
  <c r="E63" i="4"/>
  <c r="F63" i="4"/>
  <c r="G63" i="4"/>
  <c r="H63" i="4"/>
  <c r="B64" i="4"/>
  <c r="D64" i="4"/>
  <c r="E64" i="4"/>
  <c r="F64" i="4"/>
  <c r="G64" i="4"/>
  <c r="H64" i="4"/>
  <c r="D65" i="4"/>
  <c r="E65" i="4"/>
  <c r="F65" i="4"/>
  <c r="G65" i="4"/>
  <c r="H65" i="4"/>
  <c r="D66" i="4"/>
  <c r="E66" i="4"/>
  <c r="F66" i="4"/>
  <c r="G66" i="4"/>
  <c r="H66" i="4"/>
  <c r="I66" i="4" s="1"/>
  <c r="D67" i="4"/>
  <c r="E67" i="4"/>
  <c r="F67" i="4"/>
  <c r="G67" i="4"/>
  <c r="H67" i="4"/>
  <c r="B68" i="4"/>
  <c r="D68" i="4"/>
  <c r="E68" i="4"/>
  <c r="F68" i="4"/>
  <c r="G68" i="4"/>
  <c r="H68" i="4"/>
  <c r="D69" i="4"/>
  <c r="E69" i="4"/>
  <c r="F69" i="4"/>
  <c r="G69" i="4"/>
  <c r="H69" i="4"/>
  <c r="D70" i="4"/>
  <c r="E70" i="4"/>
  <c r="F70" i="4"/>
  <c r="G70" i="4"/>
  <c r="H70" i="4"/>
  <c r="D71" i="4"/>
  <c r="E71" i="4"/>
  <c r="F71" i="4"/>
  <c r="G71" i="4"/>
  <c r="H71" i="4"/>
  <c r="B72" i="4"/>
  <c r="D72" i="4"/>
  <c r="E72" i="4"/>
  <c r="F72" i="4"/>
  <c r="G72" i="4"/>
  <c r="H72" i="4"/>
  <c r="D73" i="4"/>
  <c r="E73" i="4"/>
  <c r="F73" i="4"/>
  <c r="G73" i="4"/>
  <c r="H73" i="4"/>
  <c r="D74" i="4"/>
  <c r="E74" i="4"/>
  <c r="F74" i="4"/>
  <c r="G74" i="4"/>
  <c r="H74" i="4"/>
  <c r="I74" i="4" s="1"/>
  <c r="D75" i="4"/>
  <c r="E75" i="4"/>
  <c r="F75" i="4"/>
  <c r="G75" i="4"/>
  <c r="H75" i="4"/>
  <c r="B76" i="4"/>
  <c r="D76" i="4"/>
  <c r="E76" i="4"/>
  <c r="F76" i="4"/>
  <c r="G76" i="4"/>
  <c r="H76" i="4"/>
  <c r="D77" i="4"/>
  <c r="E77" i="4"/>
  <c r="F77" i="4"/>
  <c r="G77" i="4"/>
  <c r="H77" i="4"/>
  <c r="I77" i="4" s="1"/>
  <c r="D78" i="4"/>
  <c r="E78" i="4"/>
  <c r="F78" i="4"/>
  <c r="G78" i="4"/>
  <c r="H78" i="4"/>
  <c r="D79" i="4"/>
  <c r="E79" i="4"/>
  <c r="F79" i="4"/>
  <c r="G79" i="4"/>
  <c r="I79" i="4" s="1"/>
  <c r="H79" i="4"/>
  <c r="B80" i="4"/>
  <c r="D80" i="4"/>
  <c r="E80" i="4"/>
  <c r="F80" i="4"/>
  <c r="G80" i="4"/>
  <c r="H80" i="4"/>
  <c r="D81" i="4"/>
  <c r="E81" i="4"/>
  <c r="F81" i="4"/>
  <c r="G81" i="4"/>
  <c r="H81" i="4"/>
  <c r="D82" i="4"/>
  <c r="E82" i="4"/>
  <c r="F82" i="4"/>
  <c r="G82" i="4"/>
  <c r="H82" i="4"/>
  <c r="I82" i="4" s="1"/>
  <c r="D83" i="4"/>
  <c r="E83" i="4"/>
  <c r="F83" i="4"/>
  <c r="G83" i="4"/>
  <c r="H83" i="4"/>
  <c r="B84" i="4"/>
  <c r="D84" i="4"/>
  <c r="E84" i="4"/>
  <c r="F84" i="4"/>
  <c r="G84" i="4"/>
  <c r="H84" i="4"/>
  <c r="D85" i="4"/>
  <c r="E85" i="4"/>
  <c r="F85" i="4"/>
  <c r="G85" i="4"/>
  <c r="H85" i="4"/>
  <c r="I85" i="4"/>
  <c r="D86" i="4"/>
  <c r="E86" i="4"/>
  <c r="F86" i="4"/>
  <c r="G86" i="4"/>
  <c r="H86" i="4"/>
  <c r="D87" i="4"/>
  <c r="E87" i="4"/>
  <c r="F87" i="4"/>
  <c r="G87" i="4"/>
  <c r="I87" i="4" s="1"/>
  <c r="H87" i="4"/>
  <c r="B88" i="4"/>
  <c r="D88" i="4"/>
  <c r="E88" i="4"/>
  <c r="F88" i="4"/>
  <c r="G88" i="4"/>
  <c r="H88" i="4"/>
  <c r="D89" i="4"/>
  <c r="E89" i="4"/>
  <c r="F89" i="4"/>
  <c r="G89" i="4"/>
  <c r="H89" i="4"/>
  <c r="D90" i="4"/>
  <c r="E90" i="4"/>
  <c r="F90" i="4"/>
  <c r="G90" i="4"/>
  <c r="H90" i="4"/>
  <c r="D91" i="4"/>
  <c r="E91" i="4"/>
  <c r="F91" i="4"/>
  <c r="G91" i="4"/>
  <c r="H91" i="4"/>
  <c r="B92" i="4"/>
  <c r="D92" i="4"/>
  <c r="E92" i="4"/>
  <c r="F92" i="4"/>
  <c r="G92" i="4"/>
  <c r="H92" i="4"/>
  <c r="D93" i="4"/>
  <c r="E93" i="4"/>
  <c r="F93" i="4"/>
  <c r="G93" i="4"/>
  <c r="I93" i="4" s="1"/>
  <c r="H93" i="4"/>
  <c r="D94" i="4"/>
  <c r="E94" i="4"/>
  <c r="F94" i="4"/>
  <c r="G94" i="4"/>
  <c r="H94" i="4"/>
  <c r="D95" i="4"/>
  <c r="E95" i="4"/>
  <c r="F95" i="4"/>
  <c r="G95" i="4"/>
  <c r="I95" i="4" s="1"/>
  <c r="H95" i="4"/>
  <c r="B96" i="4"/>
  <c r="D96" i="4"/>
  <c r="E96" i="4"/>
  <c r="F96" i="4"/>
  <c r="G96" i="4"/>
  <c r="H96" i="4"/>
  <c r="D97" i="4"/>
  <c r="E97" i="4"/>
  <c r="F97" i="4"/>
  <c r="G97" i="4"/>
  <c r="H97" i="4"/>
  <c r="B98" i="4"/>
  <c r="D98" i="4"/>
  <c r="E98" i="4"/>
  <c r="F98" i="4"/>
  <c r="G98" i="4"/>
  <c r="I98" i="4" s="1"/>
  <c r="H98" i="4"/>
  <c r="D99" i="4"/>
  <c r="E99" i="4"/>
  <c r="F99" i="4"/>
  <c r="G99" i="4"/>
  <c r="H99" i="4"/>
  <c r="I99" i="4"/>
  <c r="B100" i="4"/>
  <c r="D100" i="4"/>
  <c r="E100" i="4"/>
  <c r="F100" i="4"/>
  <c r="G100" i="4"/>
  <c r="I100" i="4" s="1"/>
  <c r="H100" i="4"/>
  <c r="B101" i="4"/>
  <c r="D101" i="4"/>
  <c r="E101" i="4"/>
  <c r="F101" i="4"/>
  <c r="G101" i="4"/>
  <c r="H101" i="4"/>
  <c r="D102" i="4"/>
  <c r="E102" i="4"/>
  <c r="F102" i="4"/>
  <c r="G102" i="4"/>
  <c r="H102" i="4"/>
  <c r="D103" i="4"/>
  <c r="E103" i="4"/>
  <c r="F103" i="4"/>
  <c r="G103" i="4"/>
  <c r="I103" i="4" s="1"/>
  <c r="H103" i="4"/>
  <c r="D104" i="4"/>
  <c r="E104" i="4"/>
  <c r="F104" i="4"/>
  <c r="G104" i="4"/>
  <c r="H104" i="4"/>
  <c r="I104" i="4"/>
  <c r="B105" i="4"/>
  <c r="D105" i="4"/>
  <c r="E105" i="4"/>
  <c r="F105" i="4"/>
  <c r="G105" i="4"/>
  <c r="H105" i="4"/>
  <c r="B110" i="4"/>
  <c r="D110" i="4"/>
  <c r="E110" i="4"/>
  <c r="F110" i="4"/>
  <c r="G110" i="4"/>
  <c r="H110" i="4"/>
  <c r="D111" i="4"/>
  <c r="E111" i="4"/>
  <c r="F111" i="4"/>
  <c r="G111" i="4"/>
  <c r="I111" i="4" s="1"/>
  <c r="H111" i="4"/>
  <c r="D112" i="4"/>
  <c r="E112" i="4"/>
  <c r="F112" i="4"/>
  <c r="G112" i="4"/>
  <c r="H112" i="4"/>
  <c r="I112" i="4"/>
  <c r="D113" i="4"/>
  <c r="E113" i="4"/>
  <c r="F113" i="4"/>
  <c r="G113" i="4"/>
  <c r="H113" i="4"/>
  <c r="D114" i="4"/>
  <c r="E114" i="4"/>
  <c r="F114" i="4"/>
  <c r="G114" i="4"/>
  <c r="I114" i="4" s="1"/>
  <c r="H114" i="4"/>
  <c r="D115" i="4"/>
  <c r="E115" i="4"/>
  <c r="F115" i="4"/>
  <c r="G115" i="4"/>
  <c r="H115" i="4"/>
  <c r="D116" i="4"/>
  <c r="E116" i="4"/>
  <c r="F116" i="4"/>
  <c r="G116" i="4"/>
  <c r="H116" i="4"/>
  <c r="I116" i="4" s="1"/>
  <c r="D117" i="4"/>
  <c r="E117" i="4"/>
  <c r="F117" i="4"/>
  <c r="G117" i="4"/>
  <c r="H117" i="4"/>
  <c r="D118" i="4"/>
  <c r="E118" i="4"/>
  <c r="F118" i="4"/>
  <c r="G118" i="4"/>
  <c r="H118" i="4"/>
  <c r="D119" i="4"/>
  <c r="E119" i="4"/>
  <c r="F119" i="4"/>
  <c r="G119" i="4"/>
  <c r="H119" i="4"/>
  <c r="I119" i="4"/>
  <c r="D120" i="4"/>
  <c r="E120" i="4"/>
  <c r="F120" i="4"/>
  <c r="G120" i="4"/>
  <c r="I120" i="4" s="1"/>
  <c r="H120" i="4"/>
  <c r="D121" i="4"/>
  <c r="E121" i="4"/>
  <c r="F121" i="4"/>
  <c r="G121" i="4"/>
  <c r="H121" i="4"/>
  <c r="D122" i="4"/>
  <c r="E122" i="4"/>
  <c r="F122" i="4"/>
  <c r="G122" i="4"/>
  <c r="H122" i="4"/>
  <c r="D123" i="4"/>
  <c r="E123" i="4"/>
  <c r="F123" i="4"/>
  <c r="G123" i="4"/>
  <c r="I123" i="4" s="1"/>
  <c r="H123" i="4"/>
  <c r="D124" i="4"/>
  <c r="E124" i="4"/>
  <c r="F124" i="4"/>
  <c r="G124" i="4"/>
  <c r="H124" i="4"/>
  <c r="D125" i="4"/>
  <c r="E125" i="4"/>
  <c r="F125" i="4"/>
  <c r="G125" i="4"/>
  <c r="H125" i="4"/>
  <c r="D126" i="4"/>
  <c r="E126" i="4"/>
  <c r="F126" i="4"/>
  <c r="G126" i="4"/>
  <c r="H126" i="4"/>
  <c r="D127" i="4"/>
  <c r="E127" i="4"/>
  <c r="F127" i="4"/>
  <c r="G127" i="4"/>
  <c r="H127" i="4"/>
  <c r="D128" i="4"/>
  <c r="E128" i="4"/>
  <c r="F128" i="4"/>
  <c r="G128" i="4"/>
  <c r="I128" i="4" s="1"/>
  <c r="H128" i="4"/>
  <c r="D129" i="4"/>
  <c r="E129" i="4"/>
  <c r="F129" i="4"/>
  <c r="G129" i="4"/>
  <c r="H129" i="4"/>
  <c r="B130" i="4"/>
  <c r="D130" i="4"/>
  <c r="E130" i="4"/>
  <c r="F130" i="4"/>
  <c r="G130" i="4"/>
  <c r="H130" i="4"/>
  <c r="D131" i="4"/>
  <c r="E131" i="4"/>
  <c r="F131" i="4"/>
  <c r="G131" i="4"/>
  <c r="I131" i="4" s="1"/>
  <c r="H131" i="4"/>
  <c r="D132" i="4"/>
  <c r="E132" i="4"/>
  <c r="F132" i="4"/>
  <c r="G132" i="4"/>
  <c r="H132" i="4"/>
  <c r="I132" i="4" s="1"/>
  <c r="D133" i="4"/>
  <c r="E133" i="4"/>
  <c r="F133" i="4"/>
  <c r="G133" i="4"/>
  <c r="H133" i="4"/>
  <c r="B134" i="4"/>
  <c r="D134" i="4"/>
  <c r="E134" i="4"/>
  <c r="F134" i="4"/>
  <c r="G134" i="4"/>
  <c r="H134" i="4"/>
  <c r="D135" i="4"/>
  <c r="E135" i="4"/>
  <c r="F135" i="4"/>
  <c r="G135" i="4"/>
  <c r="H135" i="4"/>
  <c r="I135" i="4"/>
  <c r="D136" i="4"/>
  <c r="E136" i="4"/>
  <c r="F136" i="4"/>
  <c r="G136" i="4"/>
  <c r="H136" i="4"/>
  <c r="D137" i="4"/>
  <c r="E137" i="4"/>
  <c r="F137" i="4"/>
  <c r="G137" i="4"/>
  <c r="H137" i="4"/>
  <c r="D138" i="4"/>
  <c r="E138" i="4"/>
  <c r="F138" i="4"/>
  <c r="G138" i="4"/>
  <c r="H138" i="4"/>
  <c r="D139" i="4"/>
  <c r="E139" i="4"/>
  <c r="F139" i="4"/>
  <c r="G139" i="4"/>
  <c r="H139" i="4"/>
  <c r="D140" i="4"/>
  <c r="E140" i="4"/>
  <c r="F140" i="4"/>
  <c r="G140" i="4"/>
  <c r="H140" i="4"/>
  <c r="D141" i="4"/>
  <c r="E141" i="4"/>
  <c r="F141" i="4"/>
  <c r="G141" i="4"/>
  <c r="H141" i="4"/>
  <c r="D142" i="4"/>
  <c r="E142" i="4"/>
  <c r="F142" i="4"/>
  <c r="G142" i="4"/>
  <c r="H142" i="4"/>
  <c r="D143" i="4"/>
  <c r="E143" i="4"/>
  <c r="F143" i="4"/>
  <c r="G143" i="4"/>
  <c r="H143" i="4"/>
  <c r="D144" i="4"/>
  <c r="E144" i="4"/>
  <c r="F144" i="4"/>
  <c r="G144" i="4"/>
  <c r="H144" i="4"/>
  <c r="I144" i="4" s="1"/>
  <c r="D145" i="4"/>
  <c r="E145" i="4"/>
  <c r="F145" i="4"/>
  <c r="G145" i="4"/>
  <c r="H145" i="4"/>
  <c r="B146" i="4"/>
  <c r="D146" i="4"/>
  <c r="E146" i="4"/>
  <c r="F146" i="4"/>
  <c r="G146" i="4"/>
  <c r="H146" i="4"/>
  <c r="D147" i="4"/>
  <c r="E147" i="4"/>
  <c r="F147" i="4"/>
  <c r="G147" i="4"/>
  <c r="I147" i="4" s="1"/>
  <c r="H147" i="4"/>
  <c r="D148" i="4"/>
  <c r="E148" i="4"/>
  <c r="F148" i="4"/>
  <c r="G148" i="4"/>
  <c r="H148" i="4"/>
  <c r="I148" i="4"/>
  <c r="D149" i="4"/>
  <c r="E149" i="4"/>
  <c r="F149" i="4"/>
  <c r="G149" i="4"/>
  <c r="H149" i="4"/>
  <c r="D150" i="4"/>
  <c r="E150" i="4"/>
  <c r="F150" i="4"/>
  <c r="G150" i="4"/>
  <c r="H150" i="4"/>
  <c r="D151" i="4"/>
  <c r="E151" i="4"/>
  <c r="F151" i="4"/>
  <c r="G151" i="4"/>
  <c r="H151" i="4"/>
  <c r="D152" i="4"/>
  <c r="E152" i="4"/>
  <c r="F152" i="4"/>
  <c r="G152" i="4"/>
  <c r="I152" i="4" s="1"/>
  <c r="H152" i="4"/>
  <c r="D153" i="4"/>
  <c r="E153" i="4"/>
  <c r="F153" i="4"/>
  <c r="G153" i="4"/>
  <c r="H153" i="4"/>
  <c r="D154" i="4"/>
  <c r="E154" i="4"/>
  <c r="F154" i="4"/>
  <c r="G154" i="4"/>
  <c r="H154" i="4"/>
  <c r="D155" i="4"/>
  <c r="E155" i="4"/>
  <c r="F155" i="4"/>
  <c r="G155" i="4"/>
  <c r="H155" i="4"/>
  <c r="D156" i="4"/>
  <c r="E156" i="4"/>
  <c r="F156" i="4"/>
  <c r="G156" i="4"/>
  <c r="I156" i="4" s="1"/>
  <c r="H156" i="4"/>
  <c r="D157" i="4"/>
  <c r="E157" i="4"/>
  <c r="F157" i="4"/>
  <c r="G157" i="4"/>
  <c r="H157" i="4"/>
  <c r="B158" i="4"/>
  <c r="D158" i="4"/>
  <c r="E158" i="4"/>
  <c r="F158" i="4"/>
  <c r="G158" i="4"/>
  <c r="H158" i="4"/>
  <c r="D159" i="4"/>
  <c r="E159" i="4"/>
  <c r="F159" i="4"/>
  <c r="G159" i="4"/>
  <c r="H159" i="4"/>
  <c r="B164" i="4"/>
  <c r="B174" i="4" s="1"/>
  <c r="D164" i="4"/>
  <c r="E164" i="4"/>
  <c r="F164" i="4"/>
  <c r="G164" i="4"/>
  <c r="H164" i="4"/>
  <c r="D165" i="4"/>
  <c r="E165" i="4"/>
  <c r="F165" i="4"/>
  <c r="G165" i="4"/>
  <c r="H165" i="4"/>
  <c r="D166" i="4"/>
  <c r="E166" i="4"/>
  <c r="F166" i="4"/>
  <c r="G166" i="4"/>
  <c r="H166" i="4"/>
  <c r="B167" i="4"/>
  <c r="D167" i="4"/>
  <c r="E167" i="4"/>
  <c r="F167" i="4"/>
  <c r="G167" i="4"/>
  <c r="I167" i="4" s="1"/>
  <c r="H167" i="4"/>
  <c r="D168" i="4"/>
  <c r="E168" i="4"/>
  <c r="F168" i="4"/>
  <c r="G168" i="4"/>
  <c r="H168" i="4"/>
  <c r="I168" i="4" s="1"/>
  <c r="D169" i="4"/>
  <c r="E169" i="4"/>
  <c r="F169" i="4"/>
  <c r="G169" i="4"/>
  <c r="H169" i="4"/>
  <c r="B170" i="4"/>
  <c r="D170" i="4"/>
  <c r="E170" i="4"/>
  <c r="F170" i="4"/>
  <c r="G170" i="4"/>
  <c r="H170" i="4"/>
  <c r="D171" i="4"/>
  <c r="E171" i="4"/>
  <c r="F171" i="4"/>
  <c r="G171" i="4"/>
  <c r="H171" i="4"/>
  <c r="B172" i="4"/>
  <c r="D172" i="4"/>
  <c r="E172" i="4"/>
  <c r="F172" i="4"/>
  <c r="G172" i="4"/>
  <c r="H172" i="4"/>
  <c r="D173" i="4"/>
  <c r="E173" i="4"/>
  <c r="F173" i="4"/>
  <c r="G173" i="4"/>
  <c r="H173" i="4"/>
  <c r="D174" i="4"/>
  <c r="E174" i="4"/>
  <c r="F174" i="4"/>
  <c r="G174" i="4"/>
  <c r="H174" i="4"/>
  <c r="D175" i="4"/>
  <c r="E175" i="4"/>
  <c r="F175" i="4"/>
  <c r="G175" i="4"/>
  <c r="H175" i="4"/>
  <c r="I175" i="4"/>
  <c r="D176" i="4"/>
  <c r="E176" i="4"/>
  <c r="F176" i="4"/>
  <c r="G176" i="4"/>
  <c r="I176" i="4" s="1"/>
  <c r="H176" i="4"/>
  <c r="D177" i="4"/>
  <c r="E177" i="4"/>
  <c r="F177" i="4"/>
  <c r="G177" i="4"/>
  <c r="H177" i="4"/>
  <c r="B178" i="4"/>
  <c r="D178" i="4"/>
  <c r="E178" i="4"/>
  <c r="F178" i="4"/>
  <c r="G178" i="4"/>
  <c r="H178" i="4"/>
  <c r="D179" i="4"/>
  <c r="E179" i="4"/>
  <c r="F179" i="4"/>
  <c r="G179" i="4"/>
  <c r="H179" i="4"/>
  <c r="B180" i="4"/>
  <c r="D180" i="4"/>
  <c r="E180" i="4"/>
  <c r="F180" i="4"/>
  <c r="G180" i="4"/>
  <c r="I180" i="4" s="1"/>
  <c r="H180" i="4"/>
  <c r="D181" i="4"/>
  <c r="E181" i="4"/>
  <c r="F181" i="4"/>
  <c r="G181" i="4"/>
  <c r="H181" i="4"/>
  <c r="D182" i="4"/>
  <c r="E182" i="4"/>
  <c r="F182" i="4"/>
  <c r="G182" i="4"/>
  <c r="I182" i="4" s="1"/>
  <c r="H182" i="4"/>
  <c r="D183" i="4"/>
  <c r="E183" i="4"/>
  <c r="F183" i="4"/>
  <c r="G183" i="4"/>
  <c r="H183" i="4"/>
  <c r="I183" i="4" s="1"/>
  <c r="D184" i="4"/>
  <c r="E184" i="4"/>
  <c r="F184" i="4"/>
  <c r="I214" i="4" s="1"/>
  <c r="G184" i="4"/>
  <c r="I184" i="4" s="1"/>
  <c r="H184" i="4"/>
  <c r="B185" i="4"/>
  <c r="D185" i="4"/>
  <c r="E185" i="4"/>
  <c r="F185" i="4"/>
  <c r="G185" i="4"/>
  <c r="H185" i="4"/>
  <c r="D186" i="4"/>
  <c r="E186" i="4"/>
  <c r="F186" i="4"/>
  <c r="G186" i="4"/>
  <c r="H186" i="4"/>
  <c r="D187" i="4"/>
  <c r="E187" i="4"/>
  <c r="F187" i="4"/>
  <c r="G187" i="4"/>
  <c r="H187" i="4"/>
  <c r="D188" i="4"/>
  <c r="E188" i="4"/>
  <c r="F188" i="4"/>
  <c r="G188" i="4"/>
  <c r="I188" i="4" s="1"/>
  <c r="H188" i="4"/>
  <c r="D189" i="4"/>
  <c r="E189" i="4"/>
  <c r="F189" i="4"/>
  <c r="G189" i="4"/>
  <c r="H189" i="4"/>
  <c r="D190" i="4"/>
  <c r="E190" i="4"/>
  <c r="F190" i="4"/>
  <c r="G190" i="4"/>
  <c r="I190" i="4" s="1"/>
  <c r="H190" i="4"/>
  <c r="B191" i="4"/>
  <c r="D191" i="4"/>
  <c r="E191" i="4"/>
  <c r="F191" i="4"/>
  <c r="G191" i="4"/>
  <c r="I191" i="4" s="1"/>
  <c r="H191" i="4"/>
  <c r="D192" i="4"/>
  <c r="E192" i="4"/>
  <c r="F192" i="4"/>
  <c r="G192" i="4"/>
  <c r="H192" i="4"/>
  <c r="I192" i="4"/>
  <c r="B193" i="4"/>
  <c r="D193" i="4"/>
  <c r="E193" i="4"/>
  <c r="F193" i="4"/>
  <c r="G193" i="4"/>
  <c r="I193" i="4" s="1"/>
  <c r="H193" i="4"/>
  <c r="D194" i="4"/>
  <c r="E194" i="4"/>
  <c r="F194" i="4"/>
  <c r="G194" i="4"/>
  <c r="H194" i="4"/>
  <c r="B195" i="4"/>
  <c r="D195" i="4"/>
  <c r="E195" i="4"/>
  <c r="F195" i="4"/>
  <c r="G195" i="4"/>
  <c r="I195" i="4" s="1"/>
  <c r="H195" i="4"/>
  <c r="D196" i="4"/>
  <c r="E196" i="4"/>
  <c r="F196" i="4"/>
  <c r="G196" i="4"/>
  <c r="H196" i="4"/>
  <c r="D197" i="4"/>
  <c r="E197" i="4"/>
  <c r="F197" i="4"/>
  <c r="G197" i="4"/>
  <c r="H197" i="4"/>
  <c r="D198" i="4"/>
  <c r="E198" i="4"/>
  <c r="F198" i="4"/>
  <c r="G198" i="4"/>
  <c r="H198" i="4"/>
  <c r="D199" i="4"/>
  <c r="E199" i="4"/>
  <c r="F199" i="4"/>
  <c r="G199" i="4"/>
  <c r="I199" i="4" s="1"/>
  <c r="H199" i="4"/>
  <c r="B200" i="4"/>
  <c r="D200" i="4"/>
  <c r="E200" i="4"/>
  <c r="F200" i="4"/>
  <c r="G200" i="4"/>
  <c r="H200" i="4"/>
  <c r="D201" i="4"/>
  <c r="E201" i="4"/>
  <c r="F201" i="4"/>
  <c r="G201" i="4"/>
  <c r="H201" i="4"/>
  <c r="D202" i="4"/>
  <c r="E202" i="4"/>
  <c r="F202" i="4"/>
  <c r="G202" i="4"/>
  <c r="H202" i="4"/>
  <c r="D203" i="4"/>
  <c r="E203" i="4"/>
  <c r="F203" i="4"/>
  <c r="G203" i="4"/>
  <c r="H203" i="4"/>
  <c r="D204" i="4"/>
  <c r="E204" i="4"/>
  <c r="F204" i="4"/>
  <c r="G204" i="4"/>
  <c r="I204" i="4" s="1"/>
  <c r="H204" i="4"/>
  <c r="D205" i="4"/>
  <c r="E205" i="4"/>
  <c r="F205" i="4"/>
  <c r="G205" i="4"/>
  <c r="H205" i="4"/>
  <c r="B206" i="4"/>
  <c r="D206" i="4"/>
  <c r="E206" i="4"/>
  <c r="F206" i="4"/>
  <c r="G206" i="4"/>
  <c r="I206" i="4" s="1"/>
  <c r="H206" i="4"/>
  <c r="D207" i="4"/>
  <c r="E207" i="4"/>
  <c r="F207" i="4"/>
  <c r="G207" i="4"/>
  <c r="H207" i="4"/>
  <c r="I207" i="4"/>
  <c r="D208" i="4"/>
  <c r="E208" i="4"/>
  <c r="F208" i="4"/>
  <c r="G208" i="4"/>
  <c r="H208" i="4"/>
  <c r="I208" i="4"/>
  <c r="D209" i="4"/>
  <c r="E209" i="4"/>
  <c r="F209" i="4"/>
  <c r="G209" i="4"/>
  <c r="I209" i="4" s="1"/>
  <c r="H209" i="4"/>
  <c r="D210" i="4"/>
  <c r="E210" i="4"/>
  <c r="F210" i="4"/>
  <c r="G210" i="4"/>
  <c r="H210" i="4"/>
  <c r="D211" i="4"/>
  <c r="E211" i="4"/>
  <c r="F211" i="4"/>
  <c r="G211" i="4"/>
  <c r="I211" i="4" s="1"/>
  <c r="H211" i="4"/>
  <c r="D212" i="4"/>
  <c r="E212" i="4"/>
  <c r="F212" i="4"/>
  <c r="G212" i="4"/>
  <c r="H212" i="4"/>
  <c r="B213" i="4"/>
  <c r="D213" i="4"/>
  <c r="E213" i="4"/>
  <c r="F213" i="4"/>
  <c r="G213" i="4"/>
  <c r="H213" i="4"/>
  <c r="B218" i="4"/>
  <c r="F5" i="6" s="1"/>
  <c r="D218" i="4"/>
  <c r="E218" i="4"/>
  <c r="F218" i="4"/>
  <c r="G218" i="4"/>
  <c r="H218" i="4"/>
  <c r="D219" i="4"/>
  <c r="E219" i="4"/>
  <c r="F219" i="4"/>
  <c r="G219" i="4"/>
  <c r="H219" i="4"/>
  <c r="D220" i="4"/>
  <c r="E220" i="4"/>
  <c r="F220" i="4"/>
  <c r="G220" i="4"/>
  <c r="H220" i="4"/>
  <c r="B221" i="4"/>
  <c r="D221" i="4"/>
  <c r="E221" i="4"/>
  <c r="F221" i="4"/>
  <c r="G221" i="4"/>
  <c r="H221" i="4"/>
  <c r="B222" i="4"/>
  <c r="D222" i="4"/>
  <c r="E222" i="4"/>
  <c r="F222" i="4"/>
  <c r="G222" i="4"/>
  <c r="H222" i="4"/>
  <c r="D223" i="4"/>
  <c r="E223" i="4"/>
  <c r="F223" i="4"/>
  <c r="G223" i="4"/>
  <c r="H223" i="4"/>
  <c r="I223" i="4"/>
  <c r="D224" i="4"/>
  <c r="E224" i="4"/>
  <c r="F224" i="4"/>
  <c r="G224" i="4"/>
  <c r="I224" i="4" s="1"/>
  <c r="H224" i="4"/>
  <c r="B225" i="4"/>
  <c r="D225" i="4"/>
  <c r="E225" i="4"/>
  <c r="F225" i="4"/>
  <c r="G225" i="4"/>
  <c r="H225" i="4"/>
  <c r="B226" i="4"/>
  <c r="D226" i="4"/>
  <c r="E226" i="4"/>
  <c r="F226" i="4"/>
  <c r="G226" i="4"/>
  <c r="H226" i="4"/>
  <c r="D227" i="4"/>
  <c r="E227" i="4"/>
  <c r="F227" i="4"/>
  <c r="G227" i="4"/>
  <c r="H227" i="4"/>
  <c r="I227" i="4"/>
  <c r="D228" i="4"/>
  <c r="E228" i="4"/>
  <c r="F228" i="4"/>
  <c r="G228" i="4"/>
  <c r="H228" i="4"/>
  <c r="B229" i="4"/>
  <c r="D229" i="4"/>
  <c r="E229" i="4"/>
  <c r="F229" i="4"/>
  <c r="G229" i="4"/>
  <c r="H229" i="4"/>
  <c r="B230" i="4"/>
  <c r="D230" i="4"/>
  <c r="E230" i="4"/>
  <c r="F230" i="4"/>
  <c r="G230" i="4"/>
  <c r="H230" i="4"/>
  <c r="D231" i="4"/>
  <c r="E231" i="4"/>
  <c r="F231" i="4"/>
  <c r="G231" i="4"/>
  <c r="I231" i="4" s="1"/>
  <c r="H231" i="4"/>
  <c r="D232" i="4"/>
  <c r="E232" i="4"/>
  <c r="F232" i="4"/>
  <c r="G232" i="4"/>
  <c r="H232" i="4"/>
  <c r="B233" i="4"/>
  <c r="D233" i="4"/>
  <c r="E233" i="4"/>
  <c r="F233" i="4"/>
  <c r="G233" i="4"/>
  <c r="H233" i="4"/>
  <c r="B234" i="4"/>
  <c r="D234" i="4"/>
  <c r="E234" i="4"/>
  <c r="F234" i="4"/>
  <c r="G234" i="4"/>
  <c r="H234" i="4"/>
  <c r="D235" i="4"/>
  <c r="E235" i="4"/>
  <c r="F235" i="4"/>
  <c r="G235" i="4"/>
  <c r="I235" i="4" s="1"/>
  <c r="H235" i="4"/>
  <c r="D236" i="4"/>
  <c r="E236" i="4"/>
  <c r="F236" i="4"/>
  <c r="G236" i="4"/>
  <c r="H236" i="4"/>
  <c r="B237" i="4"/>
  <c r="D237" i="4"/>
  <c r="E237" i="4"/>
  <c r="F237" i="4"/>
  <c r="G237" i="4"/>
  <c r="H237" i="4"/>
  <c r="B238" i="4"/>
  <c r="D238" i="4"/>
  <c r="E238" i="4"/>
  <c r="F238" i="4"/>
  <c r="G238" i="4"/>
  <c r="H238" i="4"/>
  <c r="D239" i="4"/>
  <c r="E239" i="4"/>
  <c r="F239" i="4"/>
  <c r="G239" i="4"/>
  <c r="H239" i="4"/>
  <c r="I239" i="4" s="1"/>
  <c r="D240" i="4"/>
  <c r="E240" i="4"/>
  <c r="F240" i="4"/>
  <c r="G240" i="4"/>
  <c r="I240" i="4" s="1"/>
  <c r="H240" i="4"/>
  <c r="B241" i="4"/>
  <c r="D241" i="4"/>
  <c r="E241" i="4"/>
  <c r="F241" i="4"/>
  <c r="G241" i="4"/>
  <c r="H241" i="4"/>
  <c r="B242" i="4"/>
  <c r="D242" i="4"/>
  <c r="E242" i="4"/>
  <c r="F242" i="4"/>
  <c r="G242" i="4"/>
  <c r="H242" i="4"/>
  <c r="D243" i="4"/>
  <c r="E243" i="4"/>
  <c r="F243" i="4"/>
  <c r="G243" i="4"/>
  <c r="H243" i="4"/>
  <c r="I243" i="4"/>
  <c r="D244" i="4"/>
  <c r="E244" i="4"/>
  <c r="F244" i="4"/>
  <c r="G244" i="4"/>
  <c r="I244" i="4" s="1"/>
  <c r="H244" i="4"/>
  <c r="B245" i="4"/>
  <c r="D245" i="4"/>
  <c r="E245" i="4"/>
  <c r="F245" i="4"/>
  <c r="G245" i="4"/>
  <c r="H245" i="4"/>
  <c r="B246" i="4"/>
  <c r="D246" i="4"/>
  <c r="E246" i="4"/>
  <c r="F246" i="4"/>
  <c r="G246" i="4"/>
  <c r="H246" i="4"/>
  <c r="D247" i="4"/>
  <c r="E247" i="4"/>
  <c r="F247" i="4"/>
  <c r="G247" i="4"/>
  <c r="I247" i="4" s="1"/>
  <c r="H247" i="4"/>
  <c r="D248" i="4"/>
  <c r="E248" i="4"/>
  <c r="F248" i="4"/>
  <c r="G248" i="4"/>
  <c r="H248" i="4"/>
  <c r="B249" i="4"/>
  <c r="D249" i="4"/>
  <c r="E249" i="4"/>
  <c r="F249" i="4"/>
  <c r="G249" i="4"/>
  <c r="H249" i="4"/>
  <c r="B250" i="4"/>
  <c r="D250" i="4"/>
  <c r="E250" i="4"/>
  <c r="F250" i="4"/>
  <c r="G250" i="4"/>
  <c r="H250" i="4"/>
  <c r="D251" i="4"/>
  <c r="E251" i="4"/>
  <c r="F251" i="4"/>
  <c r="G251" i="4"/>
  <c r="H251" i="4"/>
  <c r="D252" i="4"/>
  <c r="E252" i="4"/>
  <c r="F252" i="4"/>
  <c r="G252" i="4"/>
  <c r="H252" i="4"/>
  <c r="B253" i="4"/>
  <c r="D253" i="4"/>
  <c r="E253" i="4"/>
  <c r="F253" i="4"/>
  <c r="G253" i="4"/>
  <c r="H253" i="4"/>
  <c r="B254" i="4"/>
  <c r="D254" i="4"/>
  <c r="E254" i="4"/>
  <c r="F254" i="4"/>
  <c r="G254" i="4"/>
  <c r="H254" i="4"/>
  <c r="D255" i="4"/>
  <c r="E255" i="4"/>
  <c r="F255" i="4"/>
  <c r="G255" i="4"/>
  <c r="H255" i="4"/>
  <c r="I255" i="4"/>
  <c r="D256" i="4"/>
  <c r="E256" i="4"/>
  <c r="F256" i="4"/>
  <c r="G256" i="4"/>
  <c r="I256" i="4" s="1"/>
  <c r="H256" i="4"/>
  <c r="B257" i="4"/>
  <c r="D257" i="4"/>
  <c r="E257" i="4"/>
  <c r="F257" i="4"/>
  <c r="G257" i="4"/>
  <c r="H257" i="4"/>
  <c r="B258" i="4"/>
  <c r="D258" i="4"/>
  <c r="E258" i="4"/>
  <c r="F258" i="4"/>
  <c r="G258" i="4"/>
  <c r="H258" i="4"/>
  <c r="D259" i="4"/>
  <c r="E259" i="4"/>
  <c r="F259" i="4"/>
  <c r="G259" i="4"/>
  <c r="H259" i="4"/>
  <c r="I259" i="4"/>
  <c r="D260" i="4"/>
  <c r="E260" i="4"/>
  <c r="F260" i="4"/>
  <c r="G260" i="4"/>
  <c r="H260" i="4"/>
  <c r="B261" i="4"/>
  <c r="D261" i="4"/>
  <c r="E261" i="4"/>
  <c r="F261" i="4"/>
  <c r="G261" i="4"/>
  <c r="H261" i="4"/>
  <c r="B262" i="4"/>
  <c r="D262" i="4"/>
  <c r="E262" i="4"/>
  <c r="F262" i="4"/>
  <c r="G262" i="4"/>
  <c r="H262" i="4"/>
  <c r="D263" i="4"/>
  <c r="E263" i="4"/>
  <c r="F263" i="4"/>
  <c r="G263" i="4"/>
  <c r="I263" i="4" s="1"/>
  <c r="H263" i="4"/>
  <c r="D264" i="4"/>
  <c r="E264" i="4"/>
  <c r="F264" i="4"/>
  <c r="G264" i="4"/>
  <c r="H264" i="4"/>
  <c r="B265" i="4"/>
  <c r="D265" i="4"/>
  <c r="E265" i="4"/>
  <c r="F265" i="4"/>
  <c r="G265" i="4"/>
  <c r="H265" i="4"/>
  <c r="B266" i="4"/>
  <c r="D266" i="4"/>
  <c r="E266" i="4"/>
  <c r="F266" i="4"/>
  <c r="G266" i="4"/>
  <c r="H266" i="4"/>
  <c r="D267" i="4"/>
  <c r="E267" i="4"/>
  <c r="F267" i="4"/>
  <c r="G267" i="4"/>
  <c r="I267" i="4" s="1"/>
  <c r="H267" i="4"/>
  <c r="B272" i="4"/>
  <c r="G5" i="6" s="1"/>
  <c r="D272" i="4"/>
  <c r="E272" i="4"/>
  <c r="F272" i="4"/>
  <c r="G272" i="4"/>
  <c r="H272" i="4"/>
  <c r="I272" i="4" s="1"/>
  <c r="D273" i="4"/>
  <c r="E273" i="4"/>
  <c r="F273" i="4"/>
  <c r="G273" i="4"/>
  <c r="H273" i="4"/>
  <c r="B274" i="4"/>
  <c r="D274" i="4"/>
  <c r="E274" i="4"/>
  <c r="F274" i="4"/>
  <c r="G274" i="4"/>
  <c r="H274" i="4"/>
  <c r="D275" i="4"/>
  <c r="E275" i="4"/>
  <c r="F275" i="4"/>
  <c r="G275" i="4"/>
  <c r="H275" i="4"/>
  <c r="B276" i="4"/>
  <c r="D276" i="4"/>
  <c r="E276" i="4"/>
  <c r="F276" i="4"/>
  <c r="G276" i="4"/>
  <c r="H276" i="4"/>
  <c r="D277" i="4"/>
  <c r="E277" i="4"/>
  <c r="F277" i="4"/>
  <c r="G277" i="4"/>
  <c r="H277" i="4"/>
  <c r="B278" i="4"/>
  <c r="D278" i="4"/>
  <c r="E278" i="4"/>
  <c r="F278" i="4"/>
  <c r="G278" i="4"/>
  <c r="H278" i="4"/>
  <c r="B279" i="4"/>
  <c r="D279" i="4"/>
  <c r="E279" i="4"/>
  <c r="F279" i="4"/>
  <c r="G279" i="4"/>
  <c r="I279" i="4" s="1"/>
  <c r="H279" i="4"/>
  <c r="B280" i="4"/>
  <c r="D280" i="4"/>
  <c r="E280" i="4"/>
  <c r="F280" i="4"/>
  <c r="G280" i="4"/>
  <c r="H280" i="4"/>
  <c r="B281" i="4"/>
  <c r="D281" i="4"/>
  <c r="E281" i="4"/>
  <c r="F281" i="4"/>
  <c r="G281" i="4"/>
  <c r="I281" i="4" s="1"/>
  <c r="H281" i="4"/>
  <c r="B282" i="4"/>
  <c r="D282" i="4"/>
  <c r="E282" i="4"/>
  <c r="F282" i="4"/>
  <c r="G282" i="4"/>
  <c r="H282" i="4"/>
  <c r="B283" i="4"/>
  <c r="D283" i="4"/>
  <c r="E283" i="4"/>
  <c r="F283" i="4"/>
  <c r="G283" i="4"/>
  <c r="I283" i="4" s="1"/>
  <c r="H283" i="4"/>
  <c r="B284" i="4"/>
  <c r="D284" i="4"/>
  <c r="E284" i="4"/>
  <c r="F284" i="4"/>
  <c r="G284" i="4"/>
  <c r="H284" i="4"/>
  <c r="B285" i="4"/>
  <c r="D285" i="4"/>
  <c r="E285" i="4"/>
  <c r="F285" i="4"/>
  <c r="G285" i="4"/>
  <c r="H285" i="4"/>
  <c r="B286" i="4"/>
  <c r="D286" i="4"/>
  <c r="E286" i="4"/>
  <c r="F286" i="4"/>
  <c r="G286" i="4"/>
  <c r="H286" i="4"/>
  <c r="B287" i="4"/>
  <c r="D287" i="4"/>
  <c r="E287" i="4"/>
  <c r="F287" i="4"/>
  <c r="G287" i="4"/>
  <c r="I287" i="4" s="1"/>
  <c r="H287" i="4"/>
  <c r="B288" i="4"/>
  <c r="D288" i="4"/>
  <c r="E288" i="4"/>
  <c r="F288" i="4"/>
  <c r="G288" i="4"/>
  <c r="H288" i="4"/>
  <c r="I288" i="4" s="1"/>
  <c r="B289" i="4"/>
  <c r="D289" i="4"/>
  <c r="E289" i="4"/>
  <c r="F289" i="4"/>
  <c r="G289" i="4"/>
  <c r="I289" i="4" s="1"/>
  <c r="H289" i="4"/>
  <c r="B290" i="4"/>
  <c r="D290" i="4"/>
  <c r="E290" i="4"/>
  <c r="F290" i="4"/>
  <c r="G290" i="4"/>
  <c r="H290" i="4"/>
  <c r="B291" i="4"/>
  <c r="D291" i="4"/>
  <c r="E291" i="4"/>
  <c r="F291" i="4"/>
  <c r="G291" i="4"/>
  <c r="I291" i="4" s="1"/>
  <c r="H291" i="4"/>
  <c r="B292" i="4"/>
  <c r="D292" i="4"/>
  <c r="E292" i="4"/>
  <c r="F292" i="4"/>
  <c r="G292" i="4"/>
  <c r="I292" i="4" s="1"/>
  <c r="H292" i="4"/>
  <c r="B293" i="4"/>
  <c r="D293" i="4"/>
  <c r="E293" i="4"/>
  <c r="F293" i="4"/>
  <c r="G293" i="4"/>
  <c r="H293" i="4"/>
  <c r="B294" i="4"/>
  <c r="D294" i="4"/>
  <c r="E294" i="4"/>
  <c r="F294" i="4"/>
  <c r="G294" i="4"/>
  <c r="H294" i="4"/>
  <c r="B295" i="4"/>
  <c r="D295" i="4"/>
  <c r="E295" i="4"/>
  <c r="F295" i="4"/>
  <c r="G295" i="4"/>
  <c r="H295" i="4"/>
  <c r="I295" i="4"/>
  <c r="B296" i="4"/>
  <c r="D296" i="4"/>
  <c r="E296" i="4"/>
  <c r="F296" i="4"/>
  <c r="G296" i="4"/>
  <c r="I296" i="4" s="1"/>
  <c r="H296" i="4"/>
  <c r="B297" i="4"/>
  <c r="D297" i="4"/>
  <c r="E297" i="4"/>
  <c r="F297" i="4"/>
  <c r="G297" i="4"/>
  <c r="H297" i="4"/>
  <c r="B298" i="4"/>
  <c r="D298" i="4"/>
  <c r="E298" i="4"/>
  <c r="F298" i="4"/>
  <c r="G298" i="4"/>
  <c r="H298" i="4"/>
  <c r="B299" i="4"/>
  <c r="D299" i="4"/>
  <c r="E299" i="4"/>
  <c r="F299" i="4"/>
  <c r="G299" i="4"/>
  <c r="H299" i="4"/>
  <c r="B300" i="4"/>
  <c r="D300" i="4"/>
  <c r="E300" i="4"/>
  <c r="F300" i="4"/>
  <c r="G300" i="4"/>
  <c r="H300" i="4"/>
  <c r="B301" i="4"/>
  <c r="D301" i="4"/>
  <c r="E301" i="4"/>
  <c r="F301" i="4"/>
  <c r="G301" i="4"/>
  <c r="H301" i="4"/>
  <c r="B302" i="4"/>
  <c r="D302" i="4"/>
  <c r="E302" i="4"/>
  <c r="F302" i="4"/>
  <c r="G302" i="4"/>
  <c r="H302" i="4"/>
  <c r="B303" i="4"/>
  <c r="D303" i="4"/>
  <c r="E303" i="4"/>
  <c r="F303" i="4"/>
  <c r="G303" i="4"/>
  <c r="I303" i="4" s="1"/>
  <c r="H303" i="4"/>
  <c r="B304" i="4"/>
  <c r="D304" i="4"/>
  <c r="E304" i="4"/>
  <c r="F304" i="4"/>
  <c r="G304" i="4"/>
  <c r="H304" i="4"/>
  <c r="I304" i="4"/>
  <c r="B305" i="4"/>
  <c r="D305" i="4"/>
  <c r="E305" i="4"/>
  <c r="F305" i="4"/>
  <c r="G305" i="4"/>
  <c r="I305" i="4" s="1"/>
  <c r="H305" i="4"/>
  <c r="B306" i="4"/>
  <c r="D306" i="4"/>
  <c r="E306" i="4"/>
  <c r="F306" i="4"/>
  <c r="G306" i="4"/>
  <c r="H306" i="4"/>
  <c r="B307" i="4"/>
  <c r="D307" i="4"/>
  <c r="E307" i="4"/>
  <c r="F307" i="4"/>
  <c r="G307" i="4"/>
  <c r="I307" i="4" s="1"/>
  <c r="H307" i="4"/>
  <c r="B308" i="4"/>
  <c r="D308" i="4"/>
  <c r="E308" i="4"/>
  <c r="F308" i="4"/>
  <c r="G308" i="4"/>
  <c r="H308" i="4"/>
  <c r="B309" i="4"/>
  <c r="D309" i="4"/>
  <c r="E309" i="4"/>
  <c r="F309" i="4"/>
  <c r="G309" i="4"/>
  <c r="H309" i="4"/>
  <c r="B310" i="4"/>
  <c r="D310" i="4"/>
  <c r="E310" i="4"/>
  <c r="F310" i="4"/>
  <c r="G310" i="4"/>
  <c r="H310" i="4"/>
  <c r="B311" i="4"/>
  <c r="D311" i="4"/>
  <c r="E311" i="4"/>
  <c r="F311" i="4"/>
  <c r="G311" i="4"/>
  <c r="H311" i="4"/>
  <c r="I311" i="4"/>
  <c r="B312" i="4"/>
  <c r="D312" i="4"/>
  <c r="E312" i="4"/>
  <c r="F312" i="4"/>
  <c r="G312" i="4"/>
  <c r="I312" i="4" s="1"/>
  <c r="H312" i="4"/>
  <c r="B313" i="4"/>
  <c r="D313" i="4"/>
  <c r="E313" i="4"/>
  <c r="F313" i="4"/>
  <c r="G313" i="4"/>
  <c r="H313" i="4"/>
  <c r="B314" i="4"/>
  <c r="D314" i="4"/>
  <c r="E314" i="4"/>
  <c r="F314" i="4"/>
  <c r="G314" i="4"/>
  <c r="H314" i="4"/>
  <c r="B315" i="4"/>
  <c r="D315" i="4"/>
  <c r="E315" i="4"/>
  <c r="F315" i="4"/>
  <c r="G315" i="4"/>
  <c r="H315" i="4"/>
  <c r="B316" i="4"/>
  <c r="D316" i="4"/>
  <c r="E316" i="4"/>
  <c r="F316" i="4"/>
  <c r="G316" i="4"/>
  <c r="H316" i="4"/>
  <c r="B317" i="4"/>
  <c r="D317" i="4"/>
  <c r="E317" i="4"/>
  <c r="F317" i="4"/>
  <c r="G317" i="4"/>
  <c r="H317" i="4"/>
  <c r="B318" i="4"/>
  <c r="D318" i="4"/>
  <c r="E318" i="4"/>
  <c r="F318" i="4"/>
  <c r="G318" i="4"/>
  <c r="H318" i="4"/>
  <c r="B319" i="4"/>
  <c r="D319" i="4"/>
  <c r="E319" i="4"/>
  <c r="F319" i="4"/>
  <c r="G319" i="4"/>
  <c r="H319" i="4"/>
  <c r="I319" i="4"/>
  <c r="B320" i="4"/>
  <c r="D320" i="4"/>
  <c r="E320" i="4"/>
  <c r="F320" i="4"/>
  <c r="G320" i="4"/>
  <c r="H320" i="4"/>
  <c r="I320" i="4" s="1"/>
  <c r="B321" i="4"/>
  <c r="D321" i="4"/>
  <c r="E321" i="4"/>
  <c r="F321" i="4"/>
  <c r="G321" i="4"/>
  <c r="H321" i="4"/>
  <c r="B326" i="4"/>
  <c r="H5" i="6" s="1"/>
  <c r="D326" i="4"/>
  <c r="E326" i="4"/>
  <c r="F326" i="4"/>
  <c r="G326" i="4"/>
  <c r="H326" i="4"/>
  <c r="D327" i="4"/>
  <c r="E327" i="4"/>
  <c r="F327" i="4"/>
  <c r="G327" i="4"/>
  <c r="H327" i="4"/>
  <c r="D328" i="4"/>
  <c r="E328" i="4"/>
  <c r="F328" i="4"/>
  <c r="G328" i="4"/>
  <c r="H328" i="4"/>
  <c r="D329" i="4"/>
  <c r="E329" i="4"/>
  <c r="F329" i="4"/>
  <c r="G329" i="4"/>
  <c r="H329" i="4"/>
  <c r="B330" i="4"/>
  <c r="D330" i="4"/>
  <c r="E330" i="4"/>
  <c r="F330" i="4"/>
  <c r="G330" i="4"/>
  <c r="H330" i="4"/>
  <c r="D331" i="4"/>
  <c r="E331" i="4"/>
  <c r="F331" i="4"/>
  <c r="G331" i="4"/>
  <c r="I331" i="4" s="1"/>
  <c r="H331" i="4"/>
  <c r="D332" i="4"/>
  <c r="E332" i="4"/>
  <c r="F332" i="4"/>
  <c r="G332" i="4"/>
  <c r="H332" i="4"/>
  <c r="I332" i="4" s="1"/>
  <c r="D333" i="4"/>
  <c r="E333" i="4"/>
  <c r="F333" i="4"/>
  <c r="G333" i="4"/>
  <c r="H333" i="4"/>
  <c r="B334" i="4"/>
  <c r="D334" i="4"/>
  <c r="E334" i="4"/>
  <c r="F334" i="4"/>
  <c r="G334" i="4"/>
  <c r="H334" i="4"/>
  <c r="D335" i="4"/>
  <c r="E335" i="4"/>
  <c r="F335" i="4"/>
  <c r="G335" i="4"/>
  <c r="I335" i="4" s="1"/>
  <c r="H335" i="4"/>
  <c r="D336" i="4"/>
  <c r="E336" i="4"/>
  <c r="F336" i="4"/>
  <c r="G336" i="4"/>
  <c r="H336" i="4"/>
  <c r="D337" i="4"/>
  <c r="E337" i="4"/>
  <c r="F337" i="4"/>
  <c r="G337" i="4"/>
  <c r="H337" i="4"/>
  <c r="B338" i="4"/>
  <c r="D338" i="4"/>
  <c r="E338" i="4"/>
  <c r="F338" i="4"/>
  <c r="G338" i="4"/>
  <c r="H338" i="4"/>
  <c r="D339" i="4"/>
  <c r="E339" i="4"/>
  <c r="F339" i="4"/>
  <c r="G339" i="4"/>
  <c r="I339" i="4" s="1"/>
  <c r="H339" i="4"/>
  <c r="D340" i="4"/>
  <c r="E340" i="4"/>
  <c r="F340" i="4"/>
  <c r="G340" i="4"/>
  <c r="H340" i="4"/>
  <c r="I340" i="4" s="1"/>
  <c r="D341" i="4"/>
  <c r="E341" i="4"/>
  <c r="F341" i="4"/>
  <c r="G341" i="4"/>
  <c r="H341" i="4"/>
  <c r="B342" i="4"/>
  <c r="D342" i="4"/>
  <c r="E342" i="4"/>
  <c r="F342" i="4"/>
  <c r="G342" i="4"/>
  <c r="H342" i="4"/>
  <c r="D343" i="4"/>
  <c r="E343" i="4"/>
  <c r="F343" i="4"/>
  <c r="G343" i="4"/>
  <c r="I343" i="4" s="1"/>
  <c r="H343" i="4"/>
  <c r="D344" i="4"/>
  <c r="E344" i="4"/>
  <c r="F344" i="4"/>
  <c r="G344" i="4"/>
  <c r="I344" i="4" s="1"/>
  <c r="H344" i="4"/>
  <c r="D345" i="4"/>
  <c r="E345" i="4"/>
  <c r="F345" i="4"/>
  <c r="G345" i="4"/>
  <c r="H345" i="4"/>
  <c r="B346" i="4"/>
  <c r="D346" i="4"/>
  <c r="E346" i="4"/>
  <c r="F346" i="4"/>
  <c r="G346" i="4"/>
  <c r="H346" i="4"/>
  <c r="D347" i="4"/>
  <c r="E347" i="4"/>
  <c r="F347" i="4"/>
  <c r="G347" i="4"/>
  <c r="I347" i="4" s="1"/>
  <c r="H347" i="4"/>
  <c r="D348" i="4"/>
  <c r="E348" i="4"/>
  <c r="F348" i="4"/>
  <c r="G348" i="4"/>
  <c r="H348" i="4"/>
  <c r="I348" i="4"/>
  <c r="B349" i="4"/>
  <c r="D349" i="4"/>
  <c r="E349" i="4"/>
  <c r="F349" i="4"/>
  <c r="G349" i="4"/>
  <c r="H349" i="4"/>
  <c r="B350" i="4"/>
  <c r="D350" i="4"/>
  <c r="E350" i="4"/>
  <c r="F350" i="4"/>
  <c r="G350" i="4"/>
  <c r="H350" i="4"/>
  <c r="D351" i="4"/>
  <c r="E351" i="4"/>
  <c r="F351" i="4"/>
  <c r="G351" i="4"/>
  <c r="I351" i="4" s="1"/>
  <c r="H351" i="4"/>
  <c r="D352" i="4"/>
  <c r="E352" i="4"/>
  <c r="F352" i="4"/>
  <c r="G352" i="4"/>
  <c r="H352" i="4"/>
  <c r="I352" i="4"/>
  <c r="B353" i="4"/>
  <c r="D353" i="4"/>
  <c r="E353" i="4"/>
  <c r="F353" i="4"/>
  <c r="G353" i="4"/>
  <c r="H353" i="4"/>
  <c r="B354" i="4"/>
  <c r="D354" i="4"/>
  <c r="E354" i="4"/>
  <c r="F354" i="4"/>
  <c r="G354" i="4"/>
  <c r="H354" i="4"/>
  <c r="D355" i="4"/>
  <c r="E355" i="4"/>
  <c r="F355" i="4"/>
  <c r="G355" i="4"/>
  <c r="H355" i="4"/>
  <c r="D356" i="4"/>
  <c r="E356" i="4"/>
  <c r="F356" i="4"/>
  <c r="G356" i="4"/>
  <c r="I356" i="4" s="1"/>
  <c r="H356" i="4"/>
  <c r="B357" i="4"/>
  <c r="D357" i="4"/>
  <c r="E357" i="4"/>
  <c r="F357" i="4"/>
  <c r="G357" i="4"/>
  <c r="H357" i="4"/>
  <c r="B358" i="4"/>
  <c r="D358" i="4"/>
  <c r="E358" i="4"/>
  <c r="F358" i="4"/>
  <c r="G358" i="4"/>
  <c r="H358" i="4"/>
  <c r="D359" i="4"/>
  <c r="E359" i="4"/>
  <c r="F359" i="4"/>
  <c r="G359" i="4"/>
  <c r="H359" i="4"/>
  <c r="D360" i="4"/>
  <c r="E360" i="4"/>
  <c r="F360" i="4"/>
  <c r="G360" i="4"/>
  <c r="H360" i="4"/>
  <c r="I360" i="4"/>
  <c r="B361" i="4"/>
  <c r="D361" i="4"/>
  <c r="E361" i="4"/>
  <c r="F361" i="4"/>
  <c r="G361" i="4"/>
  <c r="H361" i="4"/>
  <c r="B362" i="4"/>
  <c r="D362" i="4"/>
  <c r="E362" i="4"/>
  <c r="F362" i="4"/>
  <c r="G362" i="4"/>
  <c r="H362" i="4"/>
  <c r="D363" i="4"/>
  <c r="E363" i="4"/>
  <c r="F363" i="4"/>
  <c r="G363" i="4"/>
  <c r="I363" i="4" s="1"/>
  <c r="H363" i="4"/>
  <c r="D364" i="4"/>
  <c r="E364" i="4"/>
  <c r="F364" i="4"/>
  <c r="G364" i="4"/>
  <c r="H364" i="4"/>
  <c r="I364" i="4"/>
  <c r="B365" i="4"/>
  <c r="D365" i="4"/>
  <c r="E365" i="4"/>
  <c r="F365" i="4"/>
  <c r="G365" i="4"/>
  <c r="H365" i="4"/>
  <c r="B366" i="4"/>
  <c r="D366" i="4"/>
  <c r="E366" i="4"/>
  <c r="F366" i="4"/>
  <c r="G366" i="4"/>
  <c r="H366" i="4"/>
  <c r="D367" i="4"/>
  <c r="E367" i="4"/>
  <c r="F367" i="4"/>
  <c r="G367" i="4"/>
  <c r="H367" i="4"/>
  <c r="D368" i="4"/>
  <c r="E368" i="4"/>
  <c r="F368" i="4"/>
  <c r="G368" i="4"/>
  <c r="I368" i="4" s="1"/>
  <c r="H368" i="4"/>
  <c r="B369" i="4"/>
  <c r="D369" i="4"/>
  <c r="E369" i="4"/>
  <c r="F369" i="4"/>
  <c r="G369" i="4"/>
  <c r="H369" i="4"/>
  <c r="B370" i="4"/>
  <c r="D370" i="4"/>
  <c r="E370" i="4"/>
  <c r="F370" i="4"/>
  <c r="G370" i="4"/>
  <c r="H370" i="4"/>
  <c r="D371" i="4"/>
  <c r="E371" i="4"/>
  <c r="F371" i="4"/>
  <c r="G371" i="4"/>
  <c r="H371" i="4"/>
  <c r="D372" i="4"/>
  <c r="E372" i="4"/>
  <c r="F372" i="4"/>
  <c r="G372" i="4"/>
  <c r="H372" i="4"/>
  <c r="I372" i="4" s="1"/>
  <c r="B373" i="4"/>
  <c r="D373" i="4"/>
  <c r="E373" i="4"/>
  <c r="F373" i="4"/>
  <c r="G373" i="4"/>
  <c r="H373" i="4"/>
  <c r="B374" i="4"/>
  <c r="D374" i="4"/>
  <c r="E374" i="4"/>
  <c r="F374" i="4"/>
  <c r="G374" i="4"/>
  <c r="H374" i="4"/>
  <c r="D375" i="4"/>
  <c r="E375" i="4"/>
  <c r="F375" i="4"/>
  <c r="G375" i="4"/>
  <c r="H375" i="4"/>
  <c r="B380" i="4"/>
  <c r="D380" i="4"/>
  <c r="E380" i="4"/>
  <c r="F380" i="4"/>
  <c r="G380" i="4"/>
  <c r="H380" i="4"/>
  <c r="I380" i="4" s="1"/>
  <c r="B381" i="4"/>
  <c r="D381" i="4"/>
  <c r="E381" i="4"/>
  <c r="F381" i="4"/>
  <c r="G381" i="4"/>
  <c r="I381" i="4" s="1"/>
  <c r="H381" i="4"/>
  <c r="B382" i="4"/>
  <c r="D382" i="4"/>
  <c r="E382" i="4"/>
  <c r="F382" i="4"/>
  <c r="G382" i="4"/>
  <c r="H382" i="4"/>
  <c r="B383" i="4"/>
  <c r="D383" i="4"/>
  <c r="E383" i="4"/>
  <c r="F383" i="4"/>
  <c r="G383" i="4"/>
  <c r="I383" i="4" s="1"/>
  <c r="H383" i="4"/>
  <c r="B384" i="4"/>
  <c r="D384" i="4"/>
  <c r="E384" i="4"/>
  <c r="F384" i="4"/>
  <c r="G384" i="4"/>
  <c r="H384" i="4"/>
  <c r="B385" i="4"/>
  <c r="D385" i="4"/>
  <c r="E385" i="4"/>
  <c r="F385" i="4"/>
  <c r="G385" i="4"/>
  <c r="I385" i="4" s="1"/>
  <c r="H385" i="4"/>
  <c r="B386" i="4"/>
  <c r="D386" i="4"/>
  <c r="E386" i="4"/>
  <c r="F386" i="4"/>
  <c r="G386" i="4"/>
  <c r="H386" i="4"/>
  <c r="B387" i="4"/>
  <c r="D387" i="4"/>
  <c r="E387" i="4"/>
  <c r="F387" i="4"/>
  <c r="G387" i="4"/>
  <c r="H387" i="4"/>
  <c r="B388" i="4"/>
  <c r="D388" i="4"/>
  <c r="E388" i="4"/>
  <c r="F388" i="4"/>
  <c r="G388" i="4"/>
  <c r="H388" i="4"/>
  <c r="B389" i="4"/>
  <c r="D389" i="4"/>
  <c r="E389" i="4"/>
  <c r="F389" i="4"/>
  <c r="G389" i="4"/>
  <c r="H389" i="4"/>
  <c r="B390" i="4"/>
  <c r="D390" i="4"/>
  <c r="E390" i="4"/>
  <c r="F390" i="4"/>
  <c r="G390" i="4"/>
  <c r="H390" i="4"/>
  <c r="B391" i="4"/>
  <c r="D391" i="4"/>
  <c r="E391" i="4"/>
  <c r="F391" i="4"/>
  <c r="G391" i="4"/>
  <c r="H391" i="4"/>
  <c r="B392" i="4"/>
  <c r="D392" i="4"/>
  <c r="E392" i="4"/>
  <c r="F392" i="4"/>
  <c r="G392" i="4"/>
  <c r="H392" i="4"/>
  <c r="I392" i="4"/>
  <c r="D393" i="4"/>
  <c r="E393" i="4"/>
  <c r="F393" i="4"/>
  <c r="G393" i="4"/>
  <c r="H393" i="4"/>
  <c r="B394" i="4"/>
  <c r="D394" i="4"/>
  <c r="E394" i="4"/>
  <c r="F394" i="4"/>
  <c r="G394" i="4"/>
  <c r="H394" i="4"/>
  <c r="D395" i="4"/>
  <c r="E395" i="4"/>
  <c r="F395" i="4"/>
  <c r="G395" i="4"/>
  <c r="H395" i="4"/>
  <c r="I395" i="4" s="1"/>
  <c r="B396" i="4"/>
  <c r="D396" i="4"/>
  <c r="E396" i="4"/>
  <c r="F396" i="4"/>
  <c r="G396" i="4"/>
  <c r="H396" i="4"/>
  <c r="D397" i="4"/>
  <c r="E397" i="4"/>
  <c r="F397" i="4"/>
  <c r="G397" i="4"/>
  <c r="H397" i="4"/>
  <c r="B398" i="4"/>
  <c r="D398" i="4"/>
  <c r="E398" i="4"/>
  <c r="F398" i="4"/>
  <c r="G398" i="4"/>
  <c r="H398" i="4"/>
  <c r="D399" i="4"/>
  <c r="E399" i="4"/>
  <c r="F399" i="4"/>
  <c r="G399" i="4"/>
  <c r="H399" i="4"/>
  <c r="I399" i="4"/>
  <c r="B400" i="4"/>
  <c r="D400" i="4"/>
  <c r="E400" i="4"/>
  <c r="F400" i="4"/>
  <c r="G400" i="4"/>
  <c r="H400" i="4"/>
  <c r="B401" i="4"/>
  <c r="D401" i="4"/>
  <c r="E401" i="4"/>
  <c r="F401" i="4"/>
  <c r="G401" i="4"/>
  <c r="H401" i="4"/>
  <c r="B402" i="4"/>
  <c r="D402" i="4"/>
  <c r="E402" i="4"/>
  <c r="F402" i="4"/>
  <c r="G402" i="4"/>
  <c r="I402" i="4" s="1"/>
  <c r="H402" i="4"/>
  <c r="B403" i="4"/>
  <c r="D403" i="4"/>
  <c r="E403" i="4"/>
  <c r="F403" i="4"/>
  <c r="G403" i="4"/>
  <c r="H403" i="4"/>
  <c r="B404" i="4"/>
  <c r="D404" i="4"/>
  <c r="E404" i="4"/>
  <c r="F404" i="4"/>
  <c r="G404" i="4"/>
  <c r="I404" i="4" s="1"/>
  <c r="H404" i="4"/>
  <c r="B405" i="4"/>
  <c r="D405" i="4"/>
  <c r="E405" i="4"/>
  <c r="F405" i="4"/>
  <c r="G405" i="4"/>
  <c r="H405" i="4"/>
  <c r="D406" i="4"/>
  <c r="E406" i="4"/>
  <c r="F406" i="4"/>
  <c r="G406" i="4"/>
  <c r="H406" i="4"/>
  <c r="B407" i="4"/>
  <c r="D407" i="4"/>
  <c r="E407" i="4"/>
  <c r="F407" i="4"/>
  <c r="G407" i="4"/>
  <c r="H407" i="4"/>
  <c r="I407" i="4" s="1"/>
  <c r="D408" i="4"/>
  <c r="E408" i="4"/>
  <c r="F408" i="4"/>
  <c r="G408" i="4"/>
  <c r="H408" i="4"/>
  <c r="B409" i="4"/>
  <c r="D409" i="4"/>
  <c r="E409" i="4"/>
  <c r="F409" i="4"/>
  <c r="G409" i="4"/>
  <c r="H409" i="4"/>
  <c r="D410" i="4"/>
  <c r="E410" i="4"/>
  <c r="F410" i="4"/>
  <c r="G410" i="4"/>
  <c r="H410" i="4"/>
  <c r="B411" i="4"/>
  <c r="D411" i="4"/>
  <c r="E411" i="4"/>
  <c r="F411" i="4"/>
  <c r="G411" i="4"/>
  <c r="H411" i="4"/>
  <c r="D412" i="4"/>
  <c r="E412" i="4"/>
  <c r="F412" i="4"/>
  <c r="G412" i="4"/>
  <c r="H412" i="4"/>
  <c r="I412" i="4" s="1"/>
  <c r="B413" i="4"/>
  <c r="D413" i="4"/>
  <c r="E413" i="4"/>
  <c r="F413" i="4"/>
  <c r="G413" i="4"/>
  <c r="H413" i="4"/>
  <c r="D414" i="4"/>
  <c r="E414" i="4"/>
  <c r="F414" i="4"/>
  <c r="G414" i="4"/>
  <c r="H414" i="4"/>
  <c r="B415" i="4"/>
  <c r="D415" i="4"/>
  <c r="E415" i="4"/>
  <c r="F415" i="4"/>
  <c r="G415" i="4"/>
  <c r="H415" i="4"/>
  <c r="D416" i="4"/>
  <c r="E416" i="4"/>
  <c r="F416" i="4"/>
  <c r="G416" i="4"/>
  <c r="H416" i="4"/>
  <c r="B417" i="4"/>
  <c r="D417" i="4"/>
  <c r="E417" i="4"/>
  <c r="F417" i="4"/>
  <c r="G417" i="4"/>
  <c r="I417" i="4" s="1"/>
  <c r="H417" i="4"/>
  <c r="D418" i="4"/>
  <c r="E418" i="4"/>
  <c r="F418" i="4"/>
  <c r="G418" i="4"/>
  <c r="H418" i="4"/>
  <c r="B419" i="4"/>
  <c r="D419" i="4"/>
  <c r="E419" i="4"/>
  <c r="F419" i="4"/>
  <c r="G419" i="4"/>
  <c r="I419" i="4" s="1"/>
  <c r="H419" i="4"/>
  <c r="D420" i="4"/>
  <c r="E420" i="4"/>
  <c r="F420" i="4"/>
  <c r="G420" i="4"/>
  <c r="H420" i="4"/>
  <c r="B421" i="4"/>
  <c r="D421" i="4"/>
  <c r="E421" i="4"/>
  <c r="F421" i="4"/>
  <c r="G421" i="4"/>
  <c r="H421" i="4"/>
  <c r="D422" i="4"/>
  <c r="E422" i="4"/>
  <c r="F422" i="4"/>
  <c r="G422" i="4"/>
  <c r="H422" i="4"/>
  <c r="B423" i="4"/>
  <c r="D423" i="4"/>
  <c r="E423" i="4"/>
  <c r="F423" i="4"/>
  <c r="G423" i="4"/>
  <c r="H423" i="4"/>
  <c r="D424" i="4"/>
  <c r="E424" i="4"/>
  <c r="F424" i="4"/>
  <c r="G424" i="4"/>
  <c r="H424" i="4"/>
  <c r="B425" i="4"/>
  <c r="D425" i="4"/>
  <c r="E425" i="4"/>
  <c r="F425" i="4"/>
  <c r="G425" i="4"/>
  <c r="I425" i="4" s="1"/>
  <c r="H425" i="4"/>
  <c r="D426" i="4"/>
  <c r="E426" i="4"/>
  <c r="F426" i="4"/>
  <c r="G426" i="4"/>
  <c r="H426" i="4"/>
  <c r="B427" i="4"/>
  <c r="D427" i="4"/>
  <c r="E427" i="4"/>
  <c r="F427" i="4"/>
  <c r="G427" i="4"/>
  <c r="I427" i="4" s="1"/>
  <c r="H427" i="4"/>
  <c r="B428" i="4"/>
  <c r="D428" i="4"/>
  <c r="E428" i="4"/>
  <c r="F428" i="4"/>
  <c r="G428" i="4"/>
  <c r="H428" i="4"/>
  <c r="I428" i="4" s="1"/>
  <c r="B429" i="4"/>
  <c r="D429" i="4"/>
  <c r="E429" i="4"/>
  <c r="F429" i="4"/>
  <c r="G429" i="4"/>
  <c r="I429" i="4" s="1"/>
  <c r="H429" i="4"/>
  <c r="B434" i="4"/>
  <c r="B438" i="4" s="1"/>
  <c r="D434" i="4"/>
  <c r="E434" i="4"/>
  <c r="F434" i="4"/>
  <c r="G434" i="4"/>
  <c r="H434" i="4"/>
  <c r="D435" i="4"/>
  <c r="E435" i="4"/>
  <c r="F435" i="4"/>
  <c r="G435" i="4"/>
  <c r="H435" i="4"/>
  <c r="D436" i="4"/>
  <c r="E436" i="4"/>
  <c r="F436" i="4"/>
  <c r="G436" i="4"/>
  <c r="H436" i="4"/>
  <c r="D437" i="4"/>
  <c r="E437" i="4"/>
  <c r="F437" i="4"/>
  <c r="G437" i="4"/>
  <c r="H437" i="4"/>
  <c r="D438" i="4"/>
  <c r="E438" i="4"/>
  <c r="F438" i="4"/>
  <c r="G438" i="4"/>
  <c r="H438" i="4"/>
  <c r="D439" i="4"/>
  <c r="E439" i="4"/>
  <c r="F439" i="4"/>
  <c r="G439" i="4"/>
  <c r="H439" i="4"/>
  <c r="D440" i="4"/>
  <c r="E440" i="4"/>
  <c r="F440" i="4"/>
  <c r="G440" i="4"/>
  <c r="I440" i="4" s="1"/>
  <c r="H440" i="4"/>
  <c r="D441" i="4"/>
  <c r="E441" i="4"/>
  <c r="F441" i="4"/>
  <c r="G441" i="4"/>
  <c r="H441" i="4"/>
  <c r="B442" i="4"/>
  <c r="D442" i="4"/>
  <c r="E442" i="4"/>
  <c r="F442" i="4"/>
  <c r="G442" i="4"/>
  <c r="I442" i="4" s="1"/>
  <c r="H442" i="4"/>
  <c r="D443" i="4"/>
  <c r="E443" i="4"/>
  <c r="F443" i="4"/>
  <c r="G443" i="4"/>
  <c r="H443" i="4"/>
  <c r="D444" i="4"/>
  <c r="E444" i="4"/>
  <c r="F444" i="4"/>
  <c r="G444" i="4"/>
  <c r="H444" i="4"/>
  <c r="D445" i="4"/>
  <c r="E445" i="4"/>
  <c r="F445" i="4"/>
  <c r="G445" i="4"/>
  <c r="H445" i="4"/>
  <c r="D446" i="4"/>
  <c r="E446" i="4"/>
  <c r="F446" i="4"/>
  <c r="G446" i="4"/>
  <c r="I446" i="4" s="1"/>
  <c r="H446" i="4"/>
  <c r="D447" i="4"/>
  <c r="E447" i="4"/>
  <c r="F447" i="4"/>
  <c r="G447" i="4"/>
  <c r="H447" i="4"/>
  <c r="I447" i="4" s="1"/>
  <c r="D448" i="4"/>
  <c r="E448" i="4"/>
  <c r="F448" i="4"/>
  <c r="G448" i="4"/>
  <c r="H448" i="4"/>
  <c r="D449" i="4"/>
  <c r="E449" i="4"/>
  <c r="F449" i="4"/>
  <c r="G449" i="4"/>
  <c r="I449" i="4" s="1"/>
  <c r="H449" i="4"/>
  <c r="D450" i="4"/>
  <c r="E450" i="4"/>
  <c r="F450" i="4"/>
  <c r="G450" i="4"/>
  <c r="H450" i="4"/>
  <c r="D451" i="4"/>
  <c r="E451" i="4"/>
  <c r="F451" i="4"/>
  <c r="G451" i="4"/>
  <c r="H451" i="4"/>
  <c r="I451" i="4" s="1"/>
  <c r="D452" i="4"/>
  <c r="E452" i="4"/>
  <c r="F452" i="4"/>
  <c r="G452" i="4"/>
  <c r="H452" i="4"/>
  <c r="D453" i="4"/>
  <c r="E453" i="4"/>
  <c r="F453" i="4"/>
  <c r="G453" i="4"/>
  <c r="I453" i="4" s="1"/>
  <c r="H453" i="4"/>
  <c r="D454" i="4"/>
  <c r="E454" i="4"/>
  <c r="F454" i="4"/>
  <c r="G454" i="4"/>
  <c r="H454" i="4"/>
  <c r="D455" i="4"/>
  <c r="E455" i="4"/>
  <c r="F455" i="4"/>
  <c r="G455" i="4"/>
  <c r="H455" i="4"/>
  <c r="I455" i="4" s="1"/>
  <c r="D456" i="4"/>
  <c r="E456" i="4"/>
  <c r="F456" i="4"/>
  <c r="G456" i="4"/>
  <c r="I456" i="4" s="1"/>
  <c r="H456" i="4"/>
  <c r="D457" i="4"/>
  <c r="E457" i="4"/>
  <c r="F457" i="4"/>
  <c r="G457" i="4"/>
  <c r="I457" i="4" s="1"/>
  <c r="H457" i="4"/>
  <c r="B458" i="4"/>
  <c r="D458" i="4"/>
  <c r="E458" i="4"/>
  <c r="F458" i="4"/>
  <c r="G458" i="4"/>
  <c r="H458" i="4"/>
  <c r="D459" i="4"/>
  <c r="E459" i="4"/>
  <c r="F459" i="4"/>
  <c r="G459" i="4"/>
  <c r="H459" i="4"/>
  <c r="D460" i="4"/>
  <c r="E460" i="4"/>
  <c r="F460" i="4"/>
  <c r="G460" i="4"/>
  <c r="H460" i="4"/>
  <c r="B461" i="4"/>
  <c r="D461" i="4"/>
  <c r="E461" i="4"/>
  <c r="F461" i="4"/>
  <c r="G461" i="4"/>
  <c r="H461" i="4"/>
  <c r="D462" i="4"/>
  <c r="E462" i="4"/>
  <c r="F462" i="4"/>
  <c r="G462" i="4"/>
  <c r="I462" i="4" s="1"/>
  <c r="H462" i="4"/>
  <c r="D463" i="4"/>
  <c r="E463" i="4"/>
  <c r="F463" i="4"/>
  <c r="G463" i="4"/>
  <c r="H463" i="4"/>
  <c r="D464" i="4"/>
  <c r="E464" i="4"/>
  <c r="F464" i="4"/>
  <c r="G464" i="4"/>
  <c r="H464" i="4"/>
  <c r="D465" i="4"/>
  <c r="E465" i="4"/>
  <c r="F465" i="4"/>
  <c r="G465" i="4"/>
  <c r="H465" i="4"/>
  <c r="D466" i="4"/>
  <c r="E466" i="4"/>
  <c r="F466" i="4"/>
  <c r="G466" i="4"/>
  <c r="I466" i="4" s="1"/>
  <c r="H466" i="4"/>
  <c r="D467" i="4"/>
  <c r="E467" i="4"/>
  <c r="F467" i="4"/>
  <c r="G467" i="4"/>
  <c r="H467" i="4"/>
  <c r="I467" i="4" s="1"/>
  <c r="D468" i="4"/>
  <c r="E468" i="4"/>
  <c r="F468" i="4"/>
  <c r="G468" i="4"/>
  <c r="H468" i="4"/>
  <c r="D469" i="4"/>
  <c r="E469" i="4"/>
  <c r="F469" i="4"/>
  <c r="G469" i="4"/>
  <c r="I469" i="4" s="1"/>
  <c r="H469" i="4"/>
  <c r="D470" i="4"/>
  <c r="E470" i="4"/>
  <c r="F470" i="4"/>
  <c r="G470" i="4"/>
  <c r="H470" i="4"/>
  <c r="D471" i="4"/>
  <c r="E471" i="4"/>
  <c r="F471" i="4"/>
  <c r="G471" i="4"/>
  <c r="H471" i="4"/>
  <c r="I471" i="4" s="1"/>
  <c r="D472" i="4"/>
  <c r="E472" i="4"/>
  <c r="F472" i="4"/>
  <c r="G472" i="4"/>
  <c r="I472" i="4" s="1"/>
  <c r="H472" i="4"/>
  <c r="D473" i="4"/>
  <c r="E473" i="4"/>
  <c r="F473" i="4"/>
  <c r="G473" i="4"/>
  <c r="H473" i="4"/>
  <c r="B474" i="4"/>
  <c r="D474" i="4"/>
  <c r="E474" i="4"/>
  <c r="F474" i="4"/>
  <c r="G474" i="4"/>
  <c r="I474" i="4" s="1"/>
  <c r="H474" i="4"/>
  <c r="D475" i="4"/>
  <c r="E475" i="4"/>
  <c r="F475" i="4"/>
  <c r="G475" i="4"/>
  <c r="H475" i="4"/>
  <c r="I475" i="4"/>
  <c r="D476" i="4"/>
  <c r="E476" i="4"/>
  <c r="F476" i="4"/>
  <c r="G476" i="4"/>
  <c r="H476" i="4"/>
  <c r="D477" i="4"/>
  <c r="E477" i="4"/>
  <c r="F477" i="4"/>
  <c r="G477" i="4"/>
  <c r="H477" i="4"/>
  <c r="D478" i="4"/>
  <c r="E478" i="4"/>
  <c r="F478" i="4"/>
  <c r="G478" i="4"/>
  <c r="H478" i="4"/>
  <c r="D479" i="4"/>
  <c r="E479" i="4"/>
  <c r="F479" i="4"/>
  <c r="G479" i="4"/>
  <c r="I479" i="4" s="1"/>
  <c r="H479" i="4"/>
  <c r="D480" i="4"/>
  <c r="E480" i="4"/>
  <c r="F480" i="4"/>
  <c r="G480" i="4"/>
  <c r="H480" i="4"/>
  <c r="B481" i="4"/>
  <c r="D481" i="4"/>
  <c r="E481" i="4"/>
  <c r="F481" i="4"/>
  <c r="G481" i="4"/>
  <c r="H481" i="4"/>
  <c r="D482" i="4"/>
  <c r="E482" i="4"/>
  <c r="F482" i="4"/>
  <c r="G482" i="4"/>
  <c r="I482" i="4" s="1"/>
  <c r="H482" i="4"/>
  <c r="D483" i="4"/>
  <c r="E483" i="4"/>
  <c r="F483" i="4"/>
  <c r="G483" i="4"/>
  <c r="H483" i="4"/>
  <c r="I483" i="4" s="1"/>
  <c r="B488" i="4"/>
  <c r="K5" i="6" s="1"/>
  <c r="D488" i="4"/>
  <c r="E488" i="4"/>
  <c r="F488" i="4"/>
  <c r="G488" i="4"/>
  <c r="H488" i="4"/>
  <c r="D489" i="4"/>
  <c r="E489" i="4"/>
  <c r="F489" i="4"/>
  <c r="G489" i="4"/>
  <c r="H489" i="4"/>
  <c r="B490" i="4"/>
  <c r="D490" i="4"/>
  <c r="E490" i="4"/>
  <c r="F490" i="4"/>
  <c r="G490" i="4"/>
  <c r="I490" i="4" s="1"/>
  <c r="H490" i="4"/>
  <c r="D491" i="4"/>
  <c r="E491" i="4"/>
  <c r="F491" i="4"/>
  <c r="G491" i="4"/>
  <c r="H491" i="4"/>
  <c r="B492" i="4"/>
  <c r="D492" i="4"/>
  <c r="E492" i="4"/>
  <c r="F492" i="4"/>
  <c r="G492" i="4"/>
  <c r="H492" i="4"/>
  <c r="D493" i="4"/>
  <c r="E493" i="4"/>
  <c r="F493" i="4"/>
  <c r="G493" i="4"/>
  <c r="H493" i="4"/>
  <c r="B494" i="4"/>
  <c r="D494" i="4"/>
  <c r="E494" i="4"/>
  <c r="F494" i="4"/>
  <c r="G494" i="4"/>
  <c r="I494" i="4" s="1"/>
  <c r="H494" i="4"/>
  <c r="D495" i="4"/>
  <c r="E495" i="4"/>
  <c r="F495" i="4"/>
  <c r="G495" i="4"/>
  <c r="H495" i="4"/>
  <c r="B496" i="4"/>
  <c r="D496" i="4"/>
  <c r="E496" i="4"/>
  <c r="F496" i="4"/>
  <c r="G496" i="4"/>
  <c r="H496" i="4"/>
  <c r="D497" i="4"/>
  <c r="E497" i="4"/>
  <c r="F497" i="4"/>
  <c r="G497" i="4"/>
  <c r="H497" i="4"/>
  <c r="B498" i="4"/>
  <c r="D498" i="4"/>
  <c r="E498" i="4"/>
  <c r="F498" i="4"/>
  <c r="G498" i="4"/>
  <c r="I498" i="4" s="1"/>
  <c r="H498" i="4"/>
  <c r="D499" i="4"/>
  <c r="E499" i="4"/>
  <c r="F499" i="4"/>
  <c r="G499" i="4"/>
  <c r="H499" i="4"/>
  <c r="I499" i="4"/>
  <c r="D500" i="4"/>
  <c r="E500" i="4"/>
  <c r="F500" i="4"/>
  <c r="G500" i="4"/>
  <c r="I500" i="4" s="1"/>
  <c r="H500" i="4"/>
  <c r="D501" i="4"/>
  <c r="E501" i="4"/>
  <c r="F501" i="4"/>
  <c r="G501" i="4"/>
  <c r="H501" i="4"/>
  <c r="D502" i="4"/>
  <c r="E502" i="4"/>
  <c r="F502" i="4"/>
  <c r="G502" i="4"/>
  <c r="I502" i="4" s="1"/>
  <c r="H502" i="4"/>
  <c r="D503" i="4"/>
  <c r="E503" i="4"/>
  <c r="F503" i="4"/>
  <c r="G503" i="4"/>
  <c r="H503" i="4"/>
  <c r="D504" i="4"/>
  <c r="E504" i="4"/>
  <c r="F504" i="4"/>
  <c r="G504" i="4"/>
  <c r="H504" i="4"/>
  <c r="I504" i="4"/>
  <c r="B505" i="4"/>
  <c r="D505" i="4"/>
  <c r="E505" i="4"/>
  <c r="F505" i="4"/>
  <c r="G505" i="4"/>
  <c r="I505" i="4" s="1"/>
  <c r="H505" i="4"/>
  <c r="D506" i="4"/>
  <c r="E506" i="4"/>
  <c r="F506" i="4"/>
  <c r="G506" i="4"/>
  <c r="H506" i="4"/>
  <c r="B507" i="4"/>
  <c r="D507" i="4"/>
  <c r="E507" i="4"/>
  <c r="F507" i="4"/>
  <c r="G507" i="4"/>
  <c r="I507" i="4" s="1"/>
  <c r="H507" i="4"/>
  <c r="D508" i="4"/>
  <c r="E508" i="4"/>
  <c r="F508" i="4"/>
  <c r="G508" i="4"/>
  <c r="H508" i="4"/>
  <c r="D509" i="4"/>
  <c r="E509" i="4"/>
  <c r="F509" i="4"/>
  <c r="G509" i="4"/>
  <c r="H509" i="4"/>
  <c r="D510" i="4"/>
  <c r="E510" i="4"/>
  <c r="F510" i="4"/>
  <c r="G510" i="4"/>
  <c r="H510" i="4"/>
  <c r="D511" i="4"/>
  <c r="E511" i="4"/>
  <c r="F511" i="4"/>
  <c r="G511" i="4"/>
  <c r="H511" i="4"/>
  <c r="I511" i="4"/>
  <c r="B512" i="4"/>
  <c r="D512" i="4"/>
  <c r="E512" i="4"/>
  <c r="F512" i="4"/>
  <c r="G512" i="4"/>
  <c r="I512" i="4" s="1"/>
  <c r="H512" i="4"/>
  <c r="D513" i="4"/>
  <c r="E513" i="4"/>
  <c r="F513" i="4"/>
  <c r="G513" i="4"/>
  <c r="H513" i="4"/>
  <c r="D514" i="4"/>
  <c r="E514" i="4"/>
  <c r="F514" i="4"/>
  <c r="G514" i="4"/>
  <c r="H514" i="4"/>
  <c r="D515" i="4"/>
  <c r="E515" i="4"/>
  <c r="F515" i="4"/>
  <c r="G515" i="4"/>
  <c r="H515" i="4"/>
  <c r="D516" i="4"/>
  <c r="E516" i="4"/>
  <c r="F516" i="4"/>
  <c r="G516" i="4"/>
  <c r="I516" i="4" s="1"/>
  <c r="H516" i="4"/>
  <c r="D517" i="4"/>
  <c r="E517" i="4"/>
  <c r="F517" i="4"/>
  <c r="G517" i="4"/>
  <c r="H517" i="4"/>
  <c r="D518" i="4"/>
  <c r="E518" i="4"/>
  <c r="F518" i="4"/>
  <c r="G518" i="4"/>
  <c r="I518" i="4" s="1"/>
  <c r="H518" i="4"/>
  <c r="D519" i="4"/>
  <c r="E519" i="4"/>
  <c r="F519" i="4"/>
  <c r="G519" i="4"/>
  <c r="I519" i="4" s="1"/>
  <c r="H519" i="4"/>
  <c r="D520" i="4"/>
  <c r="E520" i="4"/>
  <c r="F520" i="4"/>
  <c r="G520" i="4"/>
  <c r="H520" i="4"/>
  <c r="I520" i="4"/>
  <c r="D521" i="4"/>
  <c r="E521" i="4"/>
  <c r="F521" i="4"/>
  <c r="G521" i="4"/>
  <c r="I521" i="4" s="1"/>
  <c r="H521" i="4"/>
  <c r="D522" i="4"/>
  <c r="E522" i="4"/>
  <c r="F522" i="4"/>
  <c r="G522" i="4"/>
  <c r="H522" i="4"/>
  <c r="D523" i="4"/>
  <c r="E523" i="4"/>
  <c r="F523" i="4"/>
  <c r="G523" i="4"/>
  <c r="I523" i="4" s="1"/>
  <c r="H523" i="4"/>
  <c r="D524" i="4"/>
  <c r="E524" i="4"/>
  <c r="F524" i="4"/>
  <c r="G524" i="4"/>
  <c r="H524" i="4"/>
  <c r="D525" i="4"/>
  <c r="E525" i="4"/>
  <c r="F525" i="4"/>
  <c r="G525" i="4"/>
  <c r="H525" i="4"/>
  <c r="D526" i="4"/>
  <c r="E526" i="4"/>
  <c r="F526" i="4"/>
  <c r="G526" i="4"/>
  <c r="H526" i="4"/>
  <c r="D527" i="4"/>
  <c r="E527" i="4"/>
  <c r="F527" i="4"/>
  <c r="G527" i="4"/>
  <c r="H527" i="4"/>
  <c r="I527" i="4"/>
  <c r="B528" i="4"/>
  <c r="D528" i="4"/>
  <c r="E528" i="4"/>
  <c r="F528" i="4"/>
  <c r="G528" i="4"/>
  <c r="I528" i="4" s="1"/>
  <c r="H528" i="4"/>
  <c r="D529" i="4"/>
  <c r="E529" i="4"/>
  <c r="F529" i="4"/>
  <c r="G529" i="4"/>
  <c r="H529" i="4"/>
  <c r="D530" i="4"/>
  <c r="E530" i="4"/>
  <c r="F530" i="4"/>
  <c r="G530" i="4"/>
  <c r="H530" i="4"/>
  <c r="D531" i="4"/>
  <c r="E531" i="4"/>
  <c r="F531" i="4"/>
  <c r="G531" i="4"/>
  <c r="H531" i="4"/>
  <c r="D532" i="4"/>
  <c r="E532" i="4"/>
  <c r="F532" i="4"/>
  <c r="G532" i="4"/>
  <c r="I532" i="4" s="1"/>
  <c r="H532" i="4"/>
  <c r="D533" i="4"/>
  <c r="E533" i="4"/>
  <c r="F533" i="4"/>
  <c r="G533" i="4"/>
  <c r="H533" i="4"/>
  <c r="D534" i="4"/>
  <c r="E534" i="4"/>
  <c r="F534" i="4"/>
  <c r="G534" i="4"/>
  <c r="I534" i="4" s="1"/>
  <c r="H534" i="4"/>
  <c r="D535" i="4"/>
  <c r="E535" i="4"/>
  <c r="F535" i="4"/>
  <c r="G535" i="4"/>
  <c r="I535" i="4" s="1"/>
  <c r="H535" i="4"/>
  <c r="D536" i="4"/>
  <c r="E536" i="4"/>
  <c r="F536" i="4"/>
  <c r="G536" i="4"/>
  <c r="H536" i="4"/>
  <c r="I536" i="4"/>
  <c r="D537" i="4"/>
  <c r="E537" i="4"/>
  <c r="F537" i="4"/>
  <c r="G537" i="4"/>
  <c r="I537" i="4" s="1"/>
  <c r="H537" i="4"/>
  <c r="G546" i="4"/>
  <c r="I546" i="4"/>
  <c r="B547" i="4"/>
  <c r="G552" i="4"/>
  <c r="G553" i="4"/>
  <c r="I553" i="4"/>
  <c r="G559" i="4"/>
  <c r="G560" i="4"/>
  <c r="I560" i="4"/>
  <c r="G567" i="4"/>
  <c r="I567" i="4"/>
  <c r="G574" i="4"/>
  <c r="I574" i="4"/>
  <c r="AG45" i="6" l="1"/>
  <c r="AC45" i="6"/>
  <c r="BG66" i="6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AQ39" i="6"/>
  <c r="AR39" i="6" s="1"/>
  <c r="AS39" i="6" s="1"/>
  <c r="AT39" i="6" s="1"/>
  <c r="AU39" i="6" s="1"/>
  <c r="AV39" i="6" s="1"/>
  <c r="AW39" i="6" s="1"/>
  <c r="AX39" i="6" s="1"/>
  <c r="M70" i="6"/>
  <c r="M66" i="6"/>
  <c r="AQ33" i="6"/>
  <c r="AR33" i="6" s="1"/>
  <c r="AS33" i="6" s="1"/>
  <c r="AT33" i="6" s="1"/>
  <c r="AU33" i="6" s="1"/>
  <c r="AV33" i="6" s="1"/>
  <c r="AW33" i="6" s="1"/>
  <c r="AX33" i="6" s="1"/>
  <c r="AQ30" i="6"/>
  <c r="AR30" i="6" s="1"/>
  <c r="AS30" i="6" s="1"/>
  <c r="AT30" i="6" s="1"/>
  <c r="AU30" i="6" s="1"/>
  <c r="AV30" i="6" s="1"/>
  <c r="AW30" i="6" s="1"/>
  <c r="AX30" i="6" s="1"/>
  <c r="AQ29" i="6"/>
  <c r="AR29" i="6" s="1"/>
  <c r="AS29" i="6" s="1"/>
  <c r="AT29" i="6" s="1"/>
  <c r="AU29" i="6" s="1"/>
  <c r="AV29" i="6" s="1"/>
  <c r="AW29" i="6" s="1"/>
  <c r="AX29" i="6" s="1"/>
  <c r="AQ26" i="6"/>
  <c r="AR26" i="6" s="1"/>
  <c r="AS26" i="6" s="1"/>
  <c r="AT26" i="6" s="1"/>
  <c r="AU26" i="6" s="1"/>
  <c r="AV26" i="6" s="1"/>
  <c r="AW26" i="6" s="1"/>
  <c r="AX26" i="6" s="1"/>
  <c r="I540" i="4"/>
  <c r="K8" i="6" s="1"/>
  <c r="B533" i="4"/>
  <c r="B531" i="4"/>
  <c r="I529" i="4"/>
  <c r="I526" i="4"/>
  <c r="I524" i="4"/>
  <c r="B519" i="4"/>
  <c r="I515" i="4"/>
  <c r="B515" i="4"/>
  <c r="B513" i="4"/>
  <c r="I510" i="4"/>
  <c r="I508" i="4"/>
  <c r="B503" i="4"/>
  <c r="I465" i="4"/>
  <c r="I461" i="4"/>
  <c r="I458" i="4"/>
  <c r="I438" i="4"/>
  <c r="I367" i="4"/>
  <c r="I355" i="4"/>
  <c r="I321" i="4"/>
  <c r="I308" i="4"/>
  <c r="I299" i="4"/>
  <c r="I297" i="4"/>
  <c r="I251" i="4"/>
  <c r="I200" i="4"/>
  <c r="I185" i="4"/>
  <c r="I164" i="4"/>
  <c r="I136" i="4"/>
  <c r="I130" i="4"/>
  <c r="B114" i="4"/>
  <c r="B126" i="4"/>
  <c r="B145" i="4"/>
  <c r="B154" i="4"/>
  <c r="B138" i="4"/>
  <c r="B150" i="4"/>
  <c r="B157" i="4"/>
  <c r="I49" i="4"/>
  <c r="I34" i="4"/>
  <c r="I32" i="4"/>
  <c r="I26" i="4"/>
  <c r="B536" i="4"/>
  <c r="B520" i="4"/>
  <c r="B506" i="4"/>
  <c r="B499" i="4"/>
  <c r="I497" i="4"/>
  <c r="B497" i="4"/>
  <c r="I495" i="4"/>
  <c r="B495" i="4"/>
  <c r="I493" i="4"/>
  <c r="B493" i="4"/>
  <c r="I491" i="4"/>
  <c r="B491" i="4"/>
  <c r="I489" i="4"/>
  <c r="B489" i="4"/>
  <c r="I478" i="4"/>
  <c r="B478" i="4"/>
  <c r="B473" i="4"/>
  <c r="I470" i="4"/>
  <c r="I464" i="4"/>
  <c r="I463" i="4"/>
  <c r="I454" i="4"/>
  <c r="I450" i="4"/>
  <c r="B450" i="4"/>
  <c r="I444" i="4"/>
  <c r="I443" i="4"/>
  <c r="I441" i="4"/>
  <c r="I437" i="4"/>
  <c r="I423" i="4"/>
  <c r="I415" i="4"/>
  <c r="I401" i="4"/>
  <c r="I388" i="4"/>
  <c r="I386" i="4"/>
  <c r="I384" i="4"/>
  <c r="I5" i="6"/>
  <c r="B393" i="4"/>
  <c r="B395" i="4"/>
  <c r="B397" i="4"/>
  <c r="B399" i="4"/>
  <c r="B406" i="4"/>
  <c r="B408" i="4"/>
  <c r="B410" i="4"/>
  <c r="B412" i="4"/>
  <c r="B414" i="4"/>
  <c r="B416" i="4"/>
  <c r="B418" i="4"/>
  <c r="B420" i="4"/>
  <c r="B422" i="4"/>
  <c r="B424" i="4"/>
  <c r="B426" i="4"/>
  <c r="I336" i="4"/>
  <c r="I327" i="4"/>
  <c r="I317" i="4"/>
  <c r="I315" i="4"/>
  <c r="I313" i="4"/>
  <c r="I280" i="4"/>
  <c r="I276" i="4"/>
  <c r="I260" i="4"/>
  <c r="I228" i="4"/>
  <c r="B209" i="4"/>
  <c r="B202" i="4"/>
  <c r="B197" i="4"/>
  <c r="I187" i="4"/>
  <c r="B187" i="4"/>
  <c r="B182" i="4"/>
  <c r="I174" i="4"/>
  <c r="B153" i="4"/>
  <c r="B142" i="4"/>
  <c r="I139" i="4"/>
  <c r="I122" i="4"/>
  <c r="B122" i="4"/>
  <c r="I69" i="4"/>
  <c r="I63" i="4"/>
  <c r="AQ41" i="6"/>
  <c r="AR41" i="6" s="1"/>
  <c r="AS41" i="6" s="1"/>
  <c r="AT41" i="6" s="1"/>
  <c r="AU41" i="6" s="1"/>
  <c r="AV41" i="6" s="1"/>
  <c r="AW41" i="6" s="1"/>
  <c r="AX41" i="6" s="1"/>
  <c r="B535" i="4"/>
  <c r="I531" i="4"/>
  <c r="B529" i="4"/>
  <c r="B526" i="4"/>
  <c r="B524" i="4"/>
  <c r="B522" i="4"/>
  <c r="B517" i="4"/>
  <c r="I513" i="4"/>
  <c r="B510" i="4"/>
  <c r="B508" i="4"/>
  <c r="I503" i="4"/>
  <c r="B501" i="4"/>
  <c r="I481" i="4"/>
  <c r="I476" i="4"/>
  <c r="I445" i="4"/>
  <c r="I434" i="4"/>
  <c r="I413" i="4"/>
  <c r="I328" i="4"/>
  <c r="I219" i="4"/>
  <c r="I172" i="4"/>
  <c r="E5" i="6"/>
  <c r="B169" i="4"/>
  <c r="B171" i="4"/>
  <c r="B173" i="4"/>
  <c r="B175" i="4"/>
  <c r="B186" i="4"/>
  <c r="B188" i="4"/>
  <c r="B190" i="4"/>
  <c r="B208" i="4"/>
  <c r="B166" i="4"/>
  <c r="B177" i="4"/>
  <c r="B179" i="4"/>
  <c r="B181" i="4"/>
  <c r="B183" i="4"/>
  <c r="B194" i="4"/>
  <c r="B196" i="4"/>
  <c r="B198" i="4"/>
  <c r="B201" i="4"/>
  <c r="B203" i="4"/>
  <c r="B205" i="4"/>
  <c r="B207" i="4"/>
  <c r="B210" i="4"/>
  <c r="B212" i="4"/>
  <c r="I151" i="4"/>
  <c r="I24" i="4"/>
  <c r="B537" i="4"/>
  <c r="B534" i="4"/>
  <c r="B532" i="4"/>
  <c r="B530" i="4"/>
  <c r="B527" i="4"/>
  <c r="B525" i="4"/>
  <c r="B523" i="4"/>
  <c r="B521" i="4"/>
  <c r="B518" i="4"/>
  <c r="B516" i="4"/>
  <c r="B514" i="4"/>
  <c r="B511" i="4"/>
  <c r="B509" i="4"/>
  <c r="B504" i="4"/>
  <c r="B502" i="4"/>
  <c r="B500" i="4"/>
  <c r="I496" i="4"/>
  <c r="I488" i="4"/>
  <c r="B482" i="4"/>
  <c r="B469" i="4"/>
  <c r="B466" i="4"/>
  <c r="I459" i="4"/>
  <c r="I485" i="4"/>
  <c r="J7" i="6" s="1"/>
  <c r="B446" i="4"/>
  <c r="I439" i="4"/>
  <c r="I435" i="4"/>
  <c r="I411" i="4"/>
  <c r="B211" i="4"/>
  <c r="B204" i="4"/>
  <c r="B199" i="4"/>
  <c r="B189" i="4"/>
  <c r="B149" i="4"/>
  <c r="I3" i="4"/>
  <c r="I426" i="4"/>
  <c r="I424" i="4"/>
  <c r="I422" i="4"/>
  <c r="I420" i="4"/>
  <c r="I418" i="4"/>
  <c r="I416" i="4"/>
  <c r="I408" i="4"/>
  <c r="I400" i="4"/>
  <c r="I397" i="4"/>
  <c r="I375" i="4"/>
  <c r="I373" i="4"/>
  <c r="I359" i="4"/>
  <c r="I264" i="4"/>
  <c r="I248" i="4"/>
  <c r="I232" i="4"/>
  <c r="I203" i="4"/>
  <c r="I201" i="4"/>
  <c r="I198" i="4"/>
  <c r="I179" i="4"/>
  <c r="I177" i="4"/>
  <c r="I166" i="4"/>
  <c r="I155" i="4"/>
  <c r="I138" i="4"/>
  <c r="I127" i="4"/>
  <c r="I115" i="4"/>
  <c r="I101" i="4"/>
  <c r="I94" i="4"/>
  <c r="I71" i="4"/>
  <c r="I41" i="4"/>
  <c r="I15" i="4"/>
  <c r="AQ51" i="6"/>
  <c r="AR51" i="6" s="1"/>
  <c r="AS51" i="6" s="1"/>
  <c r="AT51" i="6" s="1"/>
  <c r="AU51" i="6" s="1"/>
  <c r="AV51" i="6" s="1"/>
  <c r="AW51" i="6" s="1"/>
  <c r="AX51" i="6" s="1"/>
  <c r="AQ42" i="6"/>
  <c r="AR42" i="6" s="1"/>
  <c r="AS42" i="6" s="1"/>
  <c r="AT42" i="6" s="1"/>
  <c r="AU42" i="6" s="1"/>
  <c r="AV42" i="6" s="1"/>
  <c r="AW42" i="6" s="1"/>
  <c r="AX42" i="6" s="1"/>
  <c r="AQ35" i="6"/>
  <c r="AR35" i="6" s="1"/>
  <c r="AS35" i="6" s="1"/>
  <c r="AT35" i="6" s="1"/>
  <c r="AU35" i="6" s="1"/>
  <c r="AV35" i="6" s="1"/>
  <c r="AW35" i="6" s="1"/>
  <c r="AX35" i="6" s="1"/>
  <c r="B277" i="4"/>
  <c r="I275" i="4"/>
  <c r="B275" i="4"/>
  <c r="I273" i="4"/>
  <c r="B273" i="4"/>
  <c r="I252" i="4"/>
  <c r="I236" i="4"/>
  <c r="I220" i="4"/>
  <c r="I171" i="4"/>
  <c r="I169" i="4"/>
  <c r="I159" i="4"/>
  <c r="I143" i="4"/>
  <c r="I105" i="4"/>
  <c r="I90" i="4"/>
  <c r="I58" i="4"/>
  <c r="I44" i="4"/>
  <c r="I42" i="4"/>
  <c r="I38" i="4"/>
  <c r="I31" i="4"/>
  <c r="I27" i="4"/>
  <c r="I19" i="4"/>
  <c r="I18" i="4"/>
  <c r="I12" i="4"/>
  <c r="AQ54" i="6"/>
  <c r="AR54" i="6" s="1"/>
  <c r="AS54" i="6" s="1"/>
  <c r="AT54" i="6" s="1"/>
  <c r="AU54" i="6" s="1"/>
  <c r="AV54" i="6" s="1"/>
  <c r="AW54" i="6" s="1"/>
  <c r="AX54" i="6" s="1"/>
  <c r="AQ53" i="6"/>
  <c r="AR53" i="6" s="1"/>
  <c r="AS53" i="6" s="1"/>
  <c r="AT53" i="6" s="1"/>
  <c r="AU53" i="6" s="1"/>
  <c r="AV53" i="6" s="1"/>
  <c r="AW53" i="6" s="1"/>
  <c r="AX53" i="6" s="1"/>
  <c r="AQ38" i="6"/>
  <c r="AR38" i="6" s="1"/>
  <c r="AS38" i="6" s="1"/>
  <c r="AT38" i="6" s="1"/>
  <c r="AU38" i="6" s="1"/>
  <c r="AV38" i="6" s="1"/>
  <c r="AW38" i="6" s="1"/>
  <c r="AX38" i="6" s="1"/>
  <c r="I430" i="4"/>
  <c r="I6" i="6" s="1"/>
  <c r="I432" i="4"/>
  <c r="I8" i="6" s="1"/>
  <c r="I506" i="4"/>
  <c r="I501" i="4"/>
  <c r="I539" i="4"/>
  <c r="I480" i="4"/>
  <c r="I473" i="4"/>
  <c r="I452" i="4"/>
  <c r="I436" i="4"/>
  <c r="I391" i="4"/>
  <c r="I316" i="4"/>
  <c r="I300" i="4"/>
  <c r="I284" i="4"/>
  <c r="I322" i="4"/>
  <c r="G6" i="6" s="1"/>
  <c r="I212" i="4"/>
  <c r="I196" i="4"/>
  <c r="I124" i="4"/>
  <c r="I538" i="4"/>
  <c r="K6" i="6" s="1"/>
  <c r="I533" i="4"/>
  <c r="I530" i="4"/>
  <c r="I525" i="4"/>
  <c r="I522" i="4"/>
  <c r="I517" i="4"/>
  <c r="I514" i="4"/>
  <c r="I509" i="4"/>
  <c r="I492" i="4"/>
  <c r="I477" i="4"/>
  <c r="B477" i="4"/>
  <c r="B470" i="4"/>
  <c r="I468" i="4"/>
  <c r="B465" i="4"/>
  <c r="B462" i="4"/>
  <c r="I460" i="4"/>
  <c r="B457" i="4"/>
  <c r="B454" i="4"/>
  <c r="I448" i="4"/>
  <c r="I421" i="4"/>
  <c r="I396" i="4"/>
  <c r="I216" i="4"/>
  <c r="E8" i="6" s="1"/>
  <c r="I140" i="4"/>
  <c r="J5" i="6"/>
  <c r="N59" i="6" s="1"/>
  <c r="B437" i="4"/>
  <c r="B441" i="4"/>
  <c r="B445" i="4"/>
  <c r="B449" i="4"/>
  <c r="B453" i="4"/>
  <c r="I161" i="4"/>
  <c r="D7" i="6" s="1"/>
  <c r="AG69" i="6"/>
  <c r="AG71" i="6"/>
  <c r="S70" i="6" s="1"/>
  <c r="S69" i="6" s="1"/>
  <c r="I409" i="4"/>
  <c r="I394" i="4"/>
  <c r="I389" i="4"/>
  <c r="I387" i="4"/>
  <c r="I431" i="4"/>
  <c r="I7" i="6" s="1"/>
  <c r="I265" i="4"/>
  <c r="I261" i="4"/>
  <c r="I257" i="4"/>
  <c r="I253" i="4"/>
  <c r="I249" i="4"/>
  <c r="I245" i="4"/>
  <c r="I241" i="4"/>
  <c r="I237" i="4"/>
  <c r="I233" i="4"/>
  <c r="I229" i="4"/>
  <c r="I225" i="4"/>
  <c r="I221" i="4"/>
  <c r="I158" i="4"/>
  <c r="I154" i="4"/>
  <c r="I150" i="4"/>
  <c r="I146" i="4"/>
  <c r="I142" i="4"/>
  <c r="I126" i="4"/>
  <c r="I110" i="4"/>
  <c r="D5" i="6"/>
  <c r="N53" i="6" s="1"/>
  <c r="B113" i="4"/>
  <c r="B117" i="4"/>
  <c r="B121" i="4"/>
  <c r="B125" i="4"/>
  <c r="B129" i="4"/>
  <c r="B133" i="4"/>
  <c r="B137" i="4"/>
  <c r="B141" i="4"/>
  <c r="I86" i="4"/>
  <c r="I78" i="4"/>
  <c r="I70" i="4"/>
  <c r="I62" i="4"/>
  <c r="I39" i="4"/>
  <c r="I14" i="4"/>
  <c r="AO69" i="6"/>
  <c r="AG65" i="6"/>
  <c r="AG67" i="6"/>
  <c r="T46" i="6"/>
  <c r="I484" i="4"/>
  <c r="I324" i="4"/>
  <c r="I314" i="4"/>
  <c r="I309" i="4"/>
  <c r="I306" i="4"/>
  <c r="I301" i="4"/>
  <c r="I298" i="4"/>
  <c r="I293" i="4"/>
  <c r="I290" i="4"/>
  <c r="I285" i="4"/>
  <c r="I277" i="4"/>
  <c r="I213" i="4"/>
  <c r="I210" i="4"/>
  <c r="I205" i="4"/>
  <c r="I202" i="4"/>
  <c r="I197" i="4"/>
  <c r="I194" i="4"/>
  <c r="I189" i="4"/>
  <c r="I181" i="4"/>
  <c r="I173" i="4"/>
  <c r="I165" i="4"/>
  <c r="B165" i="4"/>
  <c r="AI37" i="6"/>
  <c r="AI78" i="6"/>
  <c r="W37" i="6"/>
  <c r="W78" i="6"/>
  <c r="I410" i="4"/>
  <c r="I405" i="4"/>
  <c r="I403" i="4"/>
  <c r="I393" i="4"/>
  <c r="I371" i="4"/>
  <c r="I369" i="4"/>
  <c r="I365" i="4"/>
  <c r="I361" i="4"/>
  <c r="I357" i="4"/>
  <c r="I353" i="4"/>
  <c r="I349" i="4"/>
  <c r="I345" i="4"/>
  <c r="B345" i="4"/>
  <c r="I341" i="4"/>
  <c r="B341" i="4"/>
  <c r="I337" i="4"/>
  <c r="B337" i="4"/>
  <c r="I333" i="4"/>
  <c r="B333" i="4"/>
  <c r="I329" i="4"/>
  <c r="B329" i="4"/>
  <c r="I266" i="4"/>
  <c r="I262" i="4"/>
  <c r="I258" i="4"/>
  <c r="I254" i="4"/>
  <c r="I250" i="4"/>
  <c r="I246" i="4"/>
  <c r="I242" i="4"/>
  <c r="I238" i="4"/>
  <c r="I234" i="4"/>
  <c r="I230" i="4"/>
  <c r="I226" i="4"/>
  <c r="I222" i="4"/>
  <c r="I218" i="4"/>
  <c r="B192" i="4"/>
  <c r="B184" i="4"/>
  <c r="B176" i="4"/>
  <c r="B168" i="4"/>
  <c r="I157" i="4"/>
  <c r="I153" i="4"/>
  <c r="I149" i="4"/>
  <c r="I145" i="4"/>
  <c r="I141" i="4"/>
  <c r="I134" i="4"/>
  <c r="I118" i="4"/>
  <c r="B118" i="4"/>
  <c r="I96" i="4"/>
  <c r="I88" i="4"/>
  <c r="I80" i="4"/>
  <c r="I72" i="4"/>
  <c r="I64" i="4"/>
  <c r="I108" i="4"/>
  <c r="C8" i="6" s="1"/>
  <c r="I56" i="4"/>
  <c r="I106" i="4" s="1"/>
  <c r="C6" i="6" s="1"/>
  <c r="B63" i="4"/>
  <c r="B57" i="4"/>
  <c r="B59" i="4"/>
  <c r="B61" i="4"/>
  <c r="B65" i="4"/>
  <c r="B67" i="4"/>
  <c r="B69" i="4"/>
  <c r="B73" i="4"/>
  <c r="B75" i="4"/>
  <c r="B77" i="4"/>
  <c r="B81" i="4"/>
  <c r="B83" i="4"/>
  <c r="B85" i="4"/>
  <c r="B89" i="4"/>
  <c r="B91" i="4"/>
  <c r="B93" i="4"/>
  <c r="B102" i="4"/>
  <c r="B104" i="4"/>
  <c r="B97" i="4"/>
  <c r="I16" i="4"/>
  <c r="AG75" i="6"/>
  <c r="AQ48" i="6"/>
  <c r="AR48" i="6" s="1"/>
  <c r="AS48" i="6" s="1"/>
  <c r="AT48" i="6" s="1"/>
  <c r="AU48" i="6" s="1"/>
  <c r="AV48" i="6" s="1"/>
  <c r="AW48" i="6" s="1"/>
  <c r="AX48" i="6" s="1"/>
  <c r="I97" i="4"/>
  <c r="I40" i="4"/>
  <c r="I28" i="4"/>
  <c r="I25" i="4"/>
  <c r="I8" i="4"/>
  <c r="AQ36" i="6"/>
  <c r="AR36" i="6" s="1"/>
  <c r="AS36" i="6" s="1"/>
  <c r="AT36" i="6" s="1"/>
  <c r="AU36" i="6" s="1"/>
  <c r="AV36" i="6" s="1"/>
  <c r="AW36" i="6" s="1"/>
  <c r="AX36" i="6" s="1"/>
  <c r="AQ32" i="6"/>
  <c r="AR32" i="6" s="1"/>
  <c r="AS32" i="6" s="1"/>
  <c r="AT32" i="6" s="1"/>
  <c r="AU32" i="6" s="1"/>
  <c r="AV32" i="6" s="1"/>
  <c r="AW32" i="6" s="1"/>
  <c r="AX32" i="6" s="1"/>
  <c r="I137" i="4"/>
  <c r="I133" i="4"/>
  <c r="I129" i="4"/>
  <c r="I125" i="4"/>
  <c r="I121" i="4"/>
  <c r="I117" i="4"/>
  <c r="I113" i="4"/>
  <c r="I102" i="4"/>
  <c r="I91" i="4"/>
  <c r="I89" i="4"/>
  <c r="I83" i="4"/>
  <c r="I81" i="4"/>
  <c r="I75" i="4"/>
  <c r="I73" i="4"/>
  <c r="I67" i="4"/>
  <c r="I65" i="4"/>
  <c r="I59" i="4"/>
  <c r="I57" i="4"/>
  <c r="I107" i="4" s="1"/>
  <c r="I48" i="4"/>
  <c r="I46" i="4"/>
  <c r="I36" i="4"/>
  <c r="I33" i="4"/>
  <c r="I13" i="4"/>
  <c r="I4" i="4"/>
  <c r="O69" i="6"/>
  <c r="BG67" i="6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5" i="6"/>
  <c r="AR45" i="6" s="1"/>
  <c r="AS45" i="6" s="1"/>
  <c r="AT45" i="6" s="1"/>
  <c r="AU45" i="6" s="1"/>
  <c r="AV45" i="6" s="1"/>
  <c r="AW45" i="6" s="1"/>
  <c r="AX45" i="6" s="1"/>
  <c r="AQ44" i="6"/>
  <c r="AR44" i="6" s="1"/>
  <c r="AS44" i="6" s="1"/>
  <c r="AT44" i="6" s="1"/>
  <c r="AU44" i="6" s="1"/>
  <c r="AV44" i="6" s="1"/>
  <c r="AW44" i="6" s="1"/>
  <c r="AX44" i="6" s="1"/>
  <c r="AQ27" i="6"/>
  <c r="AR27" i="6" s="1"/>
  <c r="AS27" i="6" s="1"/>
  <c r="AT27" i="6" s="1"/>
  <c r="AU27" i="6" s="1"/>
  <c r="AV27" i="6" s="1"/>
  <c r="AW27" i="6" s="1"/>
  <c r="AX27" i="6" s="1"/>
  <c r="J6" i="6"/>
  <c r="G8" i="6"/>
  <c r="K7" i="6"/>
  <c r="AF61" i="1"/>
  <c r="AE62" i="1"/>
  <c r="AF63" i="1"/>
  <c r="AD63" i="1"/>
  <c r="AD61" i="1"/>
  <c r="I376" i="4"/>
  <c r="I378" i="4"/>
  <c r="J25" i="6"/>
  <c r="I414" i="4"/>
  <c r="I406" i="4"/>
  <c r="I398" i="4"/>
  <c r="I390" i="4"/>
  <c r="I382" i="4"/>
  <c r="I377" i="4"/>
  <c r="I268" i="4"/>
  <c r="I270" i="4"/>
  <c r="I486" i="4"/>
  <c r="B483" i="4"/>
  <c r="B479" i="4"/>
  <c r="B475" i="4"/>
  <c r="B471" i="4"/>
  <c r="B467" i="4"/>
  <c r="B463" i="4"/>
  <c r="B459" i="4"/>
  <c r="B455" i="4"/>
  <c r="B451" i="4"/>
  <c r="B447" i="4"/>
  <c r="B443" i="4"/>
  <c r="B439" i="4"/>
  <c r="B435" i="4"/>
  <c r="I374" i="4"/>
  <c r="I370" i="4"/>
  <c r="I366" i="4"/>
  <c r="I362" i="4"/>
  <c r="I358" i="4"/>
  <c r="I354" i="4"/>
  <c r="I350" i="4"/>
  <c r="I346" i="4"/>
  <c r="I342" i="4"/>
  <c r="I338" i="4"/>
  <c r="I334" i="4"/>
  <c r="I330" i="4"/>
  <c r="I326" i="4"/>
  <c r="I318" i="4"/>
  <c r="I310" i="4"/>
  <c r="I302" i="4"/>
  <c r="I294" i="4"/>
  <c r="I286" i="4"/>
  <c r="I278" i="4"/>
  <c r="I323" i="4"/>
  <c r="I162" i="4"/>
  <c r="I54" i="4"/>
  <c r="I53" i="4"/>
  <c r="E6" i="6"/>
  <c r="K25" i="6"/>
  <c r="N60" i="6"/>
  <c r="B480" i="4"/>
  <c r="B476" i="4"/>
  <c r="B472" i="4"/>
  <c r="B468" i="4"/>
  <c r="B464" i="4"/>
  <c r="B460" i="4"/>
  <c r="B456" i="4"/>
  <c r="B452" i="4"/>
  <c r="B448" i="4"/>
  <c r="B444" i="4"/>
  <c r="B440" i="4"/>
  <c r="B436" i="4"/>
  <c r="I269" i="4"/>
  <c r="I186" i="4"/>
  <c r="I178" i="4"/>
  <c r="I170" i="4"/>
  <c r="I215" i="4"/>
  <c r="S74" i="6"/>
  <c r="S73" i="6" s="1"/>
  <c r="P74" i="6"/>
  <c r="P73" i="6" s="1"/>
  <c r="AF74" i="6"/>
  <c r="AF73" i="6" s="1"/>
  <c r="AD74" i="6"/>
  <c r="AD73" i="6" s="1"/>
  <c r="S66" i="6"/>
  <c r="S65" i="6" s="1"/>
  <c r="W66" i="6"/>
  <c r="W65" i="6" s="1"/>
  <c r="AA66" i="6"/>
  <c r="AA65" i="6" s="1"/>
  <c r="AE66" i="6"/>
  <c r="AE65" i="6" s="1"/>
  <c r="P66" i="6"/>
  <c r="P65" i="6" s="1"/>
  <c r="T66" i="6"/>
  <c r="T65" i="6" s="1"/>
  <c r="X66" i="6"/>
  <c r="X65" i="6" s="1"/>
  <c r="AB66" i="6"/>
  <c r="AB65" i="6" s="1"/>
  <c r="AF66" i="6"/>
  <c r="AF65" i="6" s="1"/>
  <c r="V66" i="6"/>
  <c r="V65" i="6" s="1"/>
  <c r="AD66" i="6"/>
  <c r="AD65" i="6" s="1"/>
  <c r="Q66" i="6"/>
  <c r="Q65" i="6" s="1"/>
  <c r="Y66" i="6"/>
  <c r="Y65" i="6" s="1"/>
  <c r="U66" i="6"/>
  <c r="U65" i="6" s="1"/>
  <c r="Z66" i="6"/>
  <c r="Z65" i="6" s="1"/>
  <c r="AC66" i="6"/>
  <c r="AC65" i="6" s="1"/>
  <c r="I282" i="4"/>
  <c r="I274" i="4"/>
  <c r="I160" i="4"/>
  <c r="R66" i="6"/>
  <c r="R65" i="6" s="1"/>
  <c r="H25" i="6"/>
  <c r="N57" i="6"/>
  <c r="F25" i="6"/>
  <c r="N55" i="6"/>
  <c r="D25" i="6"/>
  <c r="I92" i="4"/>
  <c r="I84" i="4"/>
  <c r="I76" i="4"/>
  <c r="I68" i="4"/>
  <c r="I60" i="4"/>
  <c r="I21" i="4"/>
  <c r="I5" i="4"/>
  <c r="I52" i="4" s="1"/>
  <c r="P70" i="6"/>
  <c r="P69" i="6" s="1"/>
  <c r="T70" i="6"/>
  <c r="T69" i="6" s="1"/>
  <c r="X70" i="6"/>
  <c r="X69" i="6" s="1"/>
  <c r="AB70" i="6"/>
  <c r="AB69" i="6" s="1"/>
  <c r="AF70" i="6"/>
  <c r="AF69" i="6" s="1"/>
  <c r="Q70" i="6"/>
  <c r="Q69" i="6" s="1"/>
  <c r="U70" i="6"/>
  <c r="U69" i="6" s="1"/>
  <c r="Y70" i="6"/>
  <c r="Y69" i="6" s="1"/>
  <c r="AC70" i="6"/>
  <c r="AC69" i="6" s="1"/>
  <c r="V70" i="6"/>
  <c r="V69" i="6" s="1"/>
  <c r="AD70" i="6"/>
  <c r="AD69" i="6" s="1"/>
  <c r="W70" i="6"/>
  <c r="W69" i="6" s="1"/>
  <c r="AE70" i="6"/>
  <c r="AE69" i="6" s="1"/>
  <c r="R70" i="6"/>
  <c r="R69" i="6" s="1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375" i="4"/>
  <c r="B371" i="4"/>
  <c r="B367" i="4"/>
  <c r="B363" i="4"/>
  <c r="B359" i="4"/>
  <c r="B355" i="4"/>
  <c r="B351" i="4"/>
  <c r="B347" i="4"/>
  <c r="B343" i="4"/>
  <c r="B339" i="4"/>
  <c r="B335" i="4"/>
  <c r="B331" i="4"/>
  <c r="B327" i="4"/>
  <c r="B267" i="4"/>
  <c r="B263" i="4"/>
  <c r="B259" i="4"/>
  <c r="B255" i="4"/>
  <c r="B251" i="4"/>
  <c r="B247" i="4"/>
  <c r="B243" i="4"/>
  <c r="B239" i="4"/>
  <c r="B235" i="4"/>
  <c r="B231" i="4"/>
  <c r="B227" i="4"/>
  <c r="B223" i="4"/>
  <c r="B219" i="4"/>
  <c r="B159" i="4"/>
  <c r="B155" i="4"/>
  <c r="B151" i="4"/>
  <c r="B147" i="4"/>
  <c r="B143" i="4"/>
  <c r="B139" i="4"/>
  <c r="B135" i="4"/>
  <c r="B131" i="4"/>
  <c r="B127" i="4"/>
  <c r="B123" i="4"/>
  <c r="B119" i="4"/>
  <c r="B115" i="4"/>
  <c r="B111" i="4"/>
  <c r="B103" i="4"/>
  <c r="B99" i="4"/>
  <c r="B95" i="4"/>
  <c r="B87" i="4"/>
  <c r="B79" i="4"/>
  <c r="B71" i="4"/>
  <c r="I45" i="4"/>
  <c r="I37" i="4"/>
  <c r="I29" i="4"/>
  <c r="I17" i="4"/>
  <c r="AA70" i="6"/>
  <c r="AA69" i="6" s="1"/>
  <c r="AE46" i="6"/>
  <c r="AF37" i="6"/>
  <c r="AF78" i="6"/>
  <c r="AB37" i="6"/>
  <c r="AB78" i="6"/>
  <c r="X37" i="6"/>
  <c r="X78" i="6"/>
  <c r="T37" i="6"/>
  <c r="T78" i="6"/>
  <c r="P37" i="6"/>
  <c r="P78" i="6"/>
  <c r="I25" i="6"/>
  <c r="N58" i="6"/>
  <c r="B372" i="4"/>
  <c r="B368" i="4"/>
  <c r="B364" i="4"/>
  <c r="B360" i="4"/>
  <c r="B356" i="4"/>
  <c r="B352" i="4"/>
  <c r="B348" i="4"/>
  <c r="B344" i="4"/>
  <c r="B340" i="4"/>
  <c r="B336" i="4"/>
  <c r="B332" i="4"/>
  <c r="B328" i="4"/>
  <c r="G25" i="6"/>
  <c r="N56" i="6"/>
  <c r="B264" i="4"/>
  <c r="B260" i="4"/>
  <c r="B256" i="4"/>
  <c r="B252" i="4"/>
  <c r="B248" i="4"/>
  <c r="B244" i="4"/>
  <c r="B240" i="4"/>
  <c r="B236" i="4"/>
  <c r="B232" i="4"/>
  <c r="B228" i="4"/>
  <c r="B224" i="4"/>
  <c r="B220" i="4"/>
  <c r="E25" i="6"/>
  <c r="B29" i="6" s="1"/>
  <c r="N54" i="6"/>
  <c r="B156" i="4"/>
  <c r="B152" i="4"/>
  <c r="B148" i="4"/>
  <c r="B144" i="4"/>
  <c r="B140" i="4"/>
  <c r="B136" i="4"/>
  <c r="B132" i="4"/>
  <c r="B128" i="4"/>
  <c r="B124" i="4"/>
  <c r="B120" i="4"/>
  <c r="B116" i="4"/>
  <c r="B112" i="4"/>
  <c r="C5" i="6"/>
  <c r="B58" i="4"/>
  <c r="B62" i="4"/>
  <c r="B66" i="4"/>
  <c r="B70" i="4"/>
  <c r="B74" i="4"/>
  <c r="B78" i="4"/>
  <c r="B82" i="4"/>
  <c r="B86" i="4"/>
  <c r="B90" i="4"/>
  <c r="B94" i="4"/>
  <c r="Z70" i="6"/>
  <c r="Z69" i="6" s="1"/>
  <c r="AO65" i="6"/>
  <c r="BG65" i="6"/>
  <c r="X46" i="6"/>
  <c r="B25" i="6"/>
  <c r="N51" i="6"/>
  <c r="B23" i="4"/>
  <c r="B19" i="4"/>
  <c r="B15" i="4"/>
  <c r="B11" i="4"/>
  <c r="B7" i="4"/>
  <c r="B3" i="4"/>
  <c r="O65" i="6"/>
  <c r="AW70" i="6" l="1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I325" i="4"/>
  <c r="G9" i="6" s="1"/>
  <c r="G15" i="6" s="1"/>
  <c r="I541" i="4"/>
  <c r="K9" i="6" s="1"/>
  <c r="AA5" i="6" s="1"/>
  <c r="AA6" i="6" s="1"/>
  <c r="I433" i="4"/>
  <c r="I9" i="6" s="1"/>
  <c r="I13" i="6" s="1"/>
  <c r="R74" i="6"/>
  <c r="R73" i="6" s="1"/>
  <c r="Z74" i="6"/>
  <c r="Z73" i="6" s="1"/>
  <c r="V74" i="6"/>
  <c r="V73" i="6" s="1"/>
  <c r="AB74" i="6"/>
  <c r="AB73" i="6" s="1"/>
  <c r="AE74" i="6"/>
  <c r="AE73" i="6" s="1"/>
  <c r="G324" i="4"/>
  <c r="Y74" i="6"/>
  <c r="Y73" i="6" s="1"/>
  <c r="AC74" i="6"/>
  <c r="AC73" i="6" s="1"/>
  <c r="X74" i="6"/>
  <c r="X73" i="6" s="1"/>
  <c r="AA74" i="6"/>
  <c r="AA73" i="6" s="1"/>
  <c r="G539" i="4"/>
  <c r="Q74" i="6"/>
  <c r="Q73" i="6" s="1"/>
  <c r="U74" i="6"/>
  <c r="U73" i="6" s="1"/>
  <c r="T74" i="6"/>
  <c r="T73" i="6" s="1"/>
  <c r="W74" i="6"/>
  <c r="W73" i="6" s="1"/>
  <c r="G11" i="6"/>
  <c r="AB61" i="1"/>
  <c r="E7" i="6"/>
  <c r="F7" i="6"/>
  <c r="I217" i="4"/>
  <c r="C7" i="6"/>
  <c r="J8" i="6"/>
  <c r="H7" i="6"/>
  <c r="AE61" i="1"/>
  <c r="C25" i="6"/>
  <c r="N52" i="6"/>
  <c r="Z61" i="1"/>
  <c r="D8" i="6"/>
  <c r="H8" i="6"/>
  <c r="K17" i="6"/>
  <c r="X63" i="1"/>
  <c r="AF62" i="1"/>
  <c r="K12" i="6"/>
  <c r="AB63" i="1"/>
  <c r="G13" i="6"/>
  <c r="G17" i="6"/>
  <c r="AD62" i="1"/>
  <c r="B7" i="6"/>
  <c r="G7" i="6"/>
  <c r="G323" i="4"/>
  <c r="AD64" i="1"/>
  <c r="AD69" i="1" s="1"/>
  <c r="I572" i="4" s="1"/>
  <c r="F8" i="6"/>
  <c r="H6" i="6"/>
  <c r="I379" i="4"/>
  <c r="H9" i="6" s="1"/>
  <c r="I487" i="4"/>
  <c r="G486" i="4" s="1"/>
  <c r="I109" i="4"/>
  <c r="G107" i="4" s="1"/>
  <c r="B6" i="6"/>
  <c r="I55" i="4"/>
  <c r="B9" i="6" s="1"/>
  <c r="D6" i="6"/>
  <c r="I163" i="4"/>
  <c r="G162" i="4" s="1"/>
  <c r="W5" i="6"/>
  <c r="W6" i="6" s="1"/>
  <c r="AB64" i="1"/>
  <c r="B8" i="6"/>
  <c r="F6" i="6"/>
  <c r="I271" i="4"/>
  <c r="F9" i="6" s="1"/>
  <c r="G538" i="4"/>
  <c r="G541" i="4" s="1"/>
  <c r="I15" i="6"/>
  <c r="Y62" i="1"/>
  <c r="X61" i="1"/>
  <c r="Z63" i="1"/>
  <c r="K13" i="6" l="1"/>
  <c r="G430" i="4"/>
  <c r="G433" i="4" s="1"/>
  <c r="I16" i="6"/>
  <c r="I19" i="6" s="1"/>
  <c r="K15" i="6"/>
  <c r="K18" i="6" s="1"/>
  <c r="AF64" i="1"/>
  <c r="AF69" i="1" s="1"/>
  <c r="I579" i="4" s="1"/>
  <c r="G540" i="4"/>
  <c r="Y5" i="6"/>
  <c r="Y6" i="6" s="1"/>
  <c r="I12" i="6"/>
  <c r="G431" i="4"/>
  <c r="G432" i="4"/>
  <c r="K11" i="6"/>
  <c r="I17" i="6"/>
  <c r="I21" i="6" s="1"/>
  <c r="AD66" i="1" s="1"/>
  <c r="I569" i="4" s="1"/>
  <c r="K16" i="6"/>
  <c r="G322" i="4"/>
  <c r="G325" i="4" s="1"/>
  <c r="I11" i="6"/>
  <c r="G52" i="4"/>
  <c r="G378" i="4"/>
  <c r="G268" i="4"/>
  <c r="G271" i="4" s="1"/>
  <c r="G54" i="4"/>
  <c r="I18" i="6"/>
  <c r="I22" i="6"/>
  <c r="AD67" i="1" s="1"/>
  <c r="I570" i="4" s="1"/>
  <c r="Y61" i="1"/>
  <c r="G20" i="6"/>
  <c r="G21" i="6"/>
  <c r="AB66" i="1" s="1"/>
  <c r="I562" i="4" s="1"/>
  <c r="G26" i="6"/>
  <c r="U50" i="6" s="1"/>
  <c r="Z62" i="1"/>
  <c r="F15" i="6"/>
  <c r="AA61" i="1"/>
  <c r="F11" i="6"/>
  <c r="R5" i="6"/>
  <c r="W64" i="1"/>
  <c r="J9" i="6"/>
  <c r="J17" i="6" s="1"/>
  <c r="G484" i="4"/>
  <c r="G487" i="4" s="1"/>
  <c r="G485" i="4"/>
  <c r="AC64" i="1"/>
  <c r="X5" i="6"/>
  <c r="X6" i="6" s="1"/>
  <c r="G270" i="4"/>
  <c r="AC63" i="1"/>
  <c r="H17" i="6"/>
  <c r="H13" i="6"/>
  <c r="Y63" i="1"/>
  <c r="AE63" i="1"/>
  <c r="G269" i="4"/>
  <c r="G22" i="6"/>
  <c r="AB67" i="1" s="1"/>
  <c r="I563" i="4" s="1"/>
  <c r="G376" i="4"/>
  <c r="G379" i="4" s="1"/>
  <c r="F17" i="6"/>
  <c r="AA63" i="1"/>
  <c r="F13" i="6"/>
  <c r="AB62" i="1"/>
  <c r="G12" i="6"/>
  <c r="G16" i="6"/>
  <c r="G19" i="6" s="1"/>
  <c r="K26" i="6"/>
  <c r="Y50" i="6" s="1"/>
  <c r="K21" i="6"/>
  <c r="AF66" i="1" s="1"/>
  <c r="I576" i="4" s="1"/>
  <c r="K20" i="6"/>
  <c r="G377" i="4"/>
  <c r="AA62" i="1"/>
  <c r="F16" i="6"/>
  <c r="F12" i="6"/>
  <c r="AB69" i="1"/>
  <c r="I565" i="4" s="1"/>
  <c r="C9" i="6"/>
  <c r="C12" i="6" s="1"/>
  <c r="G106" i="4"/>
  <c r="G108" i="4"/>
  <c r="I26" i="6"/>
  <c r="W50" i="6" s="1"/>
  <c r="W62" i="1"/>
  <c r="B16" i="6"/>
  <c r="L7" i="6"/>
  <c r="B12" i="6"/>
  <c r="E9" i="6"/>
  <c r="E16" i="6" s="1"/>
  <c r="G214" i="4"/>
  <c r="G217" i="4" s="1"/>
  <c r="G216" i="4"/>
  <c r="D9" i="6"/>
  <c r="D15" i="6" s="1"/>
  <c r="G161" i="4"/>
  <c r="V5" i="6"/>
  <c r="V6" i="6" s="1"/>
  <c r="AA64" i="1"/>
  <c r="B17" i="6"/>
  <c r="L8" i="6"/>
  <c r="W63" i="1"/>
  <c r="B13" i="6"/>
  <c r="G160" i="4"/>
  <c r="G163" i="4" s="1"/>
  <c r="B15" i="6"/>
  <c r="W61" i="1"/>
  <c r="L6" i="6"/>
  <c r="B11" i="6"/>
  <c r="AC61" i="1"/>
  <c r="H11" i="6"/>
  <c r="H15" i="6"/>
  <c r="G53" i="4"/>
  <c r="H12" i="6"/>
  <c r="AC62" i="1"/>
  <c r="H16" i="6"/>
  <c r="X62" i="1"/>
  <c r="G215" i="4"/>
  <c r="W69" i="1" l="1"/>
  <c r="G551" i="4" s="1"/>
  <c r="I20" i="6"/>
  <c r="K19" i="6"/>
  <c r="AC69" i="1"/>
  <c r="G572" i="4" s="1"/>
  <c r="K22" i="6"/>
  <c r="AF67" i="1" s="1"/>
  <c r="I577" i="4" s="1"/>
  <c r="G18" i="6"/>
  <c r="C16" i="6"/>
  <c r="G55" i="4"/>
  <c r="D27" i="6"/>
  <c r="R53" i="6" s="1"/>
  <c r="D22" i="6"/>
  <c r="Y67" i="1" s="1"/>
  <c r="G556" i="4" s="1"/>
  <c r="B18" i="6"/>
  <c r="B19" i="6"/>
  <c r="B22" i="6"/>
  <c r="W67" i="1" s="1"/>
  <c r="G549" i="4" s="1"/>
  <c r="B27" i="6"/>
  <c r="B21" i="6"/>
  <c r="W66" i="1" s="1"/>
  <c r="G548" i="4" s="1"/>
  <c r="B26" i="6"/>
  <c r="B20" i="6"/>
  <c r="H19" i="6"/>
  <c r="H18" i="6"/>
  <c r="H22" i="6"/>
  <c r="AC67" i="1" s="1"/>
  <c r="G570" i="4" s="1"/>
  <c r="AF65" i="1"/>
  <c r="I575" i="4" s="1"/>
  <c r="K23" i="6"/>
  <c r="AF68" i="1" s="1"/>
  <c r="I578" i="4" s="1"/>
  <c r="J21" i="6"/>
  <c r="AE66" i="1" s="1"/>
  <c r="G576" i="4" s="1"/>
  <c r="J20" i="6"/>
  <c r="Z5" i="6"/>
  <c r="Z6" i="6" s="1"/>
  <c r="AE64" i="1"/>
  <c r="AE69" i="1" s="1"/>
  <c r="G579" i="4" s="1"/>
  <c r="J16" i="6"/>
  <c r="J12" i="6"/>
  <c r="J11" i="6"/>
  <c r="J15" i="6"/>
  <c r="J26" i="6" s="1"/>
  <c r="X50" i="6" s="1"/>
  <c r="AG63" i="1"/>
  <c r="G109" i="4"/>
  <c r="D13" i="6"/>
  <c r="H20" i="6"/>
  <c r="H21" i="6"/>
  <c r="AC66" i="1" s="1"/>
  <c r="G569" i="4" s="1"/>
  <c r="H26" i="6"/>
  <c r="V50" i="6" s="1"/>
  <c r="AA69" i="1"/>
  <c r="G565" i="4" s="1"/>
  <c r="AB65" i="1"/>
  <c r="I561" i="4" s="1"/>
  <c r="G23" i="6"/>
  <c r="AB68" i="1" s="1"/>
  <c r="I564" i="4" s="1"/>
  <c r="AG62" i="1"/>
  <c r="S5" i="6"/>
  <c r="X64" i="1"/>
  <c r="X69" i="1" s="1"/>
  <c r="I551" i="4" s="1"/>
  <c r="C13" i="6"/>
  <c r="C11" i="6"/>
  <c r="C15" i="6"/>
  <c r="C17" i="6"/>
  <c r="J13" i="6"/>
  <c r="D17" i="6"/>
  <c r="P6" i="6"/>
  <c r="R6" i="6" s="1"/>
  <c r="F22" i="6"/>
  <c r="AA67" i="1" s="1"/>
  <c r="G563" i="4" s="1"/>
  <c r="F19" i="6"/>
  <c r="F18" i="6"/>
  <c r="L9" i="6"/>
  <c r="AG64" i="1" s="1"/>
  <c r="AG61" i="1"/>
  <c r="Y64" i="1"/>
  <c r="Y69" i="1" s="1"/>
  <c r="G558" i="4" s="1"/>
  <c r="T5" i="6"/>
  <c r="P5" i="6" s="1"/>
  <c r="D12" i="6"/>
  <c r="D16" i="6"/>
  <c r="D19" i="6" s="1"/>
  <c r="U5" i="6"/>
  <c r="U6" i="6" s="1"/>
  <c r="Z64" i="1"/>
  <c r="Z69" i="1" s="1"/>
  <c r="I558" i="4" s="1"/>
  <c r="E15" i="6"/>
  <c r="E17" i="6"/>
  <c r="E13" i="6"/>
  <c r="E11" i="6"/>
  <c r="AD65" i="1"/>
  <c r="I568" i="4" s="1"/>
  <c r="I23" i="6"/>
  <c r="AD68" i="1" s="1"/>
  <c r="I571" i="4" s="1"/>
  <c r="F21" i="6"/>
  <c r="AA66" i="1" s="1"/>
  <c r="G562" i="4" s="1"/>
  <c r="F20" i="6"/>
  <c r="F26" i="6"/>
  <c r="T50" i="6" s="1"/>
  <c r="E12" i="6"/>
  <c r="D11" i="6"/>
  <c r="L15" i="6" l="1"/>
  <c r="L22" i="6" s="1"/>
  <c r="AG67" i="1" s="1"/>
  <c r="L11" i="6"/>
  <c r="L12" i="6"/>
  <c r="E20" i="6"/>
  <c r="E26" i="6"/>
  <c r="S50" i="6" s="1"/>
  <c r="E21" i="6"/>
  <c r="Z66" i="1" s="1"/>
  <c r="I555" i="4" s="1"/>
  <c r="P8" i="6"/>
  <c r="U8" i="6" s="1"/>
  <c r="U10" i="6" s="1"/>
  <c r="C18" i="6"/>
  <c r="C22" i="6"/>
  <c r="X67" i="1" s="1"/>
  <c r="I549" i="4" s="1"/>
  <c r="C19" i="6"/>
  <c r="C27" i="6"/>
  <c r="Q52" i="6" s="1"/>
  <c r="S6" i="6"/>
  <c r="L17" i="6"/>
  <c r="J18" i="6"/>
  <c r="J19" i="6"/>
  <c r="J22" i="6"/>
  <c r="AE67" i="1" s="1"/>
  <c r="G577" i="4" s="1"/>
  <c r="AE65" i="1"/>
  <c r="G575" i="4" s="1"/>
  <c r="W65" i="1"/>
  <c r="G547" i="4" s="1"/>
  <c r="B23" i="6"/>
  <c r="W68" i="1" s="1"/>
  <c r="G550" i="4" s="1"/>
  <c r="D18" i="6"/>
  <c r="P51" i="6"/>
  <c r="B79" i="6"/>
  <c r="H79" i="6"/>
  <c r="F79" i="6"/>
  <c r="E18" i="6"/>
  <c r="E19" i="6"/>
  <c r="E22" i="6"/>
  <c r="Z67" i="1" s="1"/>
  <c r="I556" i="4" s="1"/>
  <c r="AA65" i="1"/>
  <c r="G561" i="4" s="1"/>
  <c r="F23" i="6"/>
  <c r="AA68" i="1" s="1"/>
  <c r="G564" i="4" s="1"/>
  <c r="T6" i="6"/>
  <c r="AG69" i="1"/>
  <c r="D20" i="6"/>
  <c r="D21" i="6"/>
  <c r="Y66" i="1" s="1"/>
  <c r="G555" i="4" s="1"/>
  <c r="D26" i="6"/>
  <c r="R50" i="6" s="1"/>
  <c r="L16" i="6"/>
  <c r="H23" i="6"/>
  <c r="AC68" i="1" s="1"/>
  <c r="G571" i="4" s="1"/>
  <c r="AC65" i="1"/>
  <c r="G568" i="4" s="1"/>
  <c r="L13" i="6"/>
  <c r="P50" i="6"/>
  <c r="E79" i="6"/>
  <c r="G79" i="6"/>
  <c r="A79" i="6"/>
  <c r="C20" i="6"/>
  <c r="C21" i="6"/>
  <c r="X66" i="1" s="1"/>
  <c r="I548" i="4" s="1"/>
  <c r="C26" i="6"/>
  <c r="Q50" i="6" s="1"/>
  <c r="D80" i="6" l="1"/>
  <c r="D82" i="6"/>
  <c r="L18" i="6"/>
  <c r="C80" i="6"/>
  <c r="D81" i="6"/>
  <c r="T8" i="6"/>
  <c r="T10" i="6" s="1"/>
  <c r="Z8" i="6"/>
  <c r="Z10" i="6" s="1"/>
  <c r="S8" i="6"/>
  <c r="S10" i="6" s="1"/>
  <c r="J23" i="6"/>
  <c r="AE68" i="1" s="1"/>
  <c r="G578" i="4" s="1"/>
  <c r="L19" i="6"/>
  <c r="D23" i="6"/>
  <c r="Y68" i="1" s="1"/>
  <c r="G557" i="4" s="1"/>
  <c r="Y65" i="1"/>
  <c r="G554" i="4" s="1"/>
  <c r="L20" i="6"/>
  <c r="L21" i="6"/>
  <c r="AG66" i="1" s="1"/>
  <c r="L26" i="6"/>
  <c r="C81" i="6"/>
  <c r="Z65" i="1"/>
  <c r="I554" i="4" s="1"/>
  <c r="E23" i="6"/>
  <c r="Z68" i="1" s="1"/>
  <c r="I557" i="4" s="1"/>
  <c r="X65" i="1"/>
  <c r="I547" i="4" s="1"/>
  <c r="C23" i="6"/>
  <c r="X68" i="1" s="1"/>
  <c r="I550" i="4" s="1"/>
  <c r="C82" i="6"/>
  <c r="W8" i="6"/>
  <c r="W10" i="6" s="1"/>
  <c r="Y8" i="6"/>
  <c r="Y10" i="6" s="1"/>
  <c r="AA8" i="6"/>
  <c r="AA10" i="6" s="1"/>
  <c r="X8" i="6"/>
  <c r="X10" i="6" s="1"/>
  <c r="V8" i="6"/>
  <c r="V10" i="6" s="1"/>
  <c r="R8" i="6"/>
  <c r="R10" i="6" s="1"/>
  <c r="R81" i="6" l="1"/>
  <c r="V81" i="6"/>
  <c r="Z81" i="6"/>
  <c r="AD81" i="6"/>
  <c r="AH81" i="6"/>
  <c r="O81" i="6"/>
  <c r="S81" i="6"/>
  <c r="W81" i="6"/>
  <c r="AA81" i="6"/>
  <c r="AE81" i="6"/>
  <c r="AI81" i="6"/>
  <c r="P81" i="6"/>
  <c r="T81" i="6"/>
  <c r="X81" i="6"/>
  <c r="AB81" i="6"/>
  <c r="AF81" i="6"/>
  <c r="Q81" i="6"/>
  <c r="U81" i="6"/>
  <c r="Y81" i="6"/>
  <c r="AC81" i="6"/>
  <c r="AG81" i="6"/>
  <c r="O80" i="6"/>
  <c r="S80" i="6"/>
  <c r="W80" i="6"/>
  <c r="AA80" i="6"/>
  <c r="AE80" i="6"/>
  <c r="AI80" i="6"/>
  <c r="P80" i="6"/>
  <c r="T80" i="6"/>
  <c r="X80" i="6"/>
  <c r="AB80" i="6"/>
  <c r="AF80" i="6"/>
  <c r="Q80" i="6"/>
  <c r="U80" i="6"/>
  <c r="Y80" i="6"/>
  <c r="AC80" i="6"/>
  <c r="AG80" i="6"/>
  <c r="R80" i="6"/>
  <c r="V80" i="6"/>
  <c r="Z80" i="6"/>
  <c r="AD80" i="6"/>
  <c r="AH80" i="6"/>
  <c r="Q82" i="6"/>
  <c r="U82" i="6"/>
  <c r="Y82" i="6"/>
  <c r="AC82" i="6"/>
  <c r="AG82" i="6"/>
  <c r="R82" i="6"/>
  <c r="V82" i="6"/>
  <c r="Z82" i="6"/>
  <c r="AD82" i="6"/>
  <c r="AH82" i="6"/>
  <c r="O82" i="6"/>
  <c r="S82" i="6"/>
  <c r="W82" i="6"/>
  <c r="AA82" i="6"/>
  <c r="AE82" i="6"/>
  <c r="AI82" i="6"/>
  <c r="P82" i="6"/>
  <c r="T82" i="6"/>
  <c r="X82" i="6"/>
  <c r="AB82" i="6"/>
  <c r="AF82" i="6"/>
  <c r="R94" i="6"/>
  <c r="R98" i="6" s="1"/>
  <c r="L23" i="6"/>
  <c r="AG68" i="1" s="1"/>
  <c r="AG65" i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<sst xmlns="http://schemas.openxmlformats.org/spreadsheetml/2006/main" count="561" uniqueCount="128">
  <si>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</si>
  <si>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</si>
  <si>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</si>
  <si>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</si>
  <si>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</si>
  <si>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</si>
  <si>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</si>
  <si>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</si>
  <si>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</si>
  <si>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</si>
  <si>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</si>
  <si>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</si>
  <si>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</si>
  <si>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</si>
  <si>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</si>
  <si>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Transf.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</si>
  <si>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</si>
  <si>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</si>
  <si>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</si>
  <si>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</si>
  <si>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</si>
  <si>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</si>
  <si>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</si>
  <si>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</si>
  <si>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</si>
  <si>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</si>
  <si>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</si>
  <si>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</si>
  <si>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</si>
  <si>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</si>
  <si>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</si>
  <si>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</si>
  <si>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</si>
  <si>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</si>
  <si>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</si>
  <si>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</si>
  <si>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</si>
  <si>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</si>
  <si>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</si>
  <si>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</si>
  <si>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</si>
  <si>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</si>
  <si>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</si>
  <si>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</si>
  <si>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</si>
  <si>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</si>
  <si>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</si>
  <si>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</si>
  <si>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</si>
  <si>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</si>
  <si>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</si>
  <si>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</si>
  <si>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</si>
  <si>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</si>
  <si>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</si>
  <si>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</si>
  <si>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</si>
  <si>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</si>
  <si>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</si>
  <si>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</si>
  <si>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</si>
  <si>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</si>
  <si>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</si>
  <si>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</si>
  <si>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</si>
  <si>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</si>
  <si>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</si>
  <si>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</si>
  <si>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</si>
  <si>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</si>
  <si>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</si>
  <si>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</si>
  <si>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</si>
  <si>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</si>
  <si>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</si>
  <si>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</si>
  <si>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</si>
  <si>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</si>
  <si>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</si>
  <si>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</si>
  <si>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</si>
  <si>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</si>
  <si>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</si>
  <si>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</si>
  <si>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</si>
  <si>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</si>
  <si>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</si>
  <si>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</si>
  <si>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</si>
  <si>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</si>
  <si>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</si>
  <si>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</si>
  <si>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</si>
  <si>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</si>
  <si>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</si>
  <si>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</si>
  <si>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</si>
  <si>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</si>
  <si>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</si>
  <si>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</si>
  <si>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</si>
  <si>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</si>
  <si>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</si>
  <si>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</si>
  <si>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</si>
  <si>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</si>
  <si>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</si>
  <si>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</si>
  <si>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</si>
  <si>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</si>
  <si>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</si>
  <si>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</si>
  <si>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</si>
  <si>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</si>
  <si>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</si>
  <si>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</si>
  <si>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</si>
  <si>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</si>
  <si>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</si>
  <si>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</si>
  <si>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</si>
  <si>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</si>
  <si>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</si>
  <si>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</si>
  <si>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</si>
  <si>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C:\Users\Henrique\Desktop\OPA.eMe</t>
  </si>
  <si>
    <t>EU</t>
  </si>
  <si>
    <t>khjkhjkhkj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</si>
</sst>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b/>
      <sz val="8"/>
      <color indexed="43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9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11" fontId="2" fillId="7" borderId="2" xfId="0" applyNumberFormat="1" applyFont="1" applyFill="1" applyBorder="1"/>
    <xf numFmtId="11" fontId="2" fillId="8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7" fontId="6" fillId="5" borderId="1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2" fillId="6" borderId="10" xfId="0" applyNumberFormat="1" applyFont="1" applyFill="1" applyBorder="1"/>
    <xf numFmtId="2" fontId="12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2" fontId="14" fillId="5" borderId="5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8" fillId="5" borderId="15" xfId="0" applyFont="1" applyFill="1" applyBorder="1"/>
    <xf numFmtId="0" fontId="18" fillId="5" borderId="14" xfId="0" applyFont="1" applyFill="1" applyBorder="1"/>
    <xf numFmtId="0" fontId="18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8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8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20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9" fillId="12" borderId="0" xfId="0" applyFont="1" applyFill="1"/>
    <xf numFmtId="0" fontId="20" fillId="12" borderId="5" xfId="0" applyFont="1" applyFill="1" applyBorder="1" applyAlignment="1">
      <alignment horizontal="center"/>
    </xf>
    <xf numFmtId="0" fontId="20" fillId="12" borderId="0" xfId="0" applyFont="1" applyFill="1" applyAlignment="1">
      <alignment horizontal="center"/>
    </xf>
    <xf numFmtId="0" fontId="20" fillId="12" borderId="4" xfId="0" applyFont="1" applyFill="1" applyBorder="1"/>
    <xf numFmtId="0" fontId="20" fillId="12" borderId="1" xfId="0" applyFont="1" applyFill="1" applyBorder="1" applyAlignment="1">
      <alignment horizontal="center"/>
    </xf>
    <xf numFmtId="0" fontId="20" fillId="12" borderId="4" xfId="0" applyFont="1" applyFill="1" applyBorder="1" applyAlignment="1">
      <alignment horizontal="center"/>
    </xf>
    <xf numFmtId="0" fontId="20" fillId="12" borderId="14" xfId="0" applyFont="1" applyFill="1" applyBorder="1"/>
    <xf numFmtId="0" fontId="20" fillId="12" borderId="18" xfId="0" applyFont="1" applyFill="1" applyBorder="1" applyAlignment="1">
      <alignment horizontal="center"/>
    </xf>
    <xf numFmtId="0" fontId="20" fillId="12" borderId="14" xfId="0" applyFont="1" applyFill="1" applyBorder="1" applyAlignment="1">
      <alignment horizontal="center"/>
    </xf>
    <xf numFmtId="0" fontId="20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0" fillId="13" borderId="0" xfId="0" applyFill="1"/>
    <xf numFmtId="0" fontId="21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2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3" fillId="0" borderId="0" xfId="0" applyFont="1" applyAlignment="1">
      <alignment horizontal="center"/>
    </xf>
    <xf numFmtId="2" fontId="12" fillId="0" borderId="0" xfId="0" applyNumberFormat="1" applyFont="1"/>
    <xf numFmtId="165" fontId="12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3" fillId="0" borderId="4" xfId="0" applyFont="1" applyBorder="1" applyAlignment="1">
      <alignment horizontal="center"/>
    </xf>
    <xf numFmtId="11" fontId="12" fillId="0" borderId="4" xfId="0" applyNumberFormat="1" applyFont="1" applyBorder="1"/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2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9" fillId="14" borderId="0" xfId="0" applyFont="1" applyFill="1"/>
    <xf numFmtId="0" fontId="20" fillId="14" borderId="0" xfId="0" applyFont="1" applyFill="1"/>
    <xf numFmtId="164" fontId="20" fillId="14" borderId="0" xfId="0" applyNumberFormat="1" applyFont="1" applyFill="1"/>
    <xf numFmtId="11" fontId="20" fillId="14" borderId="0" xfId="0" applyNumberFormat="1" applyFont="1" applyFill="1"/>
    <xf numFmtId="2" fontId="20" fillId="14" borderId="0" xfId="0" applyNumberFormat="1" applyFont="1" applyFill="1"/>
    <xf numFmtId="167" fontId="20" fillId="14" borderId="0" xfId="2" applyNumberFormat="1" applyFont="1" applyFill="1"/>
    <xf numFmtId="166" fontId="22" fillId="0" borderId="0" xfId="0" applyNumberFormat="1" applyFont="1"/>
    <xf numFmtId="0" fontId="2" fillId="0" borderId="0" xfId="0" applyFont="1" applyAlignment="1">
      <alignment horizontal="right"/>
    </xf>
    <xf numFmtId="0" fontId="22" fillId="0" borderId="0" xfId="0" applyFont="1"/>
    <xf numFmtId="0" fontId="20" fillId="15" borderId="15" xfId="0" applyFont="1" applyFill="1" applyBorder="1" applyAlignment="1">
      <alignment horizontal="center"/>
    </xf>
    <xf numFmtId="0" fontId="20" fillId="15" borderId="14" xfId="0" applyFont="1" applyFill="1" applyBorder="1" applyAlignment="1">
      <alignment horizontal="center"/>
    </xf>
    <xf numFmtId="0" fontId="20" fillId="15" borderId="6" xfId="0" applyFont="1" applyFill="1" applyBorder="1" applyAlignment="1">
      <alignment horizontal="center"/>
    </xf>
    <xf numFmtId="0" fontId="20" fillId="15" borderId="10" xfId="0" applyFont="1" applyFill="1" applyBorder="1" applyAlignment="1">
      <alignment horizontal="center"/>
    </xf>
    <xf numFmtId="0" fontId="20" fillId="15" borderId="3" xfId="0" applyFont="1" applyFill="1" applyBorder="1" applyAlignment="1">
      <alignment horizontal="center"/>
    </xf>
    <xf numFmtId="0" fontId="20" fillId="15" borderId="13" xfId="0" applyFont="1" applyFill="1" applyBorder="1" applyAlignment="1">
      <alignment horizontal="center"/>
    </xf>
    <xf numFmtId="0" fontId="20" fillId="15" borderId="7" xfId="0" applyFont="1" applyFill="1" applyBorder="1" applyAlignment="1">
      <alignment horizontal="center"/>
    </xf>
    <xf numFmtId="0" fontId="20" fillId="15" borderId="4" xfId="0" applyFont="1" applyFill="1" applyBorder="1" applyAlignment="1">
      <alignment horizontal="center"/>
    </xf>
    <xf numFmtId="0" fontId="20" fillId="15" borderId="2" xfId="0" applyFont="1" applyFill="1" applyBorder="1" applyAlignment="1">
      <alignment horizontal="center"/>
    </xf>
    <xf numFmtId="0" fontId="20" fillId="5" borderId="15" xfId="0" applyFont="1" applyFill="1" applyBorder="1" applyAlignment="1">
      <alignment horizontal="center"/>
    </xf>
    <xf numFmtId="0" fontId="20" fillId="5" borderId="14" xfId="0" applyFont="1" applyFill="1" applyBorder="1" applyAlignment="1">
      <alignment horizontal="center"/>
    </xf>
    <xf numFmtId="0" fontId="20" fillId="5" borderId="6" xfId="0" applyFont="1" applyFill="1" applyBorder="1" applyAlignment="1">
      <alignment horizontal="center"/>
    </xf>
    <xf numFmtId="0" fontId="20" fillId="5" borderId="10" xfId="0" applyFont="1" applyFill="1" applyBorder="1"/>
    <xf numFmtId="0" fontId="20" fillId="5" borderId="3" xfId="0" applyFont="1" applyFill="1" applyBorder="1"/>
    <xf numFmtId="0" fontId="20" fillId="5" borderId="13" xfId="0" applyFont="1" applyFill="1" applyBorder="1"/>
    <xf numFmtId="0" fontId="20" fillId="5" borderId="7" xfId="0" applyFont="1" applyFill="1" applyBorder="1"/>
    <xf numFmtId="0" fontId="20" fillId="5" borderId="4" xfId="0" applyFont="1" applyFill="1" applyBorder="1"/>
    <xf numFmtId="0" fontId="20" fillId="5" borderId="2" xfId="0" applyFont="1" applyFill="1" applyBorder="1"/>
    <xf numFmtId="0" fontId="20" fillId="7" borderId="0" xfId="0" applyFont="1" applyFill="1" applyAlignment="1">
      <alignment horizontal="center"/>
    </xf>
    <xf numFmtId="0" fontId="20" fillId="7" borderId="10" xfId="0" applyFont="1" applyFill="1" applyBorder="1"/>
    <xf numFmtId="0" fontId="20" fillId="7" borderId="3" xfId="0" applyFont="1" applyFill="1" applyBorder="1"/>
    <xf numFmtId="0" fontId="20" fillId="7" borderId="13" xfId="0" applyFont="1" applyFill="1" applyBorder="1"/>
    <xf numFmtId="0" fontId="20" fillId="7" borderId="7" xfId="0" applyFont="1" applyFill="1" applyBorder="1"/>
    <xf numFmtId="0" fontId="20" fillId="7" borderId="4" xfId="0" applyFont="1" applyFill="1" applyBorder="1"/>
    <xf numFmtId="0" fontId="20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2" fillId="0" borderId="0" xfId="0" applyNumberFormat="1" applyFont="1"/>
    <xf numFmtId="0" fontId="20" fillId="15" borderId="0" xfId="0" applyFont="1" applyFill="1" applyAlignment="1">
      <alignment horizontal="center"/>
    </xf>
    <xf numFmtId="0" fontId="2" fillId="15" borderId="0" xfId="0" applyFont="1" applyFill="1"/>
    <xf numFmtId="0" fontId="23" fillId="0" borderId="18" xfId="0" applyFont="1" applyBorder="1" applyAlignment="1">
      <alignment horizontal="center"/>
    </xf>
    <xf numFmtId="168" fontId="2" fillId="5" borderId="0" xfId="0" applyNumberFormat="1" applyFont="1" applyFill="1"/>
    <xf numFmtId="0" fontId="12" fillId="0" borderId="10" xfId="0" applyFont="1" applyBorder="1" applyAlignment="1">
      <alignment horizontal="left" vertical="top" wrapText="1"/>
    </xf>
    <xf numFmtId="0" fontId="12" fillId="0" borderId="3" xfId="0" applyFont="1" applyBorder="1" applyAlignment="1">
      <alignment horizontal="left" vertical="top" wrapText="1"/>
    </xf>
    <xf numFmtId="0" fontId="12" fillId="0" borderId="13" xfId="0" applyFont="1" applyBorder="1" applyAlignment="1">
      <alignment horizontal="left" vertical="top" wrapText="1"/>
    </xf>
    <xf numFmtId="0" fontId="12" fillId="0" borderId="8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12" fillId="0" borderId="7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0" fillId="14" borderId="0" xfId="0" applyFont="1" applyFill="1"/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OPA.eMe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N=0,1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0.90000000000000013</c:v>
                </c:pt>
                <c:pt idx="10">
                  <c:v>0.8</c:v>
                </c:pt>
                <c:pt idx="11">
                  <c:v>0.7</c:v>
                </c:pt>
                <c:pt idx="12">
                  <c:v>0.6</c:v>
                </c:pt>
                <c:pt idx="13">
                  <c:v>0.49999999999999994</c:v>
                </c:pt>
                <c:pt idx="14">
                  <c:v>0.39999999999999991</c:v>
                </c:pt>
                <c:pt idx="15">
                  <c:v>0.30000000000000004</c:v>
                </c:pt>
                <c:pt idx="16">
                  <c:v>0.19999999999999996</c:v>
                </c:pt>
                <c:pt idx="17">
                  <c:v>9.9999999999999978E-2</c:v>
                </c:pt>
                <c:pt idx="18">
                  <c:v>0</c:v>
                </c:pt>
                <c:pt idx="19">
                  <c:v>-9.9999999999999978E-2</c:v>
                </c:pt>
                <c:pt idx="20">
                  <c:v>-0.19999999999999996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F=0,1
EYR=10
EIR= 0,11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3.1717007590421287E-2"/>
                  <c:y val="1.740971158483588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0,1
ELR=9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Diagrama!$S$50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1</xdr:row>
      <xdr:rowOff>95250</xdr:rowOff>
    </xdr:from>
    <xdr:to>
      <xdr:col>10</xdr:col>
      <xdr:colOff>133350</xdr:colOff>
      <xdr:row>27</xdr:row>
      <xdr:rowOff>57150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/>
  </sheetViews>
  <sheetFormatPr defaultRowHeight="15"/>
  <cols>
    <col min="1" max="1" width="24.5" style="200" customWidth="1"/>
    <col min="2" max="2" width="78.625" style="200" customWidth="1"/>
    <col min="3" max="3" width="2.75" style="200" customWidth="1"/>
    <col min="4" max="16384" width="9" style="200"/>
  </cols>
  <sheetData>
    <row r="1" spans="2:2" ht="40.5" customHeight="1"/>
    <row r="2" spans="2:2" ht="54" customHeight="1"/>
    <row r="3" spans="2:2" ht="52.5" customHeight="1"/>
    <row r="13" spans="2:2" ht="99">
      <c r="B13" s="201" t="s">
        <v>92</v>
      </c>
    </row>
    <row r="48" spans="21:21">
      <c r="U48" s="200" t="b">
        <v>0</v>
      </c>
    </row>
    <row r="61" spans="20:22">
      <c r="T61" s="262"/>
      <c r="U61" s="262"/>
      <c r="V61" s="262"/>
    </row>
    <row r="62" spans="20:22">
      <c r="T62" s="262"/>
      <c r="U62" s="262"/>
      <c r="V62" s="262"/>
    </row>
    <row r="63" spans="20:22">
      <c r="T63" s="262"/>
      <c r="U63" s="262"/>
      <c r="V63" s="262"/>
    </row>
    <row r="64" spans="20:22">
      <c r="T64" s="262"/>
      <c r="U64" s="262"/>
      <c r="V64" s="262"/>
    </row>
    <row r="65" spans="20:22">
      <c r="T65" s="262"/>
      <c r="U65" s="262"/>
      <c r="V65" s="262"/>
    </row>
    <row r="66" spans="20:22">
      <c r="T66" s="262"/>
      <c r="U66" s="262"/>
      <c r="V66" s="262"/>
    </row>
    <row r="67" spans="20:22">
      <c r="T67" s="262"/>
      <c r="U67" s="262"/>
      <c r="V67" s="262"/>
    </row>
    <row r="68" spans="20:22">
      <c r="T68" s="262"/>
      <c r="U68" s="262"/>
      <c r="V68" s="262"/>
    </row>
    <row r="69" spans="20:22">
      <c r="T69" s="262"/>
      <c r="U69" s="262"/>
      <c r="V69" s="262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RowColHeaders="0" showZeros="0" tabSelected="1" topLeftCell="L1" workbookViewId="0">
      <selection activeCell="R21" sqref="R21"/>
    </sheetView>
  </sheetViews>
  <sheetFormatPr defaultRowHeight="15"/>
  <cols>
    <col min="1" max="1" width="8.875" style="177" customWidth="1"/>
    <col min="2" max="9" width="9" style="177"/>
    <col min="10" max="10" width="11.875" style="177" customWidth="1"/>
    <col min="11" max="11" width="9" style="177"/>
    <col min="12" max="12" width="11.125" style="177" bestFit="1" customWidth="1"/>
    <col min="13" max="14" width="12.5" style="177" customWidth="1"/>
    <col min="15" max="15" width="9" style="177"/>
    <col min="16" max="16" width="15.375" style="177" customWidth="1"/>
    <col min="17" max="17" width="7" style="177" customWidth="1"/>
    <col min="18" max="18" width="15.25" style="177" bestFit="1" customWidth="1"/>
    <col min="19" max="19" width="3.625" style="183" customWidth="1"/>
    <col min="20" max="22" width="13.25" style="183" customWidth="1"/>
    <col min="23" max="23" width="6.625" style="177" customWidth="1"/>
    <col min="24" max="25" width="10.25" style="177" customWidth="1"/>
    <col min="26" max="32" width="6.625" style="177" customWidth="1"/>
    <col min="33" max="33" width="2.5" style="177" customWidth="1"/>
    <col min="34" max="34" width="6.125" style="177" customWidth="1"/>
    <col min="35" max="45" width="2.75" style="177" customWidth="1"/>
    <col min="46" max="16384" width="9" style="177"/>
  </cols>
  <sheetData>
    <row r="1" spans="1:46" s="178" customFormat="1">
      <c r="A1" s="226"/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178" t="s">
        <v>75</v>
      </c>
      <c r="Q1" s="178" t="s">
        <v>0</v>
      </c>
      <c r="R1" s="178" t="s">
        <v>24</v>
      </c>
      <c r="S1" s="179">
        <v>1</v>
      </c>
      <c r="T1" s="180" t="s">
        <v>126</v>
      </c>
      <c r="U1" s="180" t="s">
        <v>126</v>
      </c>
      <c r="V1" s="180" t="s">
        <v>126</v>
      </c>
      <c r="W1" s="178">
        <v>1</v>
      </c>
      <c r="X1" s="221" t="b">
        <v>1</v>
      </c>
      <c r="Y1" s="221" t="b">
        <v>0</v>
      </c>
      <c r="AA1" s="178">
        <f>X1+Y1</f>
        <v>1</v>
      </c>
      <c r="AD1" s="178" t="s">
        <v>125</v>
      </c>
      <c r="AT1" s="178" t="s">
        <v>5</v>
      </c>
    </row>
    <row r="2" spans="1:46" s="178" customFormat="1">
      <c r="A2" s="226"/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S2" s="179">
        <v>2</v>
      </c>
      <c r="T2" s="180">
        <v>0</v>
      </c>
      <c r="U2" s="180">
        <v>0</v>
      </c>
      <c r="V2" s="180">
        <v>0</v>
      </c>
      <c r="AT2" s="178" t="s">
        <v>7</v>
      </c>
    </row>
    <row r="3" spans="1:46" s="178" customFormat="1">
      <c r="A3" s="226"/>
      <c r="B3" s="226"/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R3" s="178" t="s">
        <v>91</v>
      </c>
      <c r="S3" s="179">
        <v>3</v>
      </c>
      <c r="T3" s="180">
        <v>0</v>
      </c>
      <c r="U3" s="180">
        <v>0</v>
      </c>
      <c r="V3" s="180">
        <v>0</v>
      </c>
      <c r="AT3" s="178" t="s">
        <v>6</v>
      </c>
    </row>
    <row r="4" spans="1:46" s="178" customFormat="1">
      <c r="A4" s="226"/>
      <c r="B4" s="226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S4" s="179">
        <v>4</v>
      </c>
      <c r="T4" s="180">
        <v>0</v>
      </c>
      <c r="U4" s="180">
        <v>0</v>
      </c>
      <c r="V4" s="180">
        <v>0</v>
      </c>
      <c r="X4" s="178" t="s">
        <v>107</v>
      </c>
      <c r="AT4" s="178" t="s">
        <v>98</v>
      </c>
    </row>
    <row r="5" spans="1:46" s="178" customFormat="1">
      <c r="A5" s="226"/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S5" s="179">
        <v>5</v>
      </c>
      <c r="T5" s="180">
        <v>0</v>
      </c>
      <c r="U5" s="180">
        <v>0</v>
      </c>
      <c r="V5" s="180">
        <v>0</v>
      </c>
      <c r="X5" s="178" t="s">
        <v>115</v>
      </c>
      <c r="Y5" s="178" t="s">
        <v>118</v>
      </c>
      <c r="Z5" s="178" t="s">
        <v>117</v>
      </c>
    </row>
    <row r="6" spans="1:46" s="178" customFormat="1">
      <c r="A6" s="226"/>
      <c r="B6" s="226"/>
      <c r="C6" s="226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  <c r="S6" s="179">
        <v>6</v>
      </c>
      <c r="T6" s="180">
        <v>0</v>
      </c>
      <c r="U6" s="180">
        <v>0</v>
      </c>
      <c r="V6" s="180">
        <v>0</v>
      </c>
      <c r="X6" s="178" t="b">
        <v>0</v>
      </c>
      <c r="Y6" s="178" t="b">
        <v>0</v>
      </c>
      <c r="Z6" s="178" t="b">
        <v>0</v>
      </c>
    </row>
    <row r="7" spans="1:46">
      <c r="A7" s="226"/>
      <c r="B7" s="226"/>
      <c r="C7" s="226"/>
      <c r="D7" s="226"/>
      <c r="E7" s="226"/>
      <c r="F7" s="227"/>
      <c r="G7" s="228"/>
      <c r="H7" s="228"/>
      <c r="I7" s="228"/>
      <c r="J7" s="228"/>
      <c r="K7" s="228"/>
      <c r="L7" s="228"/>
      <c r="M7" s="228"/>
      <c r="N7" s="228"/>
      <c r="O7" s="228"/>
      <c r="S7" s="182">
        <v>7</v>
      </c>
      <c r="T7" s="183">
        <v>0</v>
      </c>
      <c r="U7" s="183">
        <v>0</v>
      </c>
      <c r="V7" s="183">
        <v>0</v>
      </c>
    </row>
    <row r="8" spans="1:46">
      <c r="A8" s="228"/>
      <c r="B8" s="228"/>
      <c r="C8" s="228"/>
      <c r="D8" s="228"/>
      <c r="E8" s="228"/>
      <c r="F8" s="227"/>
      <c r="G8" s="228"/>
      <c r="H8" s="228"/>
      <c r="I8" s="228"/>
      <c r="J8" s="228"/>
      <c r="K8" s="228"/>
      <c r="L8" s="228"/>
      <c r="M8" s="228"/>
      <c r="N8" s="228"/>
      <c r="O8" s="228"/>
      <c r="S8" s="182">
        <v>8</v>
      </c>
      <c r="T8" s="183">
        <v>0</v>
      </c>
      <c r="U8" s="183">
        <v>0</v>
      </c>
      <c r="V8" s="183">
        <v>0</v>
      </c>
    </row>
    <row r="9" spans="1:46">
      <c r="A9" s="22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S9" s="182">
        <v>9</v>
      </c>
      <c r="T9" s="183">
        <v>0</v>
      </c>
      <c r="U9" s="183">
        <v>0</v>
      </c>
      <c r="V9" s="183">
        <v>0</v>
      </c>
    </row>
    <row r="10" spans="1:46">
      <c r="A10" s="228"/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184"/>
      <c r="Q10" s="184"/>
      <c r="R10" s="184"/>
      <c r="S10" s="185">
        <v>10</v>
      </c>
      <c r="T10" s="186">
        <v>0</v>
      </c>
      <c r="U10" s="186">
        <v>0</v>
      </c>
      <c r="V10" s="186">
        <v>0</v>
      </c>
    </row>
    <row r="11" spans="1:46">
      <c r="A11" s="228"/>
      <c r="B11" s="228"/>
      <c r="C11" s="228"/>
      <c r="D11" s="228"/>
      <c r="E11" s="228"/>
      <c r="F11" s="227"/>
      <c r="G11" s="227"/>
      <c r="H11" s="228"/>
      <c r="I11" s="228"/>
      <c r="J11" s="228"/>
      <c r="K11" s="228"/>
      <c r="L11" s="228"/>
      <c r="M11" s="228"/>
      <c r="N11" s="228"/>
      <c r="O11" s="228"/>
      <c r="R11" s="177" t="s">
        <v>74</v>
      </c>
      <c r="S11" s="182">
        <v>1</v>
      </c>
      <c r="T11" s="183" t="b">
        <v>1</v>
      </c>
      <c r="U11" s="183" t="b">
        <v>1</v>
      </c>
      <c r="V11" s="183" t="b">
        <v>1</v>
      </c>
    </row>
    <row r="12" spans="1:46">
      <c r="A12" s="228"/>
      <c r="B12" s="228"/>
      <c r="C12" s="228"/>
      <c r="D12" s="228"/>
      <c r="E12" s="228"/>
      <c r="F12" s="227"/>
      <c r="G12" s="227"/>
      <c r="H12" s="228"/>
      <c r="I12" s="228"/>
      <c r="J12" s="228"/>
      <c r="K12" s="228"/>
      <c r="L12" s="228"/>
      <c r="M12" s="228"/>
      <c r="N12" s="228"/>
      <c r="O12" s="228"/>
      <c r="S12" s="182">
        <v>2</v>
      </c>
      <c r="T12" s="183" t="b">
        <v>0</v>
      </c>
      <c r="U12" s="183" t="b">
        <v>0</v>
      </c>
      <c r="V12" s="183" t="b">
        <v>0</v>
      </c>
    </row>
    <row r="13" spans="1:46">
      <c r="A13" s="228"/>
      <c r="B13" s="228"/>
      <c r="C13" s="228"/>
      <c r="D13" s="228"/>
      <c r="E13" s="228"/>
      <c r="F13" s="227"/>
      <c r="G13" s="227"/>
      <c r="H13" s="229"/>
      <c r="I13" s="229"/>
      <c r="J13" s="228"/>
      <c r="K13" s="228"/>
      <c r="L13" s="228"/>
      <c r="M13" s="228"/>
      <c r="N13" s="228"/>
      <c r="O13" s="228"/>
      <c r="S13" s="182">
        <v>3</v>
      </c>
      <c r="T13" s="183" t="b">
        <v>0</v>
      </c>
      <c r="U13" s="183" t="b">
        <v>0</v>
      </c>
      <c r="V13" s="183" t="b">
        <v>0</v>
      </c>
    </row>
    <row r="14" spans="1:46">
      <c r="A14" s="228"/>
      <c r="B14" s="228"/>
      <c r="C14" s="228"/>
      <c r="D14" s="227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S14" s="182">
        <v>4</v>
      </c>
      <c r="T14" s="183" t="b">
        <v>0</v>
      </c>
      <c r="U14" s="183" t="b">
        <v>0</v>
      </c>
      <c r="V14" s="183" t="b">
        <v>0</v>
      </c>
    </row>
    <row r="15" spans="1:46">
      <c r="A15" s="228"/>
      <c r="B15" s="228"/>
      <c r="C15" s="228"/>
      <c r="D15" s="228"/>
      <c r="E15" s="228"/>
      <c r="F15" s="227"/>
      <c r="G15" s="228"/>
      <c r="H15" s="228"/>
      <c r="I15" s="228"/>
      <c r="J15" s="228"/>
      <c r="K15" s="228"/>
      <c r="L15" s="228"/>
      <c r="M15" s="228"/>
      <c r="N15" s="295"/>
      <c r="O15" s="228"/>
      <c r="S15" s="182">
        <v>5</v>
      </c>
      <c r="T15" s="183" t="b">
        <v>0</v>
      </c>
      <c r="U15" s="183" t="b">
        <v>0</v>
      </c>
      <c r="V15" s="183" t="b">
        <v>0</v>
      </c>
    </row>
    <row r="16" spans="1:46">
      <c r="A16" s="228"/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S16" s="182">
        <v>6</v>
      </c>
      <c r="T16" s="183" t="b">
        <v>0</v>
      </c>
      <c r="U16" s="183" t="b">
        <v>0</v>
      </c>
      <c r="V16" s="183" t="b">
        <v>0</v>
      </c>
    </row>
    <row r="17" spans="1:32">
      <c r="A17" s="228"/>
      <c r="B17" s="228"/>
      <c r="C17" s="228"/>
      <c r="D17" s="228"/>
      <c r="E17" s="228"/>
      <c r="F17" s="227"/>
      <c r="G17" s="228"/>
      <c r="H17" s="228"/>
      <c r="I17" s="228"/>
      <c r="J17" s="228"/>
      <c r="K17" s="228"/>
      <c r="L17" s="228"/>
      <c r="M17" s="228"/>
      <c r="N17" s="228"/>
      <c r="O17" s="228"/>
      <c r="S17" s="182">
        <v>7</v>
      </c>
      <c r="T17" s="183" t="b">
        <v>0</v>
      </c>
      <c r="U17" s="183" t="b">
        <v>0</v>
      </c>
      <c r="V17" s="183" t="b">
        <v>0</v>
      </c>
    </row>
    <row r="18" spans="1:32">
      <c r="A18" s="228"/>
      <c r="B18" s="228"/>
      <c r="C18" s="228"/>
      <c r="D18" s="228"/>
      <c r="E18" s="228"/>
      <c r="F18" s="227"/>
      <c r="G18" s="228"/>
      <c r="H18" s="228"/>
      <c r="I18" s="228"/>
      <c r="J18" s="228"/>
      <c r="K18" s="228"/>
      <c r="L18" s="228"/>
      <c r="M18" s="228"/>
      <c r="N18" s="228"/>
      <c r="O18" s="228"/>
      <c r="S18" s="182">
        <v>8</v>
      </c>
      <c r="T18" s="183" t="b">
        <v>0</v>
      </c>
      <c r="U18" s="183" t="b">
        <v>0</v>
      </c>
      <c r="V18" s="183" t="b">
        <v>0</v>
      </c>
    </row>
    <row r="19" spans="1:32">
      <c r="A19" s="228"/>
      <c r="B19" s="228"/>
      <c r="C19" s="228"/>
      <c r="D19" s="228"/>
      <c r="E19" s="228"/>
      <c r="F19" s="227"/>
      <c r="G19" s="228"/>
      <c r="H19" s="228"/>
      <c r="I19" s="228"/>
      <c r="J19" s="228"/>
      <c r="K19" s="228"/>
      <c r="L19" s="228"/>
      <c r="M19" s="228"/>
      <c r="N19" s="228"/>
      <c r="O19" s="228"/>
      <c r="S19" s="182">
        <v>9</v>
      </c>
      <c r="T19" s="183" t="b">
        <v>0</v>
      </c>
      <c r="U19" s="183" t="b">
        <v>0</v>
      </c>
      <c r="V19" s="183" t="b">
        <v>0</v>
      </c>
    </row>
    <row r="20" spans="1:32">
      <c r="A20" s="228"/>
      <c r="B20" s="228"/>
      <c r="C20" s="228"/>
      <c r="D20" s="228"/>
      <c r="E20" s="228"/>
      <c r="F20" s="227"/>
      <c r="G20" s="228"/>
      <c r="H20" s="228"/>
      <c r="I20" s="228"/>
      <c r="J20" s="228"/>
      <c r="K20" s="228"/>
      <c r="L20" s="228"/>
      <c r="M20" s="228"/>
      <c r="N20" s="228"/>
      <c r="O20" s="228"/>
      <c r="P20" s="184"/>
      <c r="Q20" s="184"/>
      <c r="R20" s="184"/>
      <c r="S20" s="185">
        <v>10</v>
      </c>
      <c r="T20" s="186" t="b">
        <v>0</v>
      </c>
      <c r="U20" s="186" t="b">
        <v>0</v>
      </c>
      <c r="V20" s="186" t="b">
        <v>0</v>
      </c>
    </row>
    <row r="21" spans="1:32">
      <c r="A21" s="228"/>
      <c r="B21" s="228"/>
      <c r="C21" s="228"/>
      <c r="D21" s="228"/>
      <c r="E21" s="228"/>
      <c r="F21" s="227"/>
      <c r="G21" s="228"/>
      <c r="H21" s="228"/>
      <c r="I21" s="228"/>
      <c r="J21" s="228"/>
      <c r="K21" s="228"/>
      <c r="L21" s="228"/>
      <c r="M21" s="228"/>
      <c r="N21" s="228"/>
      <c r="O21" s="228"/>
      <c r="R21" s="177" t="s">
        <v>1</v>
      </c>
      <c r="S21" s="182">
        <v>1</v>
      </c>
      <c r="T21" s="183" t="b">
        <v>0</v>
      </c>
      <c r="U21" s="183" t="b">
        <v>0</v>
      </c>
      <c r="V21" s="183" t="b">
        <v>0</v>
      </c>
      <c r="W21" s="177">
        <f>IF(T21,1,0)</f>
        <v>0</v>
      </c>
      <c r="X21" s="177">
        <f>IF(T22,1,0)</f>
        <v>0</v>
      </c>
      <c r="Y21" s="177">
        <f>IF(T23,1,0)</f>
        <v>0</v>
      </c>
      <c r="Z21" s="177">
        <f>IF(T24,1,0)</f>
        <v>0</v>
      </c>
      <c r="AA21" s="177">
        <f>IF(T25,1,0)</f>
        <v>0</v>
      </c>
      <c r="AB21" s="177">
        <f>IF(T26,1,0)</f>
        <v>0</v>
      </c>
      <c r="AC21" s="177">
        <f>IF(T27,1,0)</f>
        <v>0</v>
      </c>
      <c r="AD21" s="177">
        <f>IF(T28,1,0)</f>
        <v>0</v>
      </c>
      <c r="AE21" s="177">
        <f>IF(T29,1,0)</f>
        <v>0</v>
      </c>
      <c r="AF21" s="177">
        <f>IF(T30,1,0)</f>
        <v>0</v>
      </c>
    </row>
    <row r="22" spans="1:32">
      <c r="A22" s="228"/>
      <c r="B22" s="230"/>
      <c r="C22" s="228"/>
      <c r="D22" s="228"/>
      <c r="E22" s="228"/>
      <c r="F22" s="227"/>
      <c r="G22" s="228"/>
      <c r="H22" s="228"/>
      <c r="I22" s="228"/>
      <c r="J22" s="228"/>
      <c r="K22" s="228"/>
      <c r="L22" s="228"/>
      <c r="M22" s="228"/>
      <c r="N22" s="228"/>
      <c r="O22" s="228"/>
      <c r="S22" s="182">
        <v>2</v>
      </c>
      <c r="T22" s="183" t="b">
        <v>0</v>
      </c>
      <c r="U22" s="183" t="b">
        <v>0</v>
      </c>
      <c r="V22" s="183" t="b">
        <v>0</v>
      </c>
    </row>
    <row r="23" spans="1:32">
      <c r="A23" s="228"/>
      <c r="B23" s="230"/>
      <c r="C23" s="228"/>
      <c r="D23" s="228"/>
      <c r="E23" s="228"/>
      <c r="F23" s="227"/>
      <c r="G23" s="228"/>
      <c r="H23" s="228"/>
      <c r="I23" s="228"/>
      <c r="J23" s="228"/>
      <c r="K23" s="228"/>
      <c r="L23" s="228"/>
      <c r="M23" s="228"/>
      <c r="N23" s="228"/>
      <c r="O23" s="228"/>
      <c r="S23" s="182">
        <v>3</v>
      </c>
      <c r="T23" s="183" t="b">
        <v>0</v>
      </c>
      <c r="U23" s="183" t="b">
        <v>0</v>
      </c>
      <c r="V23" s="183" t="b">
        <v>0</v>
      </c>
    </row>
    <row r="24" spans="1:32">
      <c r="A24" s="228"/>
      <c r="B24" s="230"/>
      <c r="C24" s="228"/>
      <c r="D24" s="228"/>
      <c r="E24" s="228"/>
      <c r="F24" s="227"/>
      <c r="G24" s="228"/>
      <c r="H24" s="228"/>
      <c r="I24" s="228"/>
      <c r="J24" s="228"/>
      <c r="K24" s="228"/>
      <c r="L24" s="228"/>
      <c r="M24" s="228"/>
      <c r="N24" s="228"/>
      <c r="O24" s="228"/>
      <c r="S24" s="182">
        <v>4</v>
      </c>
      <c r="T24" s="183" t="b">
        <v>0</v>
      </c>
      <c r="U24" s="183" t="b">
        <v>0</v>
      </c>
      <c r="V24" s="183" t="b">
        <v>0</v>
      </c>
    </row>
    <row r="25" spans="1:32">
      <c r="A25" s="230"/>
      <c r="B25" s="230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S25" s="182">
        <v>5</v>
      </c>
      <c r="T25" s="183" t="b">
        <v>0</v>
      </c>
      <c r="U25" s="183" t="b">
        <v>0</v>
      </c>
      <c r="V25" s="183" t="b">
        <v>0</v>
      </c>
    </row>
    <row r="26" spans="1:32">
      <c r="A26" s="231"/>
      <c r="B26" s="231"/>
      <c r="C26" s="231"/>
      <c r="D26" s="231"/>
      <c r="E26" s="231"/>
      <c r="F26" s="227"/>
      <c r="G26" s="228"/>
      <c r="H26" s="228"/>
      <c r="I26" s="228"/>
      <c r="J26" s="228"/>
      <c r="K26" s="228"/>
      <c r="L26" s="228"/>
      <c r="M26" s="228"/>
      <c r="N26" s="228"/>
      <c r="O26" s="228"/>
      <c r="S26" s="182">
        <v>6</v>
      </c>
      <c r="T26" s="183" t="b">
        <v>0</v>
      </c>
      <c r="U26" s="183" t="b">
        <v>0</v>
      </c>
      <c r="V26" s="183" t="b">
        <v>0</v>
      </c>
    </row>
    <row r="27" spans="1:32">
      <c r="A27" s="231"/>
      <c r="B27" s="231"/>
      <c r="C27" s="231"/>
      <c r="D27" s="231"/>
      <c r="E27" s="231"/>
      <c r="F27" s="227"/>
      <c r="G27" s="228"/>
      <c r="H27" s="228"/>
      <c r="I27" s="228"/>
      <c r="J27" s="228"/>
      <c r="K27" s="228"/>
      <c r="L27" s="228"/>
      <c r="M27" s="228"/>
      <c r="N27" s="228"/>
      <c r="O27" s="228"/>
      <c r="S27" s="182">
        <v>7</v>
      </c>
      <c r="T27" s="183" t="b">
        <v>0</v>
      </c>
      <c r="U27" s="183" t="b">
        <v>0</v>
      </c>
      <c r="V27" s="183" t="b">
        <v>0</v>
      </c>
    </row>
    <row r="28" spans="1:32">
      <c r="A28" s="231"/>
      <c r="B28" s="231"/>
      <c r="C28" s="231"/>
      <c r="D28" s="231"/>
      <c r="E28" s="231"/>
      <c r="F28" s="227"/>
      <c r="G28" s="228"/>
      <c r="H28" s="228"/>
      <c r="I28" s="228"/>
      <c r="J28" s="228"/>
      <c r="K28" s="228"/>
      <c r="L28" s="228"/>
      <c r="M28" s="228"/>
      <c r="N28" s="228"/>
      <c r="O28" s="228"/>
      <c r="S28" s="182">
        <v>8</v>
      </c>
      <c r="T28" s="183" t="b">
        <v>0</v>
      </c>
      <c r="U28" s="183" t="b">
        <v>0</v>
      </c>
      <c r="V28" s="183" t="b">
        <v>0</v>
      </c>
    </row>
    <row r="29" spans="1:32">
      <c r="A29" s="231"/>
      <c r="B29" s="231"/>
      <c r="C29" s="231"/>
      <c r="D29" s="231"/>
      <c r="E29" s="231"/>
      <c r="F29" s="227"/>
      <c r="G29" s="228"/>
      <c r="H29" s="228"/>
      <c r="I29" s="228"/>
      <c r="J29" s="228"/>
      <c r="K29" s="228"/>
      <c r="L29" s="228"/>
      <c r="M29" s="228"/>
      <c r="N29" s="228"/>
      <c r="O29" s="228"/>
      <c r="S29" s="182">
        <v>9</v>
      </c>
      <c r="T29" s="183" t="b">
        <v>0</v>
      </c>
      <c r="U29" s="183" t="b">
        <v>0</v>
      </c>
      <c r="V29" s="183" t="b">
        <v>0</v>
      </c>
    </row>
    <row r="30" spans="1:32">
      <c r="A30" s="232"/>
      <c r="B30" s="232"/>
      <c r="C30" s="232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184"/>
      <c r="Q30" s="184"/>
      <c r="R30" s="184"/>
      <c r="S30" s="185">
        <v>10</v>
      </c>
      <c r="T30" s="186" t="b">
        <v>0</v>
      </c>
      <c r="U30" s="186" t="b">
        <v>0</v>
      </c>
      <c r="V30" s="186" t="b">
        <v>0</v>
      </c>
    </row>
    <row r="31" spans="1:32">
      <c r="A31" s="228"/>
      <c r="B31" s="228"/>
      <c r="C31" s="228"/>
      <c r="D31" s="228"/>
      <c r="E31" s="228"/>
      <c r="F31" s="227"/>
      <c r="G31" s="228"/>
      <c r="H31" s="228"/>
      <c r="I31" s="228"/>
      <c r="J31" s="228"/>
      <c r="K31" s="228"/>
      <c r="L31" s="228"/>
      <c r="M31" s="228"/>
      <c r="N31" s="228"/>
      <c r="O31" s="228"/>
      <c r="R31" s="177" t="s">
        <v>2</v>
      </c>
      <c r="S31" s="182">
        <v>1</v>
      </c>
      <c r="T31" s="183">
        <v>1</v>
      </c>
      <c r="U31" s="183">
        <v>1</v>
      </c>
      <c r="V31" s="183">
        <v>1</v>
      </c>
      <c r="W31" s="177">
        <f>IF($T$41,T31,1)</f>
        <v>1</v>
      </c>
      <c r="X31" s="177">
        <f>IF($T$41,T32,1)</f>
        <v>1</v>
      </c>
      <c r="Y31" s="177">
        <f>IF($T$41,T33,1)</f>
        <v>1</v>
      </c>
      <c r="Z31" s="177">
        <f>IF($T$41,T34,1)</f>
        <v>1</v>
      </c>
      <c r="AA31" s="177">
        <f>IF($T$41,T35,1)</f>
        <v>1</v>
      </c>
      <c r="AB31" s="177">
        <f>IF($T$41,T36,1)</f>
        <v>1</v>
      </c>
      <c r="AC31" s="177">
        <f>IF($T$41,T37,1)</f>
        <v>1</v>
      </c>
      <c r="AD31" s="177">
        <f>IF($T$41,T38,1)</f>
        <v>1</v>
      </c>
      <c r="AE31" s="177">
        <f>IF($T$41,T39,1)</f>
        <v>1</v>
      </c>
      <c r="AF31" s="177">
        <f>IF($T$41,T40,1)</f>
        <v>1</v>
      </c>
    </row>
    <row r="32" spans="1:32">
      <c r="A32" s="228"/>
      <c r="B32" s="228"/>
      <c r="C32" s="228"/>
      <c r="D32" s="228"/>
      <c r="E32" s="228"/>
      <c r="F32" s="227"/>
      <c r="G32" s="228"/>
      <c r="H32" s="228"/>
      <c r="I32" s="228"/>
      <c r="J32" s="228"/>
      <c r="K32" s="228"/>
      <c r="L32" s="228"/>
      <c r="M32" s="228"/>
      <c r="N32" s="228"/>
      <c r="O32" s="228"/>
      <c r="S32" s="182">
        <v>2</v>
      </c>
      <c r="T32" s="183">
        <v>1</v>
      </c>
      <c r="U32" s="183">
        <v>1</v>
      </c>
      <c r="V32" s="183">
        <v>1</v>
      </c>
    </row>
    <row r="33" spans="1:24">
      <c r="A33" s="228"/>
      <c r="B33" s="228"/>
      <c r="C33" s="228"/>
      <c r="D33" s="228"/>
      <c r="E33" s="228"/>
      <c r="F33" s="227"/>
      <c r="G33" s="228"/>
      <c r="H33" s="228"/>
      <c r="I33" s="228"/>
      <c r="J33" s="228"/>
      <c r="K33" s="228"/>
      <c r="L33" s="228"/>
      <c r="M33" s="228"/>
      <c r="N33" s="228"/>
      <c r="O33" s="228"/>
      <c r="S33" s="182">
        <v>3</v>
      </c>
      <c r="T33" s="183">
        <v>1</v>
      </c>
      <c r="U33" s="183">
        <v>1</v>
      </c>
      <c r="V33" s="183">
        <v>1</v>
      </c>
    </row>
    <row r="34" spans="1:24">
      <c r="A34" s="228"/>
      <c r="B34" s="228"/>
      <c r="C34" s="228"/>
      <c r="D34" s="228"/>
      <c r="E34" s="228"/>
      <c r="F34" s="227"/>
      <c r="G34" s="228"/>
      <c r="H34" s="228"/>
      <c r="I34" s="228"/>
      <c r="J34" s="228"/>
      <c r="K34" s="228"/>
      <c r="L34" s="228"/>
      <c r="M34" s="228"/>
      <c r="N34" s="228"/>
      <c r="O34" s="228"/>
      <c r="S34" s="182">
        <v>4</v>
      </c>
      <c r="T34" s="183">
        <v>1</v>
      </c>
      <c r="U34" s="183">
        <v>1</v>
      </c>
      <c r="V34" s="183">
        <v>1</v>
      </c>
    </row>
    <row r="35" spans="1:24">
      <c r="A35" s="228"/>
      <c r="B35" s="228"/>
      <c r="C35" s="228"/>
      <c r="D35" s="228"/>
      <c r="E35" s="228"/>
      <c r="F35" s="227"/>
      <c r="G35" s="228"/>
      <c r="H35" s="228"/>
      <c r="I35" s="228"/>
      <c r="J35" s="228"/>
      <c r="K35" s="228"/>
      <c r="L35" s="228"/>
      <c r="M35" s="228"/>
      <c r="N35" s="228"/>
      <c r="O35" s="228"/>
      <c r="S35" s="182">
        <v>5</v>
      </c>
      <c r="T35" s="183">
        <v>1</v>
      </c>
      <c r="U35" s="183">
        <v>1</v>
      </c>
      <c r="V35" s="183">
        <v>1</v>
      </c>
    </row>
    <row r="36" spans="1:24">
      <c r="A36" s="228"/>
      <c r="B36" s="228"/>
      <c r="C36" s="228"/>
      <c r="D36" s="228"/>
      <c r="E36" s="228"/>
      <c r="F36" s="227"/>
      <c r="G36" s="228"/>
      <c r="H36" s="228"/>
      <c r="I36" s="228"/>
      <c r="J36" s="228"/>
      <c r="K36" s="228"/>
      <c r="L36" s="228"/>
      <c r="M36" s="228"/>
      <c r="N36" s="228"/>
      <c r="O36" s="228"/>
      <c r="S36" s="182">
        <v>6</v>
      </c>
      <c r="T36" s="183">
        <v>1</v>
      </c>
      <c r="U36" s="183">
        <v>1</v>
      </c>
      <c r="V36" s="183">
        <v>1</v>
      </c>
    </row>
    <row r="37" spans="1:24">
      <c r="F37" s="181"/>
      <c r="S37" s="182">
        <v>7</v>
      </c>
      <c r="T37" s="183">
        <v>1</v>
      </c>
      <c r="U37" s="183">
        <v>1</v>
      </c>
      <c r="V37" s="183">
        <v>1</v>
      </c>
    </row>
    <row r="38" spans="1:24">
      <c r="F38" s="181"/>
      <c r="S38" s="182">
        <v>8</v>
      </c>
      <c r="T38" s="183">
        <v>1</v>
      </c>
      <c r="U38" s="183">
        <v>1</v>
      </c>
      <c r="V38" s="183">
        <v>1</v>
      </c>
    </row>
    <row r="39" spans="1:24">
      <c r="S39" s="182">
        <v>9</v>
      </c>
      <c r="T39" s="183">
        <v>1</v>
      </c>
      <c r="U39" s="183">
        <v>1</v>
      </c>
      <c r="V39" s="183">
        <v>1</v>
      </c>
    </row>
    <row r="40" spans="1:24">
      <c r="F40" s="181"/>
      <c r="P40" s="184"/>
      <c r="Q40" s="184"/>
      <c r="R40" s="184"/>
      <c r="S40" s="185">
        <v>10</v>
      </c>
      <c r="T40" s="186">
        <v>1</v>
      </c>
      <c r="U40" s="186">
        <v>1</v>
      </c>
      <c r="V40" s="186">
        <v>1</v>
      </c>
    </row>
    <row r="41" spans="1:24">
      <c r="P41" s="187"/>
      <c r="Q41" s="187"/>
      <c r="R41" s="187" t="s">
        <v>79</v>
      </c>
      <c r="S41" s="188">
        <v>0</v>
      </c>
      <c r="T41" s="189" t="b">
        <v>0</v>
      </c>
      <c r="U41" s="189" t="b">
        <v>0</v>
      </c>
      <c r="V41" s="189" t="b">
        <v>0</v>
      </c>
      <c r="X41" s="270" t="s">
        <v>104</v>
      </c>
    </row>
    <row r="42" spans="1:24">
      <c r="Q42" s="177" t="s">
        <v>3</v>
      </c>
      <c r="R42" s="177" t="s">
        <v>77</v>
      </c>
      <c r="S42" s="182" t="s">
        <v>5</v>
      </c>
      <c r="T42" s="183" t="b">
        <v>1</v>
      </c>
      <c r="U42" s="183" t="b">
        <v>1</v>
      </c>
      <c r="V42" s="183" t="b">
        <v>1</v>
      </c>
      <c r="X42" s="271" t="b">
        <v>0</v>
      </c>
    </row>
    <row r="43" spans="1:24">
      <c r="S43" s="182" t="s">
        <v>6</v>
      </c>
      <c r="T43" s="183" t="b">
        <v>1</v>
      </c>
      <c r="U43" s="183" t="b">
        <v>1</v>
      </c>
      <c r="V43" s="183" t="b">
        <v>1</v>
      </c>
      <c r="X43" s="270" t="s">
        <v>119</v>
      </c>
    </row>
    <row r="44" spans="1:24">
      <c r="P44" s="184"/>
      <c r="Q44" s="184"/>
      <c r="R44" s="184"/>
      <c r="S44" s="185" t="s">
        <v>7</v>
      </c>
      <c r="T44" s="186" t="b">
        <v>1</v>
      </c>
      <c r="U44" s="186" t="b">
        <v>1</v>
      </c>
      <c r="V44" s="186" t="b">
        <v>1</v>
      </c>
      <c r="X44" s="271" t="b">
        <v>0</v>
      </c>
    </row>
    <row r="45" spans="1:24">
      <c r="R45" s="177" t="s">
        <v>76</v>
      </c>
      <c r="S45" s="182" t="s">
        <v>5</v>
      </c>
      <c r="T45" s="183">
        <v>10</v>
      </c>
      <c r="U45" s="183">
        <v>10</v>
      </c>
      <c r="V45" s="183">
        <v>10</v>
      </c>
    </row>
    <row r="46" spans="1:24">
      <c r="S46" s="182" t="s">
        <v>6</v>
      </c>
      <c r="T46" s="183">
        <v>10</v>
      </c>
      <c r="U46" s="183">
        <v>10</v>
      </c>
      <c r="V46" s="183">
        <v>10</v>
      </c>
    </row>
    <row r="47" spans="1:24">
      <c r="P47" s="184"/>
      <c r="Q47" s="184"/>
      <c r="R47" s="184"/>
      <c r="S47" s="185" t="s">
        <v>7</v>
      </c>
      <c r="T47" s="186">
        <v>10</v>
      </c>
      <c r="U47" s="186">
        <v>10</v>
      </c>
      <c r="V47" s="186">
        <v>10</v>
      </c>
    </row>
    <row r="48" spans="1:24">
      <c r="Q48" s="177" t="s">
        <v>25</v>
      </c>
      <c r="R48" s="177" t="s">
        <v>74</v>
      </c>
      <c r="S48" s="182">
        <v>1</v>
      </c>
      <c r="T48" s="183" t="b">
        <v>0</v>
      </c>
      <c r="U48" s="183" t="b">
        <v>0</v>
      </c>
      <c r="V48" s="183" t="b">
        <v>0</v>
      </c>
    </row>
    <row r="49" spans="16:34">
      <c r="S49" s="182">
        <v>5</v>
      </c>
      <c r="T49" s="183" t="b">
        <v>0</v>
      </c>
      <c r="U49" s="183" t="b">
        <v>0</v>
      </c>
      <c r="V49" s="183" t="b">
        <v>0</v>
      </c>
    </row>
    <row r="50" spans="16:34">
      <c r="P50" s="184"/>
      <c r="Q50" s="184"/>
      <c r="R50" s="184"/>
      <c r="S50" s="185" t="s">
        <v>22</v>
      </c>
      <c r="T50" s="186" t="b">
        <v>0</v>
      </c>
      <c r="U50" s="186" t="b">
        <v>0</v>
      </c>
      <c r="V50" s="186" t="b">
        <v>0</v>
      </c>
    </row>
    <row r="51" spans="16:34">
      <c r="R51" s="177" t="s">
        <v>14</v>
      </c>
      <c r="S51" s="182">
        <v>1</v>
      </c>
      <c r="T51" s="183">
        <v>1</v>
      </c>
      <c r="U51" s="183">
        <v>1</v>
      </c>
      <c r="V51" s="183">
        <v>1</v>
      </c>
    </row>
    <row r="52" spans="16:34">
      <c r="S52" s="182">
        <v>5</v>
      </c>
      <c r="T52" s="183">
        <v>5</v>
      </c>
      <c r="U52" s="183">
        <v>5</v>
      </c>
      <c r="V52" s="183">
        <v>5</v>
      </c>
    </row>
    <row r="53" spans="16:34">
      <c r="P53" s="184"/>
      <c r="Q53" s="184"/>
      <c r="R53" s="184"/>
      <c r="S53" s="185" t="s">
        <v>22</v>
      </c>
      <c r="T53" s="186">
        <v>2</v>
      </c>
      <c r="U53" s="186">
        <v>2</v>
      </c>
      <c r="V53" s="186">
        <v>2</v>
      </c>
    </row>
    <row r="54" spans="16:34">
      <c r="Q54" s="177" t="s">
        <v>78</v>
      </c>
      <c r="R54" s="177" t="s">
        <v>74</v>
      </c>
      <c r="S54" s="182" t="s">
        <v>5</v>
      </c>
      <c r="T54" s="236" t="b">
        <v>0</v>
      </c>
      <c r="U54" s="237" t="b">
        <v>0</v>
      </c>
      <c r="V54" s="238" t="b">
        <v>0</v>
      </c>
    </row>
    <row r="55" spans="16:34">
      <c r="S55" s="182" t="s">
        <v>6</v>
      </c>
      <c r="T55" s="245" t="b">
        <v>0</v>
      </c>
      <c r="U55" s="246" t="b">
        <v>0</v>
      </c>
      <c r="V55" s="247" t="b">
        <v>0</v>
      </c>
      <c r="W55" s="248"/>
      <c r="X55" s="249"/>
      <c r="Y55" s="250"/>
      <c r="AA55" s="177" t="s">
        <v>6</v>
      </c>
    </row>
    <row r="56" spans="16:34">
      <c r="S56" s="182" t="s">
        <v>7</v>
      </c>
      <c r="T56" s="254" t="b">
        <v>0</v>
      </c>
      <c r="U56" s="254" t="b">
        <v>0</v>
      </c>
      <c r="V56" s="254" t="b">
        <v>0</v>
      </c>
      <c r="W56" s="251">
        <v>1</v>
      </c>
      <c r="X56" s="252">
        <v>1</v>
      </c>
      <c r="Y56" s="253">
        <v>1</v>
      </c>
    </row>
    <row r="57" spans="16:34">
      <c r="R57" s="177" t="s">
        <v>99</v>
      </c>
      <c r="S57" s="182">
        <v>0</v>
      </c>
      <c r="T57" s="239" t="s">
        <v>126</v>
      </c>
      <c r="U57" s="240" t="s">
        <v>126</v>
      </c>
      <c r="V57" s="241" t="s">
        <v>126</v>
      </c>
      <c r="W57" s="255"/>
      <c r="X57" s="256"/>
      <c r="Y57" s="257"/>
      <c r="Z57" s="177" t="s">
        <v>5</v>
      </c>
      <c r="AA57" s="177" t="s">
        <v>7</v>
      </c>
    </row>
    <row r="58" spans="16:34">
      <c r="P58" s="184"/>
      <c r="Q58" s="184"/>
      <c r="R58" s="184" t="s">
        <v>100</v>
      </c>
      <c r="S58" s="185">
        <v>0</v>
      </c>
      <c r="T58" s="242">
        <v>1</v>
      </c>
      <c r="U58" s="243">
        <v>1</v>
      </c>
      <c r="V58" s="244">
        <v>1</v>
      </c>
      <c r="W58" s="258">
        <v>1</v>
      </c>
      <c r="X58" s="259">
        <v>1</v>
      </c>
      <c r="Y58" s="260">
        <v>1</v>
      </c>
    </row>
    <row r="59" spans="16:34">
      <c r="R59" s="177" t="s">
        <v>80</v>
      </c>
      <c r="S59" s="190">
        <v>0</v>
      </c>
      <c r="T59" s="183" t="s">
        <v>126</v>
      </c>
      <c r="U59" s="183" t="s">
        <v>126</v>
      </c>
      <c r="V59" s="183" t="s">
        <v>126</v>
      </c>
      <c r="AG59" s="177" t="s">
        <v>1</v>
      </c>
    </row>
    <row r="60" spans="16:34">
      <c r="S60" s="182">
        <v>0</v>
      </c>
      <c r="T60" s="183">
        <v>1</v>
      </c>
      <c r="U60" s="183">
        <v>1</v>
      </c>
      <c r="V60" s="183">
        <v>1</v>
      </c>
    </row>
    <row r="61" spans="16:34">
      <c r="S61" s="182" t="s">
        <v>5</v>
      </c>
      <c r="T61" s="191">
        <v>287560000000000</v>
      </c>
      <c r="U61" s="191">
        <v>287560000000000</v>
      </c>
      <c r="V61" s="191">
        <v>287560000000000</v>
      </c>
      <c r="W61" s="263">
        <f>Diagrama!B6</f>
        <v>0</v>
      </c>
      <c r="X61" s="263">
        <f>Diagrama!C6</f>
        <v>0</v>
      </c>
      <c r="Y61" s="263">
        <f>Diagrama!D6</f>
        <v>0</v>
      </c>
      <c r="Z61" s="263">
        <f>Diagrama!E6</f>
        <v>0</v>
      </c>
      <c r="AA61" s="263">
        <f>Diagrama!F6</f>
        <v>0</v>
      </c>
      <c r="AB61" s="263">
        <f>Diagrama!G6</f>
        <v>0</v>
      </c>
      <c r="AC61" s="263">
        <f>Diagrama!H6</f>
        <v>0</v>
      </c>
      <c r="AD61" s="263">
        <f>Diagrama!I6</f>
        <v>0</v>
      </c>
      <c r="AE61" s="263">
        <f>Diagrama!J6</f>
        <v>0</v>
      </c>
      <c r="AF61" s="263">
        <f>Diagrama!K6</f>
        <v>0</v>
      </c>
      <c r="AG61" s="263">
        <f>Diagrama!L6</f>
        <v>0</v>
      </c>
      <c r="AH61" s="221">
        <v>0.25</v>
      </c>
    </row>
    <row r="62" spans="16:34">
      <c r="S62" s="182" t="s">
        <v>6</v>
      </c>
      <c r="T62" s="191">
        <v>987500000000000</v>
      </c>
      <c r="U62" s="191">
        <v>987500000000000</v>
      </c>
      <c r="V62" s="191">
        <v>987500000000000</v>
      </c>
      <c r="W62" s="263">
        <f>Diagrama!B7</f>
        <v>0</v>
      </c>
      <c r="X62" s="263">
        <f>Diagrama!C7</f>
        <v>0</v>
      </c>
      <c r="Y62" s="263">
        <f>Diagrama!D7</f>
        <v>0</v>
      </c>
      <c r="Z62" s="263">
        <f>Diagrama!E7</f>
        <v>0</v>
      </c>
      <c r="AA62" s="263">
        <f>Diagrama!F7</f>
        <v>0</v>
      </c>
      <c r="AB62" s="263">
        <f>Diagrama!G7</f>
        <v>0</v>
      </c>
      <c r="AC62" s="263">
        <f>Diagrama!H7</f>
        <v>0</v>
      </c>
      <c r="AD62" s="263">
        <f>Diagrama!I7</f>
        <v>0</v>
      </c>
      <c r="AE62" s="263">
        <f>Diagrama!J7</f>
        <v>0</v>
      </c>
      <c r="AF62" s="263">
        <f>Diagrama!K7</f>
        <v>0</v>
      </c>
      <c r="AG62" s="263">
        <f>Diagrama!L7</f>
        <v>0</v>
      </c>
      <c r="AH62" s="221">
        <v>0</v>
      </c>
    </row>
    <row r="63" spans="16:34">
      <c r="S63" s="182" t="s">
        <v>7</v>
      </c>
      <c r="T63" s="191">
        <v>583957020000000</v>
      </c>
      <c r="U63" s="191">
        <v>583957020000000</v>
      </c>
      <c r="V63" s="191">
        <v>583957020000000</v>
      </c>
      <c r="W63" s="263">
        <f>Diagrama!B8</f>
        <v>0</v>
      </c>
      <c r="X63" s="263">
        <f>Diagrama!C8</f>
        <v>0</v>
      </c>
      <c r="Y63" s="263">
        <f>Diagrama!D8</f>
        <v>0</v>
      </c>
      <c r="Z63" s="263">
        <f>Diagrama!E8</f>
        <v>0</v>
      </c>
      <c r="AA63" s="263">
        <f>Diagrama!F8</f>
        <v>0</v>
      </c>
      <c r="AB63" s="263">
        <f>Diagrama!G8</f>
        <v>0</v>
      </c>
      <c r="AC63" s="263">
        <f>Diagrama!H8</f>
        <v>0</v>
      </c>
      <c r="AD63" s="263">
        <f>Diagrama!I8</f>
        <v>0</v>
      </c>
      <c r="AE63" s="263">
        <f>Diagrama!J8</f>
        <v>0</v>
      </c>
      <c r="AF63" s="263">
        <f>Diagrama!K8</f>
        <v>0</v>
      </c>
      <c r="AG63" s="263">
        <f>Diagrama!L8</f>
        <v>0</v>
      </c>
      <c r="AH63" s="221">
        <v>0.75</v>
      </c>
    </row>
    <row r="64" spans="16:34">
      <c r="S64" s="182" t="s">
        <v>21</v>
      </c>
      <c r="T64" s="191">
        <v>1859017020000000</v>
      </c>
      <c r="U64" s="191">
        <v>1859017020000000</v>
      </c>
      <c r="V64" s="191">
        <v>1859017020000000</v>
      </c>
      <c r="W64" s="263">
        <f>Diagrama!B9</f>
        <v>0</v>
      </c>
      <c r="X64" s="263">
        <f>Diagrama!C9</f>
        <v>0</v>
      </c>
      <c r="Y64" s="263">
        <f>Diagrama!D9</f>
        <v>0</v>
      </c>
      <c r="Z64" s="263">
        <f>Diagrama!E9</f>
        <v>0</v>
      </c>
      <c r="AA64" s="263">
        <f>Diagrama!F9</f>
        <v>0</v>
      </c>
      <c r="AB64" s="263">
        <f>Diagrama!G9</f>
        <v>0</v>
      </c>
      <c r="AC64" s="263">
        <f>Diagrama!H9</f>
        <v>0</v>
      </c>
      <c r="AD64" s="263">
        <f>Diagrama!I9</f>
        <v>0</v>
      </c>
      <c r="AE64" s="263">
        <f>Diagrama!J9</f>
        <v>0</v>
      </c>
      <c r="AF64" s="263">
        <f>Diagrama!K9</f>
        <v>0</v>
      </c>
      <c r="AG64" s="263">
        <f>Diagrama!L9</f>
        <v>0</v>
      </c>
    </row>
    <row r="65" spans="16:33">
      <c r="S65" s="182" t="s">
        <v>35</v>
      </c>
      <c r="T65" s="192">
        <v>3.18</v>
      </c>
      <c r="U65" s="193">
        <v>3.18</v>
      </c>
      <c r="V65" s="192">
        <v>3.18</v>
      </c>
      <c r="W65" s="194" t="e">
        <f>Diagrama!B20</f>
        <v>#DIV/0!</v>
      </c>
      <c r="X65" s="194" t="e">
        <f>Diagrama!C20</f>
        <v>#DIV/0!</v>
      </c>
      <c r="Y65" s="194" t="e">
        <f>Diagrama!D20</f>
        <v>#DIV/0!</v>
      </c>
      <c r="Z65" s="194" t="e">
        <f>Diagrama!E20</f>
        <v>#DIV/0!</v>
      </c>
      <c r="AA65" s="194" t="e">
        <f>Diagrama!F20</f>
        <v>#DIV/0!</v>
      </c>
      <c r="AB65" s="194" t="e">
        <f>Diagrama!G20</f>
        <v>#DIV/0!</v>
      </c>
      <c r="AC65" s="194" t="e">
        <f>Diagrama!H20</f>
        <v>#DIV/0!</v>
      </c>
      <c r="AD65" s="194" t="e">
        <f>Diagrama!I20</f>
        <v>#DIV/0!</v>
      </c>
      <c r="AE65" s="194" t="e">
        <f>Diagrama!J20</f>
        <v>#DIV/0!</v>
      </c>
      <c r="AF65" s="194" t="e">
        <f>Diagrama!K20</f>
        <v>#DIV/0!</v>
      </c>
      <c r="AG65" s="194" t="e">
        <f>Diagrama!L20</f>
        <v>#DIV/0!</v>
      </c>
    </row>
    <row r="66" spans="16:33">
      <c r="S66" s="182" t="s">
        <v>36</v>
      </c>
      <c r="T66" s="192">
        <v>0.46</v>
      </c>
      <c r="U66" s="193">
        <v>0.46</v>
      </c>
      <c r="V66" s="192">
        <v>0.46</v>
      </c>
      <c r="W66" s="194" t="e">
        <f>Diagrama!B21</f>
        <v>#DIV/0!</v>
      </c>
      <c r="X66" s="194" t="e">
        <f>Diagrama!C21</f>
        <v>#DIV/0!</v>
      </c>
      <c r="Y66" s="194" t="e">
        <f>Diagrama!D21</f>
        <v>#DIV/0!</v>
      </c>
      <c r="Z66" s="194" t="e">
        <f>Diagrama!E21</f>
        <v>#DIV/0!</v>
      </c>
      <c r="AA66" s="194" t="e">
        <f>Diagrama!F21</f>
        <v>#DIV/0!</v>
      </c>
      <c r="AB66" s="194" t="e">
        <f>Diagrama!G21</f>
        <v>#DIV/0!</v>
      </c>
      <c r="AC66" s="194" t="e">
        <f>Diagrama!H21</f>
        <v>#DIV/0!</v>
      </c>
      <c r="AD66" s="194" t="e">
        <f>Diagrama!I21</f>
        <v>#DIV/0!</v>
      </c>
      <c r="AE66" s="194" t="e">
        <f>Diagrama!J21</f>
        <v>#DIV/0!</v>
      </c>
      <c r="AF66" s="194" t="e">
        <f>Diagrama!K21</f>
        <v>#DIV/0!</v>
      </c>
      <c r="AG66" s="194" t="e">
        <f>Diagrama!L21</f>
        <v>#DIV/0!</v>
      </c>
    </row>
    <row r="67" spans="16:33">
      <c r="S67" s="182" t="s">
        <v>37</v>
      </c>
      <c r="T67" s="192">
        <v>5.46</v>
      </c>
      <c r="U67" s="193">
        <v>5.46</v>
      </c>
      <c r="V67" s="192">
        <v>5.46</v>
      </c>
      <c r="W67" s="194" t="e">
        <f>Diagrama!B22</f>
        <v>#DIV/0!</v>
      </c>
      <c r="X67" s="194" t="e">
        <f>Diagrama!C22</f>
        <v>#DIV/0!</v>
      </c>
      <c r="Y67" s="194" t="e">
        <f>Diagrama!D22</f>
        <v>#DIV/0!</v>
      </c>
      <c r="Z67" s="194" t="e">
        <f>Diagrama!E22</f>
        <v>#DIV/0!</v>
      </c>
      <c r="AA67" s="194" t="e">
        <f>Diagrama!F22</f>
        <v>#DIV/0!</v>
      </c>
      <c r="AB67" s="194" t="e">
        <f>Diagrama!G22</f>
        <v>#DIV/0!</v>
      </c>
      <c r="AC67" s="194" t="e">
        <f>Diagrama!H22</f>
        <v>#DIV/0!</v>
      </c>
      <c r="AD67" s="194" t="e">
        <f>Diagrama!I22</f>
        <v>#DIV/0!</v>
      </c>
      <c r="AE67" s="194" t="e">
        <f>Diagrama!J22</f>
        <v>#DIV/0!</v>
      </c>
      <c r="AF67" s="194" t="e">
        <f>Diagrama!K22</f>
        <v>#DIV/0!</v>
      </c>
      <c r="AG67" s="194" t="e">
        <f>Diagrama!L22</f>
        <v>#DIV/0!</v>
      </c>
    </row>
    <row r="68" spans="16:33">
      <c r="S68" s="182" t="s">
        <v>25</v>
      </c>
      <c r="T68" s="192">
        <v>0.57999999999999996</v>
      </c>
      <c r="U68" s="193">
        <v>0.57999999999999996</v>
      </c>
      <c r="V68" s="192">
        <v>0.57999999999999996</v>
      </c>
      <c r="W68" s="194" t="e">
        <f>Diagrama!B23</f>
        <v>#DIV/0!</v>
      </c>
      <c r="X68" s="194" t="e">
        <f>Diagrama!C23</f>
        <v>#DIV/0!</v>
      </c>
      <c r="Y68" s="194" t="e">
        <f>Diagrama!D23</f>
        <v>#DIV/0!</v>
      </c>
      <c r="Z68" s="194" t="e">
        <f>Diagrama!E23</f>
        <v>#DIV/0!</v>
      </c>
      <c r="AA68" s="194" t="e">
        <f>Diagrama!F23</f>
        <v>#DIV/0!</v>
      </c>
      <c r="AB68" s="194" t="e">
        <f>Diagrama!G23</f>
        <v>#DIV/0!</v>
      </c>
      <c r="AC68" s="194" t="e">
        <f>Diagrama!H23</f>
        <v>#DIV/0!</v>
      </c>
      <c r="AD68" s="194" t="e">
        <f>Diagrama!I23</f>
        <v>#DIV/0!</v>
      </c>
      <c r="AE68" s="194" t="e">
        <f>Diagrama!J23</f>
        <v>#DIV/0!</v>
      </c>
      <c r="AF68" s="194" t="e">
        <f>Diagrama!K23</f>
        <v>#DIV/0!</v>
      </c>
      <c r="AG68" s="194" t="e">
        <f>Diagrama!L23</f>
        <v>#DIV/0!</v>
      </c>
    </row>
    <row r="69" spans="16:33">
      <c r="S69" s="182" t="s">
        <v>17</v>
      </c>
      <c r="T69" s="195">
        <v>15.47</v>
      </c>
      <c r="U69" s="193">
        <v>15.47</v>
      </c>
      <c r="V69" s="195">
        <v>15.47</v>
      </c>
      <c r="W69" s="196" t="e">
        <f t="shared" ref="W69:AB69" si="0">100*W61/W64</f>
        <v>#DIV/0!</v>
      </c>
      <c r="X69" s="196" t="e">
        <f t="shared" si="0"/>
        <v>#DIV/0!</v>
      </c>
      <c r="Y69" s="196" t="e">
        <f t="shared" si="0"/>
        <v>#DIV/0!</v>
      </c>
      <c r="Z69" s="196" t="e">
        <f t="shared" si="0"/>
        <v>#DIV/0!</v>
      </c>
      <c r="AA69" s="196" t="e">
        <f t="shared" si="0"/>
        <v>#DIV/0!</v>
      </c>
      <c r="AB69" s="196" t="e">
        <f t="shared" si="0"/>
        <v>#DIV/0!</v>
      </c>
      <c r="AC69" s="196" t="e">
        <f>100*AC61/AC64</f>
        <v>#DIV/0!</v>
      </c>
      <c r="AD69" s="196" t="e">
        <f>100*AD61/AD64</f>
        <v>#DIV/0!</v>
      </c>
      <c r="AE69" s="196" t="e">
        <f>100*AE61/AE64</f>
        <v>#DIV/0!</v>
      </c>
      <c r="AF69" s="196" t="e">
        <f>100*AF61/AF64</f>
        <v>#DIV/0!</v>
      </c>
      <c r="AG69" s="196" t="e">
        <f>100*AG61/AG64</f>
        <v>#DIV/0!</v>
      </c>
    </row>
    <row r="70" spans="16:33">
      <c r="S70" s="182" t="s">
        <v>81</v>
      </c>
      <c r="T70" s="191">
        <v>0</v>
      </c>
      <c r="U70" s="191">
        <v>0</v>
      </c>
      <c r="V70" s="191">
        <v>0</v>
      </c>
    </row>
    <row r="71" spans="16:33">
      <c r="P71" s="184"/>
      <c r="Q71" s="184"/>
      <c r="R71" s="184"/>
      <c r="S71" s="185" t="s">
        <v>82</v>
      </c>
      <c r="T71" s="186"/>
      <c r="U71" s="186"/>
      <c r="V71" s="186"/>
    </row>
    <row r="72" spans="16:33">
      <c r="P72" s="187"/>
      <c r="Q72" s="187"/>
      <c r="R72" s="187" t="s">
        <v>97</v>
      </c>
      <c r="S72" s="188">
        <v>0</v>
      </c>
      <c r="T72" s="189" t="b">
        <v>0</v>
      </c>
      <c r="U72" s="189" t="b">
        <v>0</v>
      </c>
      <c r="V72" s="189" t="b">
        <v>0</v>
      </c>
      <c r="W72" s="183">
        <f>IF(T72,1,0)</f>
        <v>0</v>
      </c>
      <c r="X72" s="221"/>
      <c r="Y72" s="221"/>
    </row>
    <row r="73" spans="16:33">
      <c r="T73" s="220"/>
    </row>
    <row r="74" spans="16:33">
      <c r="T74" s="220"/>
    </row>
    <row r="75" spans="16:33">
      <c r="T75" s="220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579"/>
  <sheetViews>
    <sheetView windowProtection="1" showZeros="0" workbookViewId="0">
      <selection activeCell="D2" sqref="D2"/>
    </sheetView>
  </sheetViews>
  <sheetFormatPr defaultRowHeight="12.75"/>
  <cols>
    <col min="1" max="1" width="4.5" style="199" bestFit="1" customWidth="1"/>
    <col min="2" max="2" width="9" style="198"/>
    <col min="3" max="3" width="3.875" style="199" customWidth="1"/>
    <col min="4" max="4" width="37.375" style="198" customWidth="1"/>
    <col min="5" max="5" width="6.875" style="198" customWidth="1"/>
    <col min="6" max="6" width="4.875" style="198" customWidth="1"/>
    <col min="7" max="9" width="9.375" style="198" customWidth="1"/>
    <col min="10" max="10" width="9" style="198"/>
    <col min="11" max="11" width="3" style="198" customWidth="1"/>
    <col min="12" max="16384" width="9" style="198"/>
  </cols>
  <sheetData>
    <row r="1" spans="1:9" ht="14.25">
      <c r="A1" s="211" t="s">
        <v>39</v>
      </c>
      <c r="B1" s="212" t="s">
        <v>24</v>
      </c>
      <c r="C1" s="211" t="s">
        <v>10</v>
      </c>
      <c r="D1" s="212" t="s">
        <v>11</v>
      </c>
      <c r="E1" s="211" t="s">
        <v>12</v>
      </c>
      <c r="F1" s="211" t="s">
        <v>13</v>
      </c>
      <c r="G1" s="211" t="s">
        <v>14</v>
      </c>
      <c r="H1" s="211" t="s">
        <v>15</v>
      </c>
      <c r="I1" s="211" t="s">
        <v>16</v>
      </c>
    </row>
    <row r="2" spans="1:9" ht="14.25">
      <c r="A2" s="202">
        <v>1</v>
      </c>
      <c r="B2" s="203" t="str">
        <f>Entrada_de_Dados_2!B2</f>
        <v>EU</v>
      </c>
      <c r="C2" s="199">
        <v>1</v>
      </c>
      <c r="D2" s="203" t="str">
        <f>Entrada_de_Dados_2!D2</f>
        <v>khjkhjkhkj</v>
      </c>
      <c r="E2" s="203" t="str">
        <f>Entrada_de_Dados_2!E2</f>
        <v>seJ</v>
      </c>
      <c r="F2" s="199" t="str">
        <f>Entrada_de_Dados_2!F2</f>
        <v>R</v>
      </c>
      <c r="G2" s="204">
        <f>Entrada_de_Dados_2!G2</f>
        <v>85</v>
      </c>
      <c r="H2" s="204">
        <f>Entrada_de_Dados_2!H2</f>
        <v>0</v>
      </c>
      <c r="I2" s="204">
        <f t="shared" ref="I2:I33" si="0">G2*H2</f>
        <v>0</v>
      </c>
    </row>
    <row r="3" spans="1:9" ht="14.25">
      <c r="A3" s="202">
        <v>1</v>
      </c>
      <c r="B3" s="203" t="str">
        <f>$B$2</f>
        <v>EU</v>
      </c>
      <c r="C3" s="199">
        <v>2</v>
      </c>
      <c r="D3" s="203" t="str">
        <f>Entrada_de_Dados_2!D3</f>
        <v>khjkhjkhkj</v>
      </c>
      <c r="E3" s="203" t="str">
        <f>Entrada_de_Dados_2!E3</f>
        <v>seJ</v>
      </c>
      <c r="F3" s="199" t="str">
        <f>Entrada_de_Dados_2!F3</f>
        <v>R</v>
      </c>
      <c r="G3" s="204">
        <f>Entrada_de_Dados_2!G3</f>
        <v>54</v>
      </c>
      <c r="H3" s="204">
        <f>Entrada_de_Dados_2!H3</f>
        <v>0</v>
      </c>
      <c r="I3" s="204">
        <f t="shared" si="0"/>
        <v>0</v>
      </c>
    </row>
    <row r="4" spans="1:9" ht="14.25">
      <c r="A4" s="202">
        <v>1</v>
      </c>
      <c r="B4" s="203" t="str">
        <f t="shared" ref="B4:B51" si="1">$B$2</f>
        <v>EU</v>
      </c>
      <c r="C4" s="199">
        <v>3</v>
      </c>
      <c r="D4" s="203" t="str">
        <f>Entrada_de_Dados_2!D4</f>
        <v>khjkhjkhkj</v>
      </c>
      <c r="E4" s="203" t="str">
        <f>Entrada_de_Dados_2!E4</f>
        <v>seJ</v>
      </c>
      <c r="F4" s="199" t="str">
        <f>Entrada_de_Dados_2!F4</f>
        <v>N</v>
      </c>
      <c r="G4" s="204">
        <f>Entrada_de_Dados_2!G4</f>
        <v>65</v>
      </c>
      <c r="H4" s="204">
        <f>Entrada_de_Dados_2!H4</f>
        <v>0</v>
      </c>
      <c r="I4" s="204">
        <f t="shared" si="0"/>
        <v>0</v>
      </c>
    </row>
    <row r="5" spans="1:9" ht="14.25">
      <c r="A5" s="202">
        <v>1</v>
      </c>
      <c r="B5" s="203" t="str">
        <f t="shared" si="1"/>
        <v>EU</v>
      </c>
      <c r="C5" s="199">
        <v>4</v>
      </c>
      <c r="D5" s="203" t="str">
        <f>Entrada_de_Dados_2!D5</f>
        <v>khjkhjkhkj</v>
      </c>
      <c r="E5" s="203" t="str">
        <f>Entrada_de_Dados_2!E5</f>
        <v>seJ</v>
      </c>
      <c r="F5" s="199" t="str">
        <f>Entrada_de_Dados_2!F5</f>
        <v>R</v>
      </c>
      <c r="G5" s="204">
        <f>Entrada_de_Dados_2!G5</f>
        <v>15</v>
      </c>
      <c r="H5" s="204">
        <f>Entrada_de_Dados_2!H5</f>
        <v>0</v>
      </c>
      <c r="I5" s="204">
        <f t="shared" si="0"/>
        <v>0</v>
      </c>
    </row>
    <row r="6" spans="1:9" ht="14.25">
      <c r="A6" s="202">
        <v>1</v>
      </c>
      <c r="B6" s="203" t="str">
        <f t="shared" si="1"/>
        <v>EU</v>
      </c>
      <c r="C6" s="199">
        <v>5</v>
      </c>
      <c r="D6" s="203" t="str">
        <f>Entrada_de_Dados_2!D6</f>
        <v>khjkhjkhkj</v>
      </c>
      <c r="E6" s="203" t="str">
        <f>Entrada_de_Dados_2!E6</f>
        <v>seJ</v>
      </c>
      <c r="F6" s="199" t="str">
        <f>Entrada_de_Dados_2!F6</f>
        <v>R</v>
      </c>
      <c r="G6" s="204">
        <f>Entrada_de_Dados_2!G6</f>
        <v>24</v>
      </c>
      <c r="H6" s="204">
        <f>Entrada_de_Dados_2!H6</f>
        <v>0</v>
      </c>
      <c r="I6" s="204">
        <f t="shared" si="0"/>
        <v>0</v>
      </c>
    </row>
    <row r="7" spans="1:9" ht="14.25">
      <c r="A7" s="202">
        <v>1</v>
      </c>
      <c r="B7" s="203" t="str">
        <f t="shared" si="1"/>
        <v>EU</v>
      </c>
      <c r="C7" s="199">
        <v>6</v>
      </c>
      <c r="D7" s="203" t="str">
        <f>Entrada_de_Dados_2!D7</f>
        <v>khjkhjkhkj</v>
      </c>
      <c r="E7" s="203" t="str">
        <f>Entrada_de_Dados_2!E7</f>
        <v>seJ</v>
      </c>
      <c r="F7" s="199" t="str">
        <f>Entrada_de_Dados_2!F7</f>
        <v>R</v>
      </c>
      <c r="G7" s="204">
        <f>Entrada_de_Dados_2!G7</f>
        <v>75</v>
      </c>
      <c r="H7" s="204">
        <f>Entrada_de_Dados_2!H7</f>
        <v>0</v>
      </c>
      <c r="I7" s="204">
        <f t="shared" si="0"/>
        <v>0</v>
      </c>
    </row>
    <row r="8" spans="1:9" ht="14.25">
      <c r="A8" s="202">
        <v>1</v>
      </c>
      <c r="B8" s="203" t="str">
        <f t="shared" si="1"/>
        <v>EU</v>
      </c>
      <c r="C8" s="199">
        <v>7</v>
      </c>
      <c r="D8" s="203" t="str">
        <f>Entrada_de_Dados_2!D8</f>
        <v>khjkhjkhkj</v>
      </c>
      <c r="E8" s="203" t="str">
        <f>Entrada_de_Dados_2!E8</f>
        <v>seJ</v>
      </c>
      <c r="F8" s="199" t="str">
        <f>Entrada_de_Dados_2!F8</f>
        <v>R</v>
      </c>
      <c r="G8" s="204">
        <f>Entrada_de_Dados_2!G8</f>
        <v>863</v>
      </c>
      <c r="H8" s="204">
        <f>Entrada_de_Dados_2!H8</f>
        <v>0</v>
      </c>
      <c r="I8" s="204">
        <f t="shared" si="0"/>
        <v>0</v>
      </c>
    </row>
    <row r="9" spans="1:9" ht="14.25">
      <c r="A9" s="202">
        <v>1</v>
      </c>
      <c r="B9" s="203" t="str">
        <f t="shared" si="1"/>
        <v>EU</v>
      </c>
      <c r="C9" s="199">
        <v>8</v>
      </c>
      <c r="D9" s="203" t="str">
        <f>Entrada_de_Dados_2!D9</f>
        <v>khjkhjkhkj</v>
      </c>
      <c r="E9" s="203" t="str">
        <f>Entrada_de_Dados_2!E9</f>
        <v>seJ</v>
      </c>
      <c r="F9" s="199" t="str">
        <f>Entrada_de_Dados_2!F9</f>
        <v>R</v>
      </c>
      <c r="G9" s="204">
        <f>Entrada_de_Dados_2!G9</f>
        <v>12</v>
      </c>
      <c r="H9" s="204">
        <f>Entrada_de_Dados_2!H9</f>
        <v>0</v>
      </c>
      <c r="I9" s="204">
        <f t="shared" si="0"/>
        <v>0</v>
      </c>
    </row>
    <row r="10" spans="1:9" ht="14.25">
      <c r="A10" s="202">
        <v>1</v>
      </c>
      <c r="B10" s="203" t="str">
        <f t="shared" si="1"/>
        <v>EU</v>
      </c>
      <c r="C10" s="199">
        <v>9</v>
      </c>
      <c r="D10" s="203" t="str">
        <f>Entrada_de_Dados_2!D10</f>
        <v>khjkhjkhkj</v>
      </c>
      <c r="E10" s="203" t="str">
        <f>Entrada_de_Dados_2!E10</f>
        <v>seJ</v>
      </c>
      <c r="F10" s="199" t="str">
        <f>Entrada_de_Dados_2!F10</f>
        <v>N</v>
      </c>
      <c r="G10" s="204">
        <f>Entrada_de_Dados_2!G10</f>
        <v>7452</v>
      </c>
      <c r="H10" s="204">
        <f>Entrada_de_Dados_2!H10</f>
        <v>0</v>
      </c>
      <c r="I10" s="204">
        <f t="shared" si="0"/>
        <v>0</v>
      </c>
    </row>
    <row r="11" spans="1:9" ht="14.25">
      <c r="A11" s="202">
        <v>1</v>
      </c>
      <c r="B11" s="203" t="str">
        <f t="shared" si="1"/>
        <v>EU</v>
      </c>
      <c r="C11" s="199">
        <v>10</v>
      </c>
      <c r="D11" s="203" t="str">
        <f>Entrada_de_Dados_2!D11</f>
        <v>khjkhjkhkj</v>
      </c>
      <c r="E11" s="203" t="str">
        <f>Entrada_de_Dados_2!E11</f>
        <v>seJ</v>
      </c>
      <c r="F11" s="199" t="str">
        <f>Entrada_de_Dados_2!F11</f>
        <v>R</v>
      </c>
      <c r="G11" s="204">
        <f>Entrada_de_Dados_2!G11</f>
        <v>452</v>
      </c>
      <c r="H11" s="204">
        <f>Entrada_de_Dados_2!H11</f>
        <v>0</v>
      </c>
      <c r="I11" s="204">
        <f t="shared" si="0"/>
        <v>0</v>
      </c>
    </row>
    <row r="12" spans="1:9" ht="14.25">
      <c r="A12" s="202">
        <v>1</v>
      </c>
      <c r="B12" s="203" t="str">
        <f t="shared" si="1"/>
        <v>EU</v>
      </c>
      <c r="C12" s="199">
        <v>11</v>
      </c>
      <c r="D12" s="203" t="str">
        <f>Entrada_de_Dados_2!D12</f>
        <v>khjkhjkhkj</v>
      </c>
      <c r="E12" s="203" t="str">
        <f>Entrada_de_Dados_2!E12</f>
        <v>seJ</v>
      </c>
      <c r="F12" s="199" t="str">
        <f>Entrada_de_Dados_2!F12</f>
        <v>R</v>
      </c>
      <c r="G12" s="204">
        <f>Entrada_de_Dados_2!G12</f>
        <v>424</v>
      </c>
      <c r="H12" s="204">
        <f>Entrada_de_Dados_2!H12</f>
        <v>0</v>
      </c>
      <c r="I12" s="204">
        <f t="shared" si="0"/>
        <v>0</v>
      </c>
    </row>
    <row r="13" spans="1:9" ht="14.25">
      <c r="A13" s="202">
        <v>1</v>
      </c>
      <c r="B13" s="203" t="str">
        <f t="shared" si="1"/>
        <v>EU</v>
      </c>
      <c r="C13" s="199">
        <v>12</v>
      </c>
      <c r="D13" s="203" t="str">
        <f>Entrada_de_Dados_2!D13</f>
        <v>khjkhjkhkj</v>
      </c>
      <c r="E13" s="203" t="str">
        <f>Entrada_de_Dados_2!E13</f>
        <v>seJ</v>
      </c>
      <c r="F13" s="199" t="str">
        <f>Entrada_de_Dados_2!F13</f>
        <v>R</v>
      </c>
      <c r="G13" s="204">
        <f>Entrada_de_Dados_2!G13</f>
        <v>24</v>
      </c>
      <c r="H13" s="204">
        <f>Entrada_de_Dados_2!H13</f>
        <v>0</v>
      </c>
      <c r="I13" s="204">
        <f t="shared" si="0"/>
        <v>0</v>
      </c>
    </row>
    <row r="14" spans="1:9" ht="14.25">
      <c r="A14" s="202">
        <v>1</v>
      </c>
      <c r="B14" s="203" t="str">
        <f t="shared" si="1"/>
        <v>EU</v>
      </c>
      <c r="C14" s="199">
        <v>13</v>
      </c>
      <c r="D14" s="203" t="str">
        <f>Entrada_de_Dados_2!D14</f>
        <v>khjkhjkhkj</v>
      </c>
      <c r="E14" s="203" t="str">
        <f>Entrada_de_Dados_2!E14</f>
        <v>seJ</v>
      </c>
      <c r="F14" s="199" t="str">
        <f>Entrada_de_Dados_2!F14</f>
        <v>R</v>
      </c>
      <c r="G14" s="204">
        <f>Entrada_de_Dados_2!G14</f>
        <v>24</v>
      </c>
      <c r="H14" s="204">
        <f>Entrada_de_Dados_2!H14</f>
        <v>0</v>
      </c>
      <c r="I14" s="204">
        <f t="shared" si="0"/>
        <v>0</v>
      </c>
    </row>
    <row r="15" spans="1:9" ht="14.25">
      <c r="A15" s="202">
        <v>1</v>
      </c>
      <c r="B15" s="203" t="str">
        <f t="shared" si="1"/>
        <v>EU</v>
      </c>
      <c r="C15" s="199">
        <v>14</v>
      </c>
      <c r="D15" s="203" t="str">
        <f>Entrada_de_Dados_2!D15</f>
        <v>khjkhjkhkj</v>
      </c>
      <c r="E15" s="203" t="str">
        <f>Entrada_de_Dados_2!E15</f>
        <v>seJ</v>
      </c>
      <c r="F15" s="199" t="str">
        <f>Entrada_de_Dados_2!F15</f>
        <v>R</v>
      </c>
      <c r="G15" s="204">
        <f>Entrada_de_Dados_2!G15</f>
        <v>24</v>
      </c>
      <c r="H15" s="204">
        <f>Entrada_de_Dados_2!H15</f>
        <v>0</v>
      </c>
      <c r="I15" s="204">
        <f t="shared" si="0"/>
        <v>0</v>
      </c>
    </row>
    <row r="16" spans="1:9" ht="14.25">
      <c r="A16" s="202">
        <v>1</v>
      </c>
      <c r="B16" s="203" t="str">
        <f t="shared" si="1"/>
        <v>EU</v>
      </c>
      <c r="C16" s="199">
        <v>15</v>
      </c>
      <c r="D16" s="203" t="str">
        <f>Entrada_de_Dados_2!D16</f>
        <v>khjkhjkhkj</v>
      </c>
      <c r="E16" s="203" t="str">
        <f>Entrada_de_Dados_2!E16</f>
        <v>seJ</v>
      </c>
      <c r="F16" s="199" t="str">
        <f>Entrada_de_Dados_2!F16</f>
        <v>N</v>
      </c>
      <c r="G16" s="204">
        <f>Entrada_de_Dados_2!G16</f>
        <v>52</v>
      </c>
      <c r="H16" s="204">
        <f>Entrada_de_Dados_2!H16</f>
        <v>0</v>
      </c>
      <c r="I16" s="204">
        <f t="shared" si="0"/>
        <v>0</v>
      </c>
    </row>
    <row r="17" spans="1:9" ht="14.25">
      <c r="A17" s="202">
        <v>1</v>
      </c>
      <c r="B17" s="203" t="str">
        <f t="shared" si="1"/>
        <v>EU</v>
      </c>
      <c r="C17" s="199">
        <v>16</v>
      </c>
      <c r="D17" s="203" t="str">
        <f>Entrada_de_Dados_2!D17</f>
        <v>khjkhjkhkj</v>
      </c>
      <c r="E17" s="203" t="str">
        <f>Entrada_de_Dados_2!E17</f>
        <v>seJ</v>
      </c>
      <c r="F17" s="199" t="str">
        <f>Entrada_de_Dados_2!F17</f>
        <v>F</v>
      </c>
      <c r="G17" s="204">
        <f>Entrada_de_Dados_2!G17</f>
        <v>45</v>
      </c>
      <c r="H17" s="204">
        <f>Entrada_de_Dados_2!H17</f>
        <v>0</v>
      </c>
      <c r="I17" s="204">
        <f t="shared" si="0"/>
        <v>0</v>
      </c>
    </row>
    <row r="18" spans="1:9" ht="14.25">
      <c r="A18" s="202">
        <v>1</v>
      </c>
      <c r="B18" s="203" t="str">
        <f t="shared" si="1"/>
        <v>EU</v>
      </c>
      <c r="C18" s="199">
        <v>17</v>
      </c>
      <c r="D18" s="203" t="str">
        <f>Entrada_de_Dados_2!D18</f>
        <v>khjkhjkhkj</v>
      </c>
      <c r="E18" s="203" t="str">
        <f>Entrada_de_Dados_2!E18</f>
        <v>seJ</v>
      </c>
      <c r="F18" s="199" t="str">
        <f>Entrada_de_Dados_2!F18</f>
        <v>F</v>
      </c>
      <c r="G18" s="204">
        <f>Entrada_de_Dados_2!G18</f>
        <v>4</v>
      </c>
      <c r="H18" s="204">
        <f>Entrada_de_Dados_2!H18</f>
        <v>0</v>
      </c>
      <c r="I18" s="204">
        <f t="shared" si="0"/>
        <v>0</v>
      </c>
    </row>
    <row r="19" spans="1:9" ht="14.25">
      <c r="A19" s="202">
        <v>1</v>
      </c>
      <c r="B19" s="203" t="str">
        <f t="shared" si="1"/>
        <v>EU</v>
      </c>
      <c r="C19" s="199">
        <v>18</v>
      </c>
      <c r="D19" s="203" t="str">
        <f>Entrada_de_Dados_2!D19</f>
        <v>khjkhjkhkj</v>
      </c>
      <c r="E19" s="203" t="str">
        <f>Entrada_de_Dados_2!E19</f>
        <v>seJ</v>
      </c>
      <c r="F19" s="199" t="str">
        <f>Entrada_de_Dados_2!F19</f>
        <v>F</v>
      </c>
      <c r="G19" s="204">
        <f>Entrada_de_Dados_2!G19</f>
        <v>57</v>
      </c>
      <c r="H19" s="204">
        <f>Entrada_de_Dados_2!H19</f>
        <v>0</v>
      </c>
      <c r="I19" s="204">
        <f t="shared" si="0"/>
        <v>0</v>
      </c>
    </row>
    <row r="20" spans="1:9" ht="14.25">
      <c r="A20" s="202">
        <v>1</v>
      </c>
      <c r="B20" s="203" t="str">
        <f t="shared" si="1"/>
        <v>EU</v>
      </c>
      <c r="C20" s="199">
        <v>19</v>
      </c>
      <c r="D20" s="203" t="str">
        <f>Entrada_de_Dados_2!D20</f>
        <v>khjkhjkhkj</v>
      </c>
      <c r="E20" s="203" t="str">
        <f>Entrada_de_Dados_2!E20</f>
        <v>seJ</v>
      </c>
      <c r="F20" s="199" t="str">
        <f>Entrada_de_Dados_2!F20</f>
        <v>R</v>
      </c>
      <c r="G20" s="204">
        <f>Entrada_de_Dados_2!G20</f>
        <v>57</v>
      </c>
      <c r="H20" s="204">
        <f>Entrada_de_Dados_2!H20</f>
        <v>0</v>
      </c>
      <c r="I20" s="204">
        <f t="shared" si="0"/>
        <v>0</v>
      </c>
    </row>
    <row r="21" spans="1:9" ht="14.25">
      <c r="A21" s="202">
        <v>1</v>
      </c>
      <c r="B21" s="203" t="str">
        <f t="shared" si="1"/>
        <v>EU</v>
      </c>
      <c r="C21" s="199">
        <v>20</v>
      </c>
      <c r="D21" s="203" t="str">
        <f>Entrada_de_Dados_2!D21</f>
        <v>khjkhjkhkj</v>
      </c>
      <c r="E21" s="203" t="str">
        <f>Entrada_de_Dados_2!E21</f>
        <v>seJ</v>
      </c>
      <c r="F21" s="199" t="str">
        <f>Entrada_de_Dados_2!F21</f>
        <v>R</v>
      </c>
      <c r="G21" s="204">
        <f>Entrada_de_Dados_2!G21</f>
        <v>23</v>
      </c>
      <c r="H21" s="204">
        <f>Entrada_de_Dados_2!H21</f>
        <v>0</v>
      </c>
      <c r="I21" s="204">
        <f t="shared" si="0"/>
        <v>0</v>
      </c>
    </row>
    <row r="22" spans="1:9" ht="14.25">
      <c r="A22" s="202">
        <v>1</v>
      </c>
      <c r="B22" s="203" t="str">
        <f t="shared" si="1"/>
        <v>EU</v>
      </c>
      <c r="C22" s="199">
        <v>21</v>
      </c>
      <c r="D22" s="203" t="str">
        <f>Entrada_de_Dados_2!D22</f>
        <v>khjkhjkhkj</v>
      </c>
      <c r="E22" s="203" t="str">
        <f>Entrada_de_Dados_2!E22</f>
        <v>seJ</v>
      </c>
      <c r="F22" s="199" t="str">
        <f>Entrada_de_Dados_2!F22</f>
        <v>N</v>
      </c>
      <c r="G22" s="204">
        <f>Entrada_de_Dados_2!G22</f>
        <v>72465765</v>
      </c>
      <c r="H22" s="204">
        <f>Entrada_de_Dados_2!H22</f>
        <v>0</v>
      </c>
      <c r="I22" s="204">
        <f t="shared" si="0"/>
        <v>0</v>
      </c>
    </row>
    <row r="23" spans="1:9" ht="14.25">
      <c r="A23" s="202">
        <v>1</v>
      </c>
      <c r="B23" s="203" t="str">
        <f t="shared" si="1"/>
        <v>EU</v>
      </c>
      <c r="C23" s="199">
        <v>22</v>
      </c>
      <c r="D23" s="203" t="str">
        <f>Entrada_de_Dados_2!D23</f>
        <v>khjkhjkhkj</v>
      </c>
      <c r="E23" s="203" t="str">
        <f>Entrada_de_Dados_2!E23</f>
        <v>seJ</v>
      </c>
      <c r="F23" s="199" t="str">
        <f>Entrada_de_Dados_2!F23</f>
        <v>F</v>
      </c>
      <c r="G23" s="204">
        <f>Entrada_de_Dados_2!G23</f>
        <v>4</v>
      </c>
      <c r="H23" s="204">
        <f>Entrada_de_Dados_2!H23</f>
        <v>0</v>
      </c>
      <c r="I23" s="204">
        <f t="shared" si="0"/>
        <v>0</v>
      </c>
    </row>
    <row r="24" spans="1:9" ht="14.25">
      <c r="A24" s="202">
        <v>1</v>
      </c>
      <c r="B24" s="203" t="str">
        <f t="shared" si="1"/>
        <v>EU</v>
      </c>
      <c r="C24" s="199">
        <v>23</v>
      </c>
      <c r="D24" s="203" t="str">
        <f>Entrada_de_Dados_2!D24</f>
        <v>khjkhjkhkj</v>
      </c>
      <c r="E24" s="203" t="str">
        <f>Entrada_de_Dados_2!E24</f>
        <v>seJ</v>
      </c>
      <c r="F24" s="199" t="str">
        <f>Entrada_de_Dados_2!F24</f>
        <v>F</v>
      </c>
      <c r="G24" s="204">
        <f>Entrada_de_Dados_2!G24</f>
        <v>24</v>
      </c>
      <c r="H24" s="204">
        <f>Entrada_de_Dados_2!H24</f>
        <v>0</v>
      </c>
      <c r="I24" s="204">
        <f t="shared" si="0"/>
        <v>0</v>
      </c>
    </row>
    <row r="25" spans="1:9" ht="14.25">
      <c r="A25" s="202">
        <v>1</v>
      </c>
      <c r="B25" s="203" t="str">
        <f t="shared" si="1"/>
        <v>EU</v>
      </c>
      <c r="C25" s="199">
        <v>24</v>
      </c>
      <c r="D25" s="203" t="str">
        <f>Entrada_de_Dados_2!D25</f>
        <v>khjkhjkhkj</v>
      </c>
      <c r="E25" s="203" t="str">
        <f>Entrada_de_Dados_2!E25</f>
        <v>seJ</v>
      </c>
      <c r="F25" s="199" t="str">
        <f>Entrada_de_Dados_2!F25</f>
        <v>R</v>
      </c>
      <c r="G25" s="204">
        <f>Entrada_de_Dados_2!G25</f>
        <v>574</v>
      </c>
      <c r="H25" s="204">
        <f>Entrada_de_Dados_2!H25</f>
        <v>0</v>
      </c>
      <c r="I25" s="204">
        <f t="shared" si="0"/>
        <v>0</v>
      </c>
    </row>
    <row r="26" spans="1:9" ht="14.25">
      <c r="A26" s="202">
        <v>1</v>
      </c>
      <c r="B26" s="203" t="str">
        <f t="shared" si="1"/>
        <v>EU</v>
      </c>
      <c r="C26" s="199">
        <v>25</v>
      </c>
      <c r="D26" s="203" t="str">
        <f>Entrada_de_Dados_2!D26</f>
        <v>khjkhjkhkj</v>
      </c>
      <c r="E26" s="203" t="str">
        <f>Entrada_de_Dados_2!E26</f>
        <v>seJ</v>
      </c>
      <c r="F26" s="199" t="str">
        <f>Entrada_de_Dados_2!F26</f>
        <v>R</v>
      </c>
      <c r="G26" s="204">
        <f>Entrada_de_Dados_2!G26</f>
        <v>4224</v>
      </c>
      <c r="H26" s="204">
        <f>Entrada_de_Dados_2!H26</f>
        <v>0</v>
      </c>
      <c r="I26" s="204">
        <f t="shared" si="0"/>
        <v>0</v>
      </c>
    </row>
    <row r="27" spans="1:9" ht="14.25">
      <c r="A27" s="202">
        <v>1</v>
      </c>
      <c r="B27" s="203" t="str">
        <f t="shared" si="1"/>
        <v>EU</v>
      </c>
      <c r="C27" s="199">
        <v>26</v>
      </c>
      <c r="D27" s="203" t="str">
        <f>Entrada_de_Dados_2!D27</f>
        <v>khjkhjkhkj</v>
      </c>
      <c r="E27" s="203" t="str">
        <f>Entrada_de_Dados_2!E27</f>
        <v>seJ</v>
      </c>
      <c r="F27" s="199" t="str">
        <f>Entrada_de_Dados_2!F27</f>
        <v>R</v>
      </c>
      <c r="G27" s="204">
        <f>Entrada_de_Dados_2!G27</f>
        <v>24</v>
      </c>
      <c r="H27" s="204">
        <f>Entrada_de_Dados_2!H27</f>
        <v>0</v>
      </c>
      <c r="I27" s="204">
        <f t="shared" si="0"/>
        <v>0</v>
      </c>
    </row>
    <row r="28" spans="1:9" ht="14.25">
      <c r="A28" s="202">
        <v>1</v>
      </c>
      <c r="B28" s="203" t="str">
        <f t="shared" si="1"/>
        <v>EU</v>
      </c>
      <c r="C28" s="199">
        <v>27</v>
      </c>
      <c r="D28" s="203" t="str">
        <f>Entrada_de_Dados_2!D28</f>
        <v>khjkhjkhkj</v>
      </c>
      <c r="E28" s="203" t="str">
        <f>Entrada_de_Dados_2!E28</f>
        <v>seJ</v>
      </c>
      <c r="F28" s="199" t="str">
        <f>Entrada_de_Dados_2!F28</f>
        <v>N</v>
      </c>
      <c r="G28" s="204">
        <f>Entrada_de_Dados_2!G28</f>
        <v>24</v>
      </c>
      <c r="H28" s="204">
        <f>Entrada_de_Dados_2!H28</f>
        <v>0</v>
      </c>
      <c r="I28" s="204">
        <f t="shared" si="0"/>
        <v>0</v>
      </c>
    </row>
    <row r="29" spans="1:9" ht="14.25">
      <c r="A29" s="202">
        <v>1</v>
      </c>
      <c r="B29" s="203" t="str">
        <f t="shared" si="1"/>
        <v>EU</v>
      </c>
      <c r="C29" s="199">
        <v>28</v>
      </c>
      <c r="D29" s="203" t="str">
        <f>Entrada_de_Dados_2!D29</f>
        <v>khjkhjkhkj</v>
      </c>
      <c r="E29" s="203" t="str">
        <f>Entrada_de_Dados_2!E29</f>
        <v>seJ</v>
      </c>
      <c r="F29" s="199" t="str">
        <f>Entrada_de_Dados_2!F29</f>
        <v>F</v>
      </c>
      <c r="G29" s="204">
        <f>Entrada_de_Dados_2!G29</f>
        <v>24</v>
      </c>
      <c r="H29" s="204">
        <f>Entrada_de_Dados_2!H29</f>
        <v>0</v>
      </c>
      <c r="I29" s="204">
        <f t="shared" si="0"/>
        <v>0</v>
      </c>
    </row>
    <row r="30" spans="1:9" ht="14.25">
      <c r="A30" s="202">
        <v>1</v>
      </c>
      <c r="B30" s="203" t="str">
        <f t="shared" si="1"/>
        <v>EU</v>
      </c>
      <c r="C30" s="199">
        <v>29</v>
      </c>
      <c r="D30" s="203" t="str">
        <f>Entrada_de_Dados_2!D30</f>
        <v>khjkhjkhkj</v>
      </c>
      <c r="E30" s="203" t="str">
        <f>Entrada_de_Dados_2!E30</f>
        <v>seJ</v>
      </c>
      <c r="F30" s="199" t="str">
        <f>Entrada_de_Dados_2!F30</f>
        <v>F</v>
      </c>
      <c r="G30" s="204">
        <f>Entrada_de_Dados_2!G30</f>
        <v>545</v>
      </c>
      <c r="H30" s="204">
        <f>Entrada_de_Dados_2!H30</f>
        <v>0</v>
      </c>
      <c r="I30" s="204">
        <f t="shared" si="0"/>
        <v>0</v>
      </c>
    </row>
    <row r="31" spans="1:9" ht="14.25">
      <c r="A31" s="202">
        <v>1</v>
      </c>
      <c r="B31" s="203" t="str">
        <f t="shared" si="1"/>
        <v>EU</v>
      </c>
      <c r="C31" s="199">
        <v>30</v>
      </c>
      <c r="D31" s="203" t="str">
        <f>Entrada_de_Dados_2!D31</f>
        <v>khjkhjkhkj</v>
      </c>
      <c r="E31" s="203" t="str">
        <f>Entrada_de_Dados_2!E31</f>
        <v>seJ</v>
      </c>
      <c r="F31" s="199" t="str">
        <f>Entrada_de_Dados_2!F31</f>
        <v>F</v>
      </c>
      <c r="G31" s="204">
        <f>Entrada_de_Dados_2!G31</f>
        <v>462414</v>
      </c>
      <c r="H31" s="204">
        <f>Entrada_de_Dados_2!H31</f>
        <v>0</v>
      </c>
      <c r="I31" s="204">
        <f t="shared" si="0"/>
        <v>0</v>
      </c>
    </row>
    <row r="32" spans="1:9" ht="14.25">
      <c r="A32" s="202">
        <v>1</v>
      </c>
      <c r="B32" s="203" t="str">
        <f t="shared" si="1"/>
        <v>EU</v>
      </c>
      <c r="C32" s="199">
        <v>31</v>
      </c>
      <c r="D32" s="203" t="str">
        <f>Entrada_de_Dados_2!D32</f>
        <v>khjkhjkhkj</v>
      </c>
      <c r="E32" s="203" t="str">
        <f>Entrada_de_Dados_2!E32</f>
        <v>seJ</v>
      </c>
      <c r="F32" s="199" t="str">
        <f>Entrada_de_Dados_2!F32</f>
        <v>R</v>
      </c>
      <c r="G32" s="204">
        <f>Entrada_de_Dados_2!G32</f>
        <v>274</v>
      </c>
      <c r="H32" s="204">
        <f>Entrada_de_Dados_2!H32</f>
        <v>0</v>
      </c>
      <c r="I32" s="204">
        <f t="shared" si="0"/>
        <v>0</v>
      </c>
    </row>
    <row r="33" spans="1:9" ht="14.25">
      <c r="A33" s="202">
        <v>1</v>
      </c>
      <c r="B33" s="203" t="str">
        <f t="shared" si="1"/>
        <v>EU</v>
      </c>
      <c r="C33" s="199">
        <v>32</v>
      </c>
      <c r="D33" s="203" t="str">
        <f>Entrada_de_Dados_2!D33</f>
        <v>khjkhjkhkj</v>
      </c>
      <c r="E33" s="203" t="str">
        <f>Entrada_de_Dados_2!E33</f>
        <v>seJ</v>
      </c>
      <c r="F33" s="199" t="str">
        <f>Entrada_de_Dados_2!F33</f>
        <v>R</v>
      </c>
      <c r="G33" s="204">
        <f>Entrada_de_Dados_2!G33</f>
        <v>2</v>
      </c>
      <c r="H33" s="204">
        <f>Entrada_de_Dados_2!H33</f>
        <v>0</v>
      </c>
      <c r="I33" s="204">
        <f t="shared" si="0"/>
        <v>0</v>
      </c>
    </row>
    <row r="34" spans="1:9" ht="14.25">
      <c r="A34" s="202">
        <v>1</v>
      </c>
      <c r="B34" s="203" t="str">
        <f t="shared" si="1"/>
        <v>EU</v>
      </c>
      <c r="C34" s="199">
        <v>33</v>
      </c>
      <c r="D34" s="203" t="str">
        <f>Entrada_de_Dados_2!D34</f>
        <v>khjkhjkhkj</v>
      </c>
      <c r="E34" s="203" t="str">
        <f>Entrada_de_Dados_2!E34</f>
        <v>seJ</v>
      </c>
      <c r="F34" s="199" t="str">
        <f>Entrada_de_Dados_2!F34</f>
        <v>N</v>
      </c>
      <c r="G34" s="204">
        <f>Entrada_de_Dados_2!G34</f>
        <v>72</v>
      </c>
      <c r="H34" s="204">
        <f>Entrada_de_Dados_2!H34</f>
        <v>0</v>
      </c>
      <c r="I34" s="204">
        <f t="shared" ref="I34:I51" si="2">G34*H34</f>
        <v>0</v>
      </c>
    </row>
    <row r="35" spans="1:9" ht="14.25">
      <c r="A35" s="202">
        <v>1</v>
      </c>
      <c r="B35" s="203" t="str">
        <f t="shared" si="1"/>
        <v>EU</v>
      </c>
      <c r="C35" s="199">
        <v>34</v>
      </c>
      <c r="D35" s="203" t="str">
        <f>Entrada_de_Dados_2!D35</f>
        <v>khjkhjkhkj</v>
      </c>
      <c r="E35" s="203" t="str">
        <f>Entrada_de_Dados_2!E35</f>
        <v>seJ</v>
      </c>
      <c r="F35" s="199" t="str">
        <f>Entrada_de_Dados_2!F35</f>
        <v>F</v>
      </c>
      <c r="G35" s="204">
        <f>Entrada_de_Dados_2!G35</f>
        <v>712</v>
      </c>
      <c r="H35" s="204">
        <f>Entrada_de_Dados_2!H35</f>
        <v>0</v>
      </c>
      <c r="I35" s="204">
        <f t="shared" si="2"/>
        <v>0</v>
      </c>
    </row>
    <row r="36" spans="1:9" ht="14.25">
      <c r="A36" s="202">
        <v>1</v>
      </c>
      <c r="B36" s="203" t="str">
        <f t="shared" si="1"/>
        <v>EU</v>
      </c>
      <c r="C36" s="199">
        <v>35</v>
      </c>
      <c r="D36" s="203" t="str">
        <f>Entrada_de_Dados_2!D36</f>
        <v>khjkhjkhkj</v>
      </c>
      <c r="E36" s="203" t="str">
        <f>Entrada_de_Dados_2!E36</f>
        <v>seJ</v>
      </c>
      <c r="F36" s="199" t="str">
        <f>Entrada_de_Dados_2!F36</f>
        <v>F</v>
      </c>
      <c r="G36" s="204">
        <f>Entrada_de_Dados_2!G36</f>
        <v>71</v>
      </c>
      <c r="H36" s="204">
        <f>Entrada_de_Dados_2!H36</f>
        <v>0</v>
      </c>
      <c r="I36" s="204">
        <f t="shared" si="2"/>
        <v>0</v>
      </c>
    </row>
    <row r="37" spans="1:9" ht="14.25">
      <c r="A37" s="202">
        <v>1</v>
      </c>
      <c r="B37" s="203" t="str">
        <f t="shared" si="1"/>
        <v>EU</v>
      </c>
      <c r="C37" s="199">
        <v>36</v>
      </c>
      <c r="D37" s="203" t="str">
        <f>Entrada_de_Dados_2!D37</f>
        <v>khjkhjkhkj</v>
      </c>
      <c r="E37" s="203" t="str">
        <f>Entrada_de_Dados_2!E37</f>
        <v>seJ</v>
      </c>
      <c r="F37" s="199" t="str">
        <f>Entrada_de_Dados_2!F37</f>
        <v>F</v>
      </c>
      <c r="G37" s="204">
        <f>Entrada_de_Dados_2!G37</f>
        <v>7</v>
      </c>
      <c r="H37" s="204">
        <f>Entrada_de_Dados_2!H37</f>
        <v>0</v>
      </c>
      <c r="I37" s="204">
        <f t="shared" si="2"/>
        <v>0</v>
      </c>
    </row>
    <row r="38" spans="1:9" ht="14.25">
      <c r="A38" s="202">
        <v>1</v>
      </c>
      <c r="B38" s="203" t="str">
        <f t="shared" si="1"/>
        <v>EU</v>
      </c>
      <c r="C38" s="199">
        <v>37</v>
      </c>
      <c r="D38" s="203" t="str">
        <f>Entrada_de_Dados_2!D38</f>
        <v>khjkhjkhkj</v>
      </c>
      <c r="E38" s="203" t="str">
        <f>Entrada_de_Dados_2!E38</f>
        <v>seJ</v>
      </c>
      <c r="F38" s="199" t="str">
        <f>Entrada_de_Dados_2!F38</f>
        <v>R</v>
      </c>
      <c r="G38" s="204">
        <f>Entrada_de_Dados_2!G38</f>
        <v>7</v>
      </c>
      <c r="H38" s="204">
        <f>Entrada_de_Dados_2!H38</f>
        <v>0</v>
      </c>
      <c r="I38" s="204">
        <f t="shared" si="2"/>
        <v>0</v>
      </c>
    </row>
    <row r="39" spans="1:9" ht="14.25">
      <c r="A39" s="202">
        <v>1</v>
      </c>
      <c r="B39" s="203" t="str">
        <f t="shared" si="1"/>
        <v>EU</v>
      </c>
      <c r="C39" s="199">
        <v>38</v>
      </c>
      <c r="D39" s="203" t="str">
        <f>Entrada_de_Dados_2!D39</f>
        <v>khjkhjkhkj</v>
      </c>
      <c r="E39" s="203" t="str">
        <f>Entrada_de_Dados_2!E39</f>
        <v>seJ</v>
      </c>
      <c r="F39" s="199" t="str">
        <f>Entrada_de_Dados_2!F39</f>
        <v>R</v>
      </c>
      <c r="G39" s="204">
        <f>Entrada_de_Dados_2!G39</f>
        <v>27</v>
      </c>
      <c r="H39" s="204">
        <f>Entrada_de_Dados_2!H39</f>
        <v>0</v>
      </c>
      <c r="I39" s="204">
        <f t="shared" si="2"/>
        <v>0</v>
      </c>
    </row>
    <row r="40" spans="1:9" ht="14.25">
      <c r="A40" s="202">
        <v>1</v>
      </c>
      <c r="B40" s="203" t="str">
        <f t="shared" si="1"/>
        <v>EU</v>
      </c>
      <c r="C40" s="199">
        <v>39</v>
      </c>
      <c r="D40" s="203" t="str">
        <f>Entrada_de_Dados_2!D40</f>
        <v>khjkhjkhkj</v>
      </c>
      <c r="E40" s="203" t="str">
        <f>Entrada_de_Dados_2!E40</f>
        <v>seJ</v>
      </c>
      <c r="F40" s="199" t="str">
        <f>Entrada_de_Dados_2!F40</f>
        <v>N</v>
      </c>
      <c r="G40" s="204">
        <f>Entrada_de_Dados_2!G40</f>
        <v>27</v>
      </c>
      <c r="H40" s="204">
        <f>Entrada_de_Dados_2!H40</f>
        <v>0</v>
      </c>
      <c r="I40" s="204">
        <f t="shared" si="2"/>
        <v>0</v>
      </c>
    </row>
    <row r="41" spans="1:9" ht="14.25">
      <c r="A41" s="202">
        <v>1</v>
      </c>
      <c r="B41" s="203" t="str">
        <f t="shared" si="1"/>
        <v>EU</v>
      </c>
      <c r="C41" s="199">
        <v>40</v>
      </c>
      <c r="D41" s="203" t="str">
        <f>Entrada_de_Dados_2!D41</f>
        <v>khjkhjkhkj</v>
      </c>
      <c r="E41" s="203" t="str">
        <f>Entrada_de_Dados_2!E41</f>
        <v>seJ</v>
      </c>
      <c r="F41" s="199" t="str">
        <f>Entrada_de_Dados_2!F41</f>
        <v>R</v>
      </c>
      <c r="G41" s="204">
        <f>Entrada_de_Dados_2!G41</f>
        <v>4</v>
      </c>
      <c r="H41" s="204">
        <f>Entrada_de_Dados_2!H41</f>
        <v>0</v>
      </c>
      <c r="I41" s="204">
        <f t="shared" si="2"/>
        <v>0</v>
      </c>
    </row>
    <row r="42" spans="1:9" ht="14.25">
      <c r="A42" s="202">
        <v>1</v>
      </c>
      <c r="B42" s="203" t="str">
        <f t="shared" si="1"/>
        <v>EU</v>
      </c>
      <c r="C42" s="199">
        <v>41</v>
      </c>
      <c r="D42" s="203" t="str">
        <f>Entrada_de_Dados_2!D42</f>
        <v>khjkhjkhkj</v>
      </c>
      <c r="E42" s="203" t="str">
        <f>Entrada_de_Dados_2!E42</f>
        <v>seJ</v>
      </c>
      <c r="F42" s="199" t="str">
        <f>Entrada_de_Dados_2!F42</f>
        <v>R</v>
      </c>
      <c r="G42" s="204">
        <f>Entrada_de_Dados_2!G42</f>
        <v>7527</v>
      </c>
      <c r="H42" s="204">
        <f>Entrada_de_Dados_2!H42</f>
        <v>0</v>
      </c>
      <c r="I42" s="204">
        <f t="shared" si="2"/>
        <v>0</v>
      </c>
    </row>
    <row r="43" spans="1:9" ht="14.25">
      <c r="A43" s="202">
        <v>1</v>
      </c>
      <c r="B43" s="203" t="str">
        <f t="shared" si="1"/>
        <v>EU</v>
      </c>
      <c r="C43" s="199">
        <v>42</v>
      </c>
      <c r="D43" s="203" t="str">
        <f>Entrada_de_Dados_2!D43</f>
        <v>khjkhjkhkj</v>
      </c>
      <c r="E43" s="203" t="str">
        <f>Entrada_de_Dados_2!E43</f>
        <v>seJ</v>
      </c>
      <c r="F43" s="199" t="str">
        <f>Entrada_de_Dados_2!F43</f>
        <v>R</v>
      </c>
      <c r="G43" s="204">
        <f>Entrada_de_Dados_2!G43</f>
        <v>7527</v>
      </c>
      <c r="H43" s="204">
        <f>Entrada_de_Dados_2!H43</f>
        <v>0</v>
      </c>
      <c r="I43" s="204">
        <f t="shared" si="2"/>
        <v>0</v>
      </c>
    </row>
    <row r="44" spans="1:9" ht="14.25">
      <c r="A44" s="202">
        <v>1</v>
      </c>
      <c r="B44" s="203" t="str">
        <f t="shared" si="1"/>
        <v>EU</v>
      </c>
      <c r="C44" s="199">
        <v>43</v>
      </c>
      <c r="D44" s="203" t="str">
        <f>Entrada_de_Dados_2!D44</f>
        <v>khjkhjkhkj</v>
      </c>
      <c r="E44" s="203" t="str">
        <f>Entrada_de_Dados_2!E44</f>
        <v>seJ</v>
      </c>
      <c r="F44" s="199" t="str">
        <f>Entrada_de_Dados_2!F44</f>
        <v>R</v>
      </c>
      <c r="G44" s="204">
        <f>Entrada_de_Dados_2!G44</f>
        <v>527</v>
      </c>
      <c r="H44" s="204">
        <f>Entrada_de_Dados_2!H44</f>
        <v>0</v>
      </c>
      <c r="I44" s="204">
        <f t="shared" si="2"/>
        <v>0</v>
      </c>
    </row>
    <row r="45" spans="1:9" ht="14.25">
      <c r="A45" s="202">
        <v>1</v>
      </c>
      <c r="B45" s="203" t="str">
        <f t="shared" si="1"/>
        <v>EU</v>
      </c>
      <c r="C45" s="199">
        <v>44</v>
      </c>
      <c r="D45" s="203" t="str">
        <f>Entrada_de_Dados_2!D45</f>
        <v>khjkhjkhkj</v>
      </c>
      <c r="E45" s="203" t="str">
        <f>Entrada_de_Dados_2!E45</f>
        <v>seJ</v>
      </c>
      <c r="F45" s="199" t="str">
        <f>Entrada_de_Dados_2!F45</f>
        <v>R</v>
      </c>
      <c r="G45" s="204">
        <f>Entrada_de_Dados_2!G45</f>
        <v>52</v>
      </c>
      <c r="H45" s="204">
        <f>Entrada_de_Dados_2!H45</f>
        <v>0</v>
      </c>
      <c r="I45" s="204">
        <f t="shared" si="2"/>
        <v>0</v>
      </c>
    </row>
    <row r="46" spans="1:9" ht="14.25">
      <c r="A46" s="202">
        <v>1</v>
      </c>
      <c r="B46" s="203" t="str">
        <f t="shared" si="1"/>
        <v>EU</v>
      </c>
      <c r="C46" s="199">
        <v>45</v>
      </c>
      <c r="D46" s="203" t="str">
        <f>Entrada_de_Dados_2!D46</f>
        <v>khjkhjkhkj</v>
      </c>
      <c r="E46" s="203" t="str">
        <f>Entrada_de_Dados_2!E46</f>
        <v>seJ</v>
      </c>
      <c r="F46" s="199" t="str">
        <f>Entrada_de_Dados_2!F46</f>
        <v>N</v>
      </c>
      <c r="G46" s="204">
        <f>Entrada_de_Dados_2!G46</f>
        <v>7452452452</v>
      </c>
      <c r="H46" s="204">
        <f>Entrada_de_Dados_2!H46</f>
        <v>0</v>
      </c>
      <c r="I46" s="204">
        <f t="shared" si="2"/>
        <v>0</v>
      </c>
    </row>
    <row r="47" spans="1:9" ht="14.25">
      <c r="A47" s="202">
        <v>1</v>
      </c>
      <c r="B47" s="203" t="str">
        <f t="shared" si="1"/>
        <v>EU</v>
      </c>
      <c r="C47" s="199">
        <v>46</v>
      </c>
      <c r="D47" s="203" t="str">
        <f>Entrada_de_Dados_2!D47</f>
        <v>khjkhjkhkj</v>
      </c>
      <c r="E47" s="203" t="str">
        <f>Entrada_de_Dados_2!E47</f>
        <v>seJ</v>
      </c>
      <c r="F47" s="199" t="str">
        <f>Entrada_de_Dados_2!F47</f>
        <v>R</v>
      </c>
      <c r="G47" s="204">
        <f>Entrada_de_Dados_2!G47</f>
        <v>7</v>
      </c>
      <c r="H47" s="204">
        <f>Entrada_de_Dados_2!H47</f>
        <v>0</v>
      </c>
      <c r="I47" s="204">
        <f t="shared" si="2"/>
        <v>0</v>
      </c>
    </row>
    <row r="48" spans="1:9" ht="14.25">
      <c r="A48" s="202">
        <v>1</v>
      </c>
      <c r="B48" s="203" t="str">
        <f t="shared" si="1"/>
        <v>EU</v>
      </c>
      <c r="C48" s="199">
        <v>47</v>
      </c>
      <c r="D48" s="203" t="str">
        <f>Entrada_de_Dados_2!D48</f>
        <v>khjkhjkhkj</v>
      </c>
      <c r="E48" s="203" t="str">
        <f>Entrada_de_Dados_2!E48</f>
        <v>seJ</v>
      </c>
      <c r="F48" s="199" t="str">
        <f>Entrada_de_Dados_2!F48</f>
        <v>R</v>
      </c>
      <c r="G48" s="204">
        <f>Entrada_de_Dados_2!G48</f>
        <v>2727</v>
      </c>
      <c r="H48" s="204">
        <f>Entrada_de_Dados_2!H48</f>
        <v>0</v>
      </c>
      <c r="I48" s="204">
        <f t="shared" si="2"/>
        <v>0</v>
      </c>
    </row>
    <row r="49" spans="1:11" ht="14.25">
      <c r="A49" s="202">
        <v>1</v>
      </c>
      <c r="B49" s="203" t="str">
        <f t="shared" si="1"/>
        <v>EU</v>
      </c>
      <c r="C49" s="199">
        <v>48</v>
      </c>
      <c r="D49" s="203" t="str">
        <f>Entrada_de_Dados_2!D49</f>
        <v>khjkhjkhkj</v>
      </c>
      <c r="E49" s="203" t="str">
        <f>Entrada_de_Dados_2!E49</f>
        <v>seJ</v>
      </c>
      <c r="F49" s="199" t="str">
        <f>Entrada_de_Dados_2!F49</f>
        <v>R</v>
      </c>
      <c r="G49" s="204">
        <f>Entrada_de_Dados_2!G49</f>
        <v>2</v>
      </c>
      <c r="H49" s="204">
        <f>Entrada_de_Dados_2!H49</f>
        <v>0</v>
      </c>
      <c r="I49" s="204">
        <f t="shared" si="2"/>
        <v>0</v>
      </c>
    </row>
    <row r="50" spans="1:11" ht="14.25">
      <c r="A50" s="202">
        <v>1</v>
      </c>
      <c r="B50" s="203" t="str">
        <f t="shared" si="1"/>
        <v>EU</v>
      </c>
      <c r="C50" s="199">
        <v>49</v>
      </c>
      <c r="D50" s="203" t="str">
        <f>Entrada_de_Dados_2!D50</f>
        <v>khjkhjkhkj</v>
      </c>
      <c r="E50" s="203" t="str">
        <f>Entrada_de_Dados_2!E50</f>
        <v>seJ</v>
      </c>
      <c r="F50" s="199" t="str">
        <f>Entrada_de_Dados_2!F50</f>
        <v>R</v>
      </c>
      <c r="G50" s="204">
        <f>Entrada_de_Dados_2!G50</f>
        <v>85</v>
      </c>
      <c r="H50" s="204">
        <f>Entrada_de_Dados_2!H50</f>
        <v>0</v>
      </c>
      <c r="I50" s="204">
        <f t="shared" si="2"/>
        <v>0</v>
      </c>
    </row>
    <row r="51" spans="1:11" ht="14.25">
      <c r="A51" s="202">
        <v>1</v>
      </c>
      <c r="B51" s="203" t="str">
        <f t="shared" si="1"/>
        <v>EU</v>
      </c>
      <c r="C51" s="199">
        <v>50</v>
      </c>
      <c r="D51" s="203" t="str">
        <f>Entrada_de_Dados_2!D51</f>
        <v>khjkhjkhkj</v>
      </c>
      <c r="E51" s="203" t="str">
        <f>Entrada_de_Dados_2!E51</f>
        <v>seJ</v>
      </c>
      <c r="F51" s="213" t="str">
        <f>Entrada_de_Dados_2!F51</f>
        <v>R</v>
      </c>
      <c r="G51" s="219">
        <f>Entrada_de_Dados_2!G51</f>
        <v>7527</v>
      </c>
      <c r="H51" s="219">
        <f>Entrada_de_Dados_2!H51</f>
        <v>0</v>
      </c>
      <c r="I51" s="219">
        <f t="shared" si="2"/>
        <v>0</v>
      </c>
    </row>
    <row r="52" spans="1:11" ht="14.25">
      <c r="A52" s="202"/>
      <c r="B52" s="203"/>
      <c r="F52" s="205" t="s">
        <v>17</v>
      </c>
      <c r="G52" s="206" t="e">
        <f>I52/I55</f>
        <v>#DIV/0!</v>
      </c>
      <c r="H52" s="205" t="s">
        <v>5</v>
      </c>
      <c r="I52" s="207">
        <f>SUMIF($F$2:$F$51,H52,$I$2:$I$51)</f>
        <v>0</v>
      </c>
    </row>
    <row r="53" spans="1:11" ht="14.25">
      <c r="A53" s="202"/>
      <c r="B53" s="203"/>
      <c r="F53" s="205" t="s">
        <v>18</v>
      </c>
      <c r="G53" s="206" t="e">
        <f>I53/I55</f>
        <v>#DIV/0!</v>
      </c>
      <c r="H53" s="205" t="s">
        <v>6</v>
      </c>
      <c r="I53" s="207">
        <f>SUMIF($F$2:$F$51,H53,$I$2:$I$51)</f>
        <v>0</v>
      </c>
    </row>
    <row r="54" spans="1:11" ht="14.25">
      <c r="A54" s="202"/>
      <c r="B54" s="203"/>
      <c r="F54" s="205" t="s">
        <v>19</v>
      </c>
      <c r="G54" s="206" t="e">
        <f>I54/I55</f>
        <v>#DIV/0!</v>
      </c>
      <c r="H54" s="205" t="s">
        <v>7</v>
      </c>
      <c r="I54" s="207">
        <f>SUMIF($F$2:$F$51,H54,$I$2:$I$51)</f>
        <v>0</v>
      </c>
    </row>
    <row r="55" spans="1:11" ht="14.25">
      <c r="A55" s="211"/>
      <c r="B55" s="212"/>
      <c r="C55" s="213"/>
      <c r="D55" s="214"/>
      <c r="E55" s="214"/>
      <c r="F55" s="215" t="s">
        <v>20</v>
      </c>
      <c r="G55" s="216" t="e">
        <f>SUM(G52:G54)</f>
        <v>#DIV/0!</v>
      </c>
      <c r="H55" s="215" t="s">
        <v>21</v>
      </c>
      <c r="I55" s="217">
        <f>SUM(I52:I54)</f>
        <v>0</v>
      </c>
    </row>
    <row r="56" spans="1:11" ht="14.25">
      <c r="A56" s="202">
        <v>2</v>
      </c>
      <c r="B56" s="203">
        <f>Entrada_de_Dados_2!B52</f>
        <v>0</v>
      </c>
      <c r="C56" s="199">
        <v>1</v>
      </c>
      <c r="D56" s="203">
        <f>Entrada_de_Dados_2!D52</f>
        <v>0</v>
      </c>
      <c r="E56" s="203">
        <f>Entrada_de_Dados_2!E52</f>
        <v>0</v>
      </c>
      <c r="F56" s="199">
        <f>Entrada_de_Dados_2!F52</f>
        <v>0</v>
      </c>
      <c r="G56" s="204">
        <f>Entrada_de_Dados_2!G52</f>
        <v>0</v>
      </c>
      <c r="H56" s="204">
        <f>Entrada_de_Dados_2!H52</f>
        <v>0</v>
      </c>
      <c r="I56" s="204">
        <f t="shared" ref="I56:I87" si="3">G56*H56</f>
        <v>0</v>
      </c>
      <c r="K56" s="199"/>
    </row>
    <row r="57" spans="1:11" ht="14.25">
      <c r="A57" s="202">
        <v>2</v>
      </c>
      <c r="B57" s="203">
        <f>$B$56</f>
        <v>0</v>
      </c>
      <c r="C57" s="199">
        <v>2</v>
      </c>
      <c r="D57" s="203">
        <f>Entrada_de_Dados_2!D53</f>
        <v>0</v>
      </c>
      <c r="E57" s="203">
        <f>Entrada_de_Dados_2!E53</f>
        <v>0</v>
      </c>
      <c r="F57" s="199">
        <f>Entrada_de_Dados_2!F53</f>
        <v>0</v>
      </c>
      <c r="G57" s="204">
        <f>Entrada_de_Dados_2!G53</f>
        <v>0</v>
      </c>
      <c r="H57" s="204">
        <f>Entrada_de_Dados_2!H53</f>
        <v>0</v>
      </c>
      <c r="I57" s="204">
        <f t="shared" si="3"/>
        <v>0</v>
      </c>
      <c r="K57" s="199"/>
    </row>
    <row r="58" spans="1:11" ht="14.25">
      <c r="A58" s="202">
        <v>2</v>
      </c>
      <c r="B58" s="203">
        <f t="shared" ref="B58:B105" si="4">$B$56</f>
        <v>0</v>
      </c>
      <c r="C58" s="199">
        <v>3</v>
      </c>
      <c r="D58" s="203">
        <f>Entrada_de_Dados_2!D54</f>
        <v>0</v>
      </c>
      <c r="E58" s="203">
        <f>Entrada_de_Dados_2!E54</f>
        <v>0</v>
      </c>
      <c r="F58" s="199">
        <f>Entrada_de_Dados_2!F54</f>
        <v>0</v>
      </c>
      <c r="G58" s="204">
        <f>Entrada_de_Dados_2!G54</f>
        <v>0</v>
      </c>
      <c r="H58" s="204">
        <f>Entrada_de_Dados_2!H54</f>
        <v>0</v>
      </c>
      <c r="I58" s="204">
        <f t="shared" si="3"/>
        <v>0</v>
      </c>
    </row>
    <row r="59" spans="1:11" ht="14.25">
      <c r="A59" s="202">
        <v>2</v>
      </c>
      <c r="B59" s="203">
        <f t="shared" si="4"/>
        <v>0</v>
      </c>
      <c r="C59" s="199">
        <v>4</v>
      </c>
      <c r="D59" s="203">
        <f>Entrada_de_Dados_2!D55</f>
        <v>0</v>
      </c>
      <c r="E59" s="203">
        <f>Entrada_de_Dados_2!E55</f>
        <v>0</v>
      </c>
      <c r="F59" s="199">
        <f>Entrada_de_Dados_2!F55</f>
        <v>0</v>
      </c>
      <c r="G59" s="204">
        <f>Entrada_de_Dados_2!G55</f>
        <v>0</v>
      </c>
      <c r="H59" s="204">
        <f>Entrada_de_Dados_2!H55</f>
        <v>0</v>
      </c>
      <c r="I59" s="204">
        <f t="shared" si="3"/>
        <v>0</v>
      </c>
    </row>
    <row r="60" spans="1:11" ht="14.25">
      <c r="A60" s="202">
        <v>2</v>
      </c>
      <c r="B60" s="203">
        <f t="shared" si="4"/>
        <v>0</v>
      </c>
      <c r="C60" s="199">
        <v>5</v>
      </c>
      <c r="D60" s="203">
        <f>Entrada_de_Dados_2!D56</f>
        <v>0</v>
      </c>
      <c r="E60" s="203">
        <f>Entrada_de_Dados_2!E56</f>
        <v>0</v>
      </c>
      <c r="F60" s="199">
        <f>Entrada_de_Dados_2!F56</f>
        <v>0</v>
      </c>
      <c r="G60" s="204">
        <f>Entrada_de_Dados_2!G56</f>
        <v>0</v>
      </c>
      <c r="H60" s="204">
        <f>Entrada_de_Dados_2!H56</f>
        <v>0</v>
      </c>
      <c r="I60" s="204">
        <f t="shared" si="3"/>
        <v>0</v>
      </c>
    </row>
    <row r="61" spans="1:11" ht="14.25">
      <c r="A61" s="202">
        <v>2</v>
      </c>
      <c r="B61" s="203">
        <f t="shared" si="4"/>
        <v>0</v>
      </c>
      <c r="C61" s="199">
        <v>6</v>
      </c>
      <c r="D61" s="203">
        <f>Entrada_de_Dados_2!D57</f>
        <v>0</v>
      </c>
      <c r="E61" s="203">
        <f>Entrada_de_Dados_2!E57</f>
        <v>0</v>
      </c>
      <c r="F61" s="199">
        <f>Entrada_de_Dados_2!F57</f>
        <v>0</v>
      </c>
      <c r="G61" s="204">
        <f>Entrada_de_Dados_2!G57</f>
        <v>0</v>
      </c>
      <c r="H61" s="204">
        <f>Entrada_de_Dados_2!H57</f>
        <v>0</v>
      </c>
      <c r="I61" s="204">
        <f t="shared" si="3"/>
        <v>0</v>
      </c>
    </row>
    <row r="62" spans="1:11" ht="14.25">
      <c r="A62" s="202">
        <v>2</v>
      </c>
      <c r="B62" s="203">
        <f t="shared" si="4"/>
        <v>0</v>
      </c>
      <c r="C62" s="199">
        <v>7</v>
      </c>
      <c r="D62" s="203">
        <f>Entrada_de_Dados_2!D58</f>
        <v>0</v>
      </c>
      <c r="E62" s="203">
        <f>Entrada_de_Dados_2!E58</f>
        <v>0</v>
      </c>
      <c r="F62" s="199">
        <f>Entrada_de_Dados_2!F58</f>
        <v>0</v>
      </c>
      <c r="G62" s="204">
        <f>Entrada_de_Dados_2!G58</f>
        <v>0</v>
      </c>
      <c r="H62" s="204">
        <f>Entrada_de_Dados_2!H58</f>
        <v>0</v>
      </c>
      <c r="I62" s="204">
        <f t="shared" si="3"/>
        <v>0</v>
      </c>
    </row>
    <row r="63" spans="1:11" ht="14.25">
      <c r="A63" s="202">
        <v>2</v>
      </c>
      <c r="B63" s="203">
        <f t="shared" si="4"/>
        <v>0</v>
      </c>
      <c r="C63" s="199">
        <v>8</v>
      </c>
      <c r="D63" s="203">
        <f>Entrada_de_Dados_2!D59</f>
        <v>0</v>
      </c>
      <c r="E63" s="203">
        <f>Entrada_de_Dados_2!E59</f>
        <v>0</v>
      </c>
      <c r="F63" s="199">
        <f>Entrada_de_Dados_2!F59</f>
        <v>0</v>
      </c>
      <c r="G63" s="204">
        <f>Entrada_de_Dados_2!G59</f>
        <v>0</v>
      </c>
      <c r="H63" s="204">
        <f>Entrada_de_Dados_2!H59</f>
        <v>0</v>
      </c>
      <c r="I63" s="204">
        <f t="shared" si="3"/>
        <v>0</v>
      </c>
    </row>
    <row r="64" spans="1:11" ht="14.25">
      <c r="A64" s="202">
        <v>2</v>
      </c>
      <c r="B64" s="203">
        <f t="shared" si="4"/>
        <v>0</v>
      </c>
      <c r="C64" s="199">
        <v>9</v>
      </c>
      <c r="D64" s="203">
        <f>Entrada_de_Dados_2!D60</f>
        <v>0</v>
      </c>
      <c r="E64" s="203">
        <f>Entrada_de_Dados_2!E60</f>
        <v>0</v>
      </c>
      <c r="F64" s="199">
        <f>Entrada_de_Dados_2!F60</f>
        <v>0</v>
      </c>
      <c r="G64" s="204">
        <f>Entrada_de_Dados_2!G60</f>
        <v>0</v>
      </c>
      <c r="H64" s="204">
        <f>Entrada_de_Dados_2!H60</f>
        <v>0</v>
      </c>
      <c r="I64" s="204">
        <f t="shared" si="3"/>
        <v>0</v>
      </c>
    </row>
    <row r="65" spans="1:9" ht="14.25">
      <c r="A65" s="202">
        <v>2</v>
      </c>
      <c r="B65" s="203">
        <f t="shared" si="4"/>
        <v>0</v>
      </c>
      <c r="C65" s="199">
        <v>10</v>
      </c>
      <c r="D65" s="203">
        <f>Entrada_de_Dados_2!D61</f>
        <v>0</v>
      </c>
      <c r="E65" s="203">
        <f>Entrada_de_Dados_2!E61</f>
        <v>0</v>
      </c>
      <c r="F65" s="199">
        <f>Entrada_de_Dados_2!F61</f>
        <v>0</v>
      </c>
      <c r="G65" s="204">
        <f>Entrada_de_Dados_2!G61</f>
        <v>0</v>
      </c>
      <c r="H65" s="204">
        <f>Entrada_de_Dados_2!H61</f>
        <v>0</v>
      </c>
      <c r="I65" s="204">
        <f t="shared" si="3"/>
        <v>0</v>
      </c>
    </row>
    <row r="66" spans="1:9" ht="14.25">
      <c r="A66" s="202">
        <v>2</v>
      </c>
      <c r="B66" s="203">
        <f t="shared" si="4"/>
        <v>0</v>
      </c>
      <c r="C66" s="199">
        <v>11</v>
      </c>
      <c r="D66" s="203">
        <f>Entrada_de_Dados_2!D62</f>
        <v>0</v>
      </c>
      <c r="E66" s="203">
        <f>Entrada_de_Dados_2!E62</f>
        <v>0</v>
      </c>
      <c r="F66" s="199">
        <f>Entrada_de_Dados_2!F62</f>
        <v>0</v>
      </c>
      <c r="G66" s="204">
        <f>Entrada_de_Dados_2!G62</f>
        <v>0</v>
      </c>
      <c r="H66" s="204">
        <f>Entrada_de_Dados_2!H62</f>
        <v>0</v>
      </c>
      <c r="I66" s="204">
        <f t="shared" si="3"/>
        <v>0</v>
      </c>
    </row>
    <row r="67" spans="1:9" ht="14.25">
      <c r="A67" s="202">
        <v>2</v>
      </c>
      <c r="B67" s="203">
        <f t="shared" si="4"/>
        <v>0</v>
      </c>
      <c r="C67" s="199">
        <v>12</v>
      </c>
      <c r="D67" s="203">
        <f>Entrada_de_Dados_2!D63</f>
        <v>0</v>
      </c>
      <c r="E67" s="203">
        <f>Entrada_de_Dados_2!E63</f>
        <v>0</v>
      </c>
      <c r="F67" s="199">
        <f>Entrada_de_Dados_2!F63</f>
        <v>0</v>
      </c>
      <c r="G67" s="204">
        <f>Entrada_de_Dados_2!G63</f>
        <v>0</v>
      </c>
      <c r="H67" s="204">
        <f>Entrada_de_Dados_2!H63</f>
        <v>0</v>
      </c>
      <c r="I67" s="204">
        <f t="shared" si="3"/>
        <v>0</v>
      </c>
    </row>
    <row r="68" spans="1:9" ht="14.25">
      <c r="A68" s="202">
        <v>2</v>
      </c>
      <c r="B68" s="203">
        <f t="shared" si="4"/>
        <v>0</v>
      </c>
      <c r="C68" s="199">
        <v>13</v>
      </c>
      <c r="D68" s="203">
        <f>Entrada_de_Dados_2!D64</f>
        <v>0</v>
      </c>
      <c r="E68" s="203">
        <f>Entrada_de_Dados_2!E64</f>
        <v>0</v>
      </c>
      <c r="F68" s="199">
        <f>Entrada_de_Dados_2!F64</f>
        <v>0</v>
      </c>
      <c r="G68" s="204">
        <f>Entrada_de_Dados_2!G64</f>
        <v>0</v>
      </c>
      <c r="H68" s="204">
        <f>Entrada_de_Dados_2!H64</f>
        <v>0</v>
      </c>
      <c r="I68" s="204">
        <f t="shared" si="3"/>
        <v>0</v>
      </c>
    </row>
    <row r="69" spans="1:9" ht="14.25">
      <c r="A69" s="202">
        <v>2</v>
      </c>
      <c r="B69" s="203">
        <f t="shared" si="4"/>
        <v>0</v>
      </c>
      <c r="C69" s="199">
        <v>14</v>
      </c>
      <c r="D69" s="203">
        <f>Entrada_de_Dados_2!D65</f>
        <v>0</v>
      </c>
      <c r="E69" s="203">
        <f>Entrada_de_Dados_2!E65</f>
        <v>0</v>
      </c>
      <c r="F69" s="199">
        <f>Entrada_de_Dados_2!F65</f>
        <v>0</v>
      </c>
      <c r="G69" s="204">
        <f>Entrada_de_Dados_2!G65</f>
        <v>0</v>
      </c>
      <c r="H69" s="204">
        <f>Entrada_de_Dados_2!H65</f>
        <v>0</v>
      </c>
      <c r="I69" s="204">
        <f t="shared" si="3"/>
        <v>0</v>
      </c>
    </row>
    <row r="70" spans="1:9" ht="14.25">
      <c r="A70" s="202">
        <v>2</v>
      </c>
      <c r="B70" s="203">
        <f t="shared" si="4"/>
        <v>0</v>
      </c>
      <c r="C70" s="199">
        <v>15</v>
      </c>
      <c r="D70" s="203">
        <f>Entrada_de_Dados_2!D66</f>
        <v>0</v>
      </c>
      <c r="E70" s="203">
        <f>Entrada_de_Dados_2!E66</f>
        <v>0</v>
      </c>
      <c r="F70" s="199">
        <f>Entrada_de_Dados_2!F66</f>
        <v>0</v>
      </c>
      <c r="G70" s="204">
        <f>Entrada_de_Dados_2!G66</f>
        <v>0</v>
      </c>
      <c r="H70" s="204">
        <f>Entrada_de_Dados_2!H66</f>
        <v>0</v>
      </c>
      <c r="I70" s="204">
        <f t="shared" si="3"/>
        <v>0</v>
      </c>
    </row>
    <row r="71" spans="1:9" ht="14.25">
      <c r="A71" s="202">
        <v>2</v>
      </c>
      <c r="B71" s="203">
        <f t="shared" si="4"/>
        <v>0</v>
      </c>
      <c r="C71" s="199">
        <v>16</v>
      </c>
      <c r="D71" s="203">
        <f>Entrada_de_Dados_2!D67</f>
        <v>0</v>
      </c>
      <c r="E71" s="203">
        <f>Entrada_de_Dados_2!E67</f>
        <v>0</v>
      </c>
      <c r="F71" s="199">
        <f>Entrada_de_Dados_2!F67</f>
        <v>0</v>
      </c>
      <c r="G71" s="204">
        <f>Entrada_de_Dados_2!G67</f>
        <v>0</v>
      </c>
      <c r="H71" s="204">
        <f>Entrada_de_Dados_2!H67</f>
        <v>0</v>
      </c>
      <c r="I71" s="204">
        <f t="shared" si="3"/>
        <v>0</v>
      </c>
    </row>
    <row r="72" spans="1:9" ht="14.25">
      <c r="A72" s="202">
        <v>2</v>
      </c>
      <c r="B72" s="203">
        <f t="shared" si="4"/>
        <v>0</v>
      </c>
      <c r="C72" s="199">
        <v>17</v>
      </c>
      <c r="D72" s="203">
        <f>Entrada_de_Dados_2!D68</f>
        <v>0</v>
      </c>
      <c r="E72" s="203">
        <f>Entrada_de_Dados_2!E68</f>
        <v>0</v>
      </c>
      <c r="F72" s="199">
        <f>Entrada_de_Dados_2!F68</f>
        <v>0</v>
      </c>
      <c r="G72" s="204">
        <f>Entrada_de_Dados_2!G68</f>
        <v>0</v>
      </c>
      <c r="H72" s="204">
        <f>Entrada_de_Dados_2!H68</f>
        <v>0</v>
      </c>
      <c r="I72" s="204">
        <f t="shared" si="3"/>
        <v>0</v>
      </c>
    </row>
    <row r="73" spans="1:9" ht="14.25">
      <c r="A73" s="202">
        <v>2</v>
      </c>
      <c r="B73" s="203">
        <f t="shared" si="4"/>
        <v>0</v>
      </c>
      <c r="C73" s="199">
        <v>18</v>
      </c>
      <c r="D73" s="203">
        <f>Entrada_de_Dados_2!D69</f>
        <v>0</v>
      </c>
      <c r="E73" s="203">
        <f>Entrada_de_Dados_2!E69</f>
        <v>0</v>
      </c>
      <c r="F73" s="199">
        <f>Entrada_de_Dados_2!F69</f>
        <v>0</v>
      </c>
      <c r="G73" s="204">
        <f>Entrada_de_Dados_2!G69</f>
        <v>0</v>
      </c>
      <c r="H73" s="204">
        <f>Entrada_de_Dados_2!H69</f>
        <v>0</v>
      </c>
      <c r="I73" s="204">
        <f t="shared" si="3"/>
        <v>0</v>
      </c>
    </row>
    <row r="74" spans="1:9" ht="14.25">
      <c r="A74" s="202">
        <v>2</v>
      </c>
      <c r="B74" s="203">
        <f t="shared" si="4"/>
        <v>0</v>
      </c>
      <c r="C74" s="199">
        <v>19</v>
      </c>
      <c r="D74" s="203">
        <f>Entrada_de_Dados_2!D70</f>
        <v>0</v>
      </c>
      <c r="E74" s="203">
        <f>Entrada_de_Dados_2!E70</f>
        <v>0</v>
      </c>
      <c r="F74" s="199">
        <f>Entrada_de_Dados_2!F70</f>
        <v>0</v>
      </c>
      <c r="G74" s="204">
        <f>Entrada_de_Dados_2!G70</f>
        <v>0</v>
      </c>
      <c r="H74" s="204">
        <f>Entrada_de_Dados_2!H70</f>
        <v>0</v>
      </c>
      <c r="I74" s="204">
        <f t="shared" si="3"/>
        <v>0</v>
      </c>
    </row>
    <row r="75" spans="1:9" ht="14.25">
      <c r="A75" s="202">
        <v>2</v>
      </c>
      <c r="B75" s="203">
        <f t="shared" si="4"/>
        <v>0</v>
      </c>
      <c r="C75" s="199">
        <v>20</v>
      </c>
      <c r="D75" s="203">
        <f>Entrada_de_Dados_2!D71</f>
        <v>0</v>
      </c>
      <c r="E75" s="203">
        <f>Entrada_de_Dados_2!E71</f>
        <v>0</v>
      </c>
      <c r="F75" s="199">
        <f>Entrada_de_Dados_2!F71</f>
        <v>0</v>
      </c>
      <c r="G75" s="204">
        <f>Entrada_de_Dados_2!G71</f>
        <v>0</v>
      </c>
      <c r="H75" s="204">
        <f>Entrada_de_Dados_2!H71</f>
        <v>0</v>
      </c>
      <c r="I75" s="204">
        <f t="shared" si="3"/>
        <v>0</v>
      </c>
    </row>
    <row r="76" spans="1:9" ht="14.25">
      <c r="A76" s="202">
        <v>2</v>
      </c>
      <c r="B76" s="203">
        <f t="shared" si="4"/>
        <v>0</v>
      </c>
      <c r="C76" s="199">
        <v>21</v>
      </c>
      <c r="D76" s="203">
        <f>Entrada_de_Dados_2!D72</f>
        <v>0</v>
      </c>
      <c r="E76" s="203">
        <f>Entrada_de_Dados_2!E72</f>
        <v>0</v>
      </c>
      <c r="F76" s="199">
        <f>Entrada_de_Dados_2!F72</f>
        <v>0</v>
      </c>
      <c r="G76" s="204">
        <f>Entrada_de_Dados_2!G72</f>
        <v>0</v>
      </c>
      <c r="H76" s="204">
        <f>Entrada_de_Dados_2!H72</f>
        <v>0</v>
      </c>
      <c r="I76" s="204">
        <f t="shared" si="3"/>
        <v>0</v>
      </c>
    </row>
    <row r="77" spans="1:9" ht="14.25">
      <c r="A77" s="202">
        <v>2</v>
      </c>
      <c r="B77" s="203">
        <f t="shared" si="4"/>
        <v>0</v>
      </c>
      <c r="C77" s="199">
        <v>22</v>
      </c>
      <c r="D77" s="203">
        <f>Entrada_de_Dados_2!D73</f>
        <v>0</v>
      </c>
      <c r="E77" s="203">
        <f>Entrada_de_Dados_2!E73</f>
        <v>0</v>
      </c>
      <c r="F77" s="199">
        <f>Entrada_de_Dados_2!F73</f>
        <v>0</v>
      </c>
      <c r="G77" s="204">
        <f>Entrada_de_Dados_2!G73</f>
        <v>0</v>
      </c>
      <c r="H77" s="204">
        <f>Entrada_de_Dados_2!H73</f>
        <v>0</v>
      </c>
      <c r="I77" s="204">
        <f t="shared" si="3"/>
        <v>0</v>
      </c>
    </row>
    <row r="78" spans="1:9" ht="14.25">
      <c r="A78" s="202">
        <v>2</v>
      </c>
      <c r="B78" s="203">
        <f t="shared" si="4"/>
        <v>0</v>
      </c>
      <c r="C78" s="199">
        <v>23</v>
      </c>
      <c r="D78" s="203">
        <f>Entrada_de_Dados_2!D74</f>
        <v>0</v>
      </c>
      <c r="E78" s="203">
        <f>Entrada_de_Dados_2!E74</f>
        <v>0</v>
      </c>
      <c r="F78" s="199">
        <f>Entrada_de_Dados_2!F74</f>
        <v>0</v>
      </c>
      <c r="G78" s="204">
        <f>Entrada_de_Dados_2!G74</f>
        <v>0</v>
      </c>
      <c r="H78" s="204">
        <f>Entrada_de_Dados_2!H74</f>
        <v>0</v>
      </c>
      <c r="I78" s="204">
        <f t="shared" si="3"/>
        <v>0</v>
      </c>
    </row>
    <row r="79" spans="1:9" ht="14.25">
      <c r="A79" s="202">
        <v>2</v>
      </c>
      <c r="B79" s="203">
        <f t="shared" si="4"/>
        <v>0</v>
      </c>
      <c r="C79" s="199">
        <v>24</v>
      </c>
      <c r="D79" s="203">
        <f>Entrada_de_Dados_2!D75</f>
        <v>0</v>
      </c>
      <c r="E79" s="203">
        <f>Entrada_de_Dados_2!E75</f>
        <v>0</v>
      </c>
      <c r="F79" s="199">
        <f>Entrada_de_Dados_2!F75</f>
        <v>0</v>
      </c>
      <c r="G79" s="204">
        <f>Entrada_de_Dados_2!G75</f>
        <v>0</v>
      </c>
      <c r="H79" s="204">
        <f>Entrada_de_Dados_2!H75</f>
        <v>0</v>
      </c>
      <c r="I79" s="204">
        <f t="shared" si="3"/>
        <v>0</v>
      </c>
    </row>
    <row r="80" spans="1:9" ht="14.25">
      <c r="A80" s="202">
        <v>2</v>
      </c>
      <c r="B80" s="203">
        <f t="shared" si="4"/>
        <v>0</v>
      </c>
      <c r="C80" s="199">
        <v>25</v>
      </c>
      <c r="D80" s="203">
        <f>Entrada_de_Dados_2!D76</f>
        <v>0</v>
      </c>
      <c r="E80" s="203">
        <f>Entrada_de_Dados_2!E76</f>
        <v>0</v>
      </c>
      <c r="F80" s="199">
        <f>Entrada_de_Dados_2!F76</f>
        <v>0</v>
      </c>
      <c r="G80" s="204">
        <f>Entrada_de_Dados_2!G76</f>
        <v>0</v>
      </c>
      <c r="H80" s="204">
        <f>Entrada_de_Dados_2!H76</f>
        <v>0</v>
      </c>
      <c r="I80" s="204">
        <f t="shared" si="3"/>
        <v>0</v>
      </c>
    </row>
    <row r="81" spans="1:9" ht="14.25">
      <c r="A81" s="202">
        <v>2</v>
      </c>
      <c r="B81" s="203">
        <f t="shared" si="4"/>
        <v>0</v>
      </c>
      <c r="C81" s="199">
        <v>26</v>
      </c>
      <c r="D81" s="203">
        <f>Entrada_de_Dados_2!D77</f>
        <v>0</v>
      </c>
      <c r="E81" s="203">
        <f>Entrada_de_Dados_2!E77</f>
        <v>0</v>
      </c>
      <c r="F81" s="199">
        <f>Entrada_de_Dados_2!F77</f>
        <v>0</v>
      </c>
      <c r="G81" s="204">
        <f>Entrada_de_Dados_2!G77</f>
        <v>0</v>
      </c>
      <c r="H81" s="204">
        <f>Entrada_de_Dados_2!H77</f>
        <v>0</v>
      </c>
      <c r="I81" s="204">
        <f t="shared" si="3"/>
        <v>0</v>
      </c>
    </row>
    <row r="82" spans="1:9" ht="14.25">
      <c r="A82" s="202">
        <v>2</v>
      </c>
      <c r="B82" s="203">
        <f t="shared" si="4"/>
        <v>0</v>
      </c>
      <c r="C82" s="199">
        <v>27</v>
      </c>
      <c r="D82" s="203">
        <f>Entrada_de_Dados_2!D78</f>
        <v>0</v>
      </c>
      <c r="E82" s="203">
        <f>Entrada_de_Dados_2!E78</f>
        <v>0</v>
      </c>
      <c r="F82" s="199">
        <f>Entrada_de_Dados_2!F78</f>
        <v>0</v>
      </c>
      <c r="G82" s="204">
        <f>Entrada_de_Dados_2!G78</f>
        <v>0</v>
      </c>
      <c r="H82" s="204">
        <f>Entrada_de_Dados_2!H78</f>
        <v>0</v>
      </c>
      <c r="I82" s="204">
        <f t="shared" si="3"/>
        <v>0</v>
      </c>
    </row>
    <row r="83" spans="1:9" ht="14.25">
      <c r="A83" s="202">
        <v>2</v>
      </c>
      <c r="B83" s="203">
        <f t="shared" si="4"/>
        <v>0</v>
      </c>
      <c r="C83" s="199">
        <v>28</v>
      </c>
      <c r="D83" s="203">
        <f>Entrada_de_Dados_2!D79</f>
        <v>0</v>
      </c>
      <c r="E83" s="203">
        <f>Entrada_de_Dados_2!E79</f>
        <v>0</v>
      </c>
      <c r="F83" s="199">
        <f>Entrada_de_Dados_2!F79</f>
        <v>0</v>
      </c>
      <c r="G83" s="204">
        <f>Entrada_de_Dados_2!G79</f>
        <v>0</v>
      </c>
      <c r="H83" s="204">
        <f>Entrada_de_Dados_2!H79</f>
        <v>0</v>
      </c>
      <c r="I83" s="204">
        <f t="shared" si="3"/>
        <v>0</v>
      </c>
    </row>
    <row r="84" spans="1:9" ht="14.25">
      <c r="A84" s="202">
        <v>2</v>
      </c>
      <c r="B84" s="203">
        <f t="shared" si="4"/>
        <v>0</v>
      </c>
      <c r="C84" s="199">
        <v>29</v>
      </c>
      <c r="D84" s="203">
        <f>Entrada_de_Dados_2!D80</f>
        <v>0</v>
      </c>
      <c r="E84" s="203">
        <f>Entrada_de_Dados_2!E80</f>
        <v>0</v>
      </c>
      <c r="F84" s="199">
        <f>Entrada_de_Dados_2!F80</f>
        <v>0</v>
      </c>
      <c r="G84" s="204">
        <f>Entrada_de_Dados_2!G80</f>
        <v>0</v>
      </c>
      <c r="H84" s="204">
        <f>Entrada_de_Dados_2!H80</f>
        <v>0</v>
      </c>
      <c r="I84" s="204">
        <f t="shared" si="3"/>
        <v>0</v>
      </c>
    </row>
    <row r="85" spans="1:9" ht="14.25">
      <c r="A85" s="202">
        <v>2</v>
      </c>
      <c r="B85" s="203">
        <f t="shared" si="4"/>
        <v>0</v>
      </c>
      <c r="C85" s="199">
        <v>30</v>
      </c>
      <c r="D85" s="203">
        <f>Entrada_de_Dados_2!D81</f>
        <v>0</v>
      </c>
      <c r="E85" s="203">
        <f>Entrada_de_Dados_2!E81</f>
        <v>0</v>
      </c>
      <c r="F85" s="199">
        <f>Entrada_de_Dados_2!F81</f>
        <v>0</v>
      </c>
      <c r="G85" s="204">
        <f>Entrada_de_Dados_2!G81</f>
        <v>0</v>
      </c>
      <c r="H85" s="204">
        <f>Entrada_de_Dados_2!H81</f>
        <v>0</v>
      </c>
      <c r="I85" s="204">
        <f t="shared" si="3"/>
        <v>0</v>
      </c>
    </row>
    <row r="86" spans="1:9" ht="14.25">
      <c r="A86" s="202">
        <v>2</v>
      </c>
      <c r="B86" s="203">
        <f t="shared" si="4"/>
        <v>0</v>
      </c>
      <c r="C86" s="199">
        <v>31</v>
      </c>
      <c r="D86" s="203">
        <f>Entrada_de_Dados_2!D82</f>
        <v>0</v>
      </c>
      <c r="E86" s="203">
        <f>Entrada_de_Dados_2!E82</f>
        <v>0</v>
      </c>
      <c r="F86" s="199">
        <f>Entrada_de_Dados_2!F82</f>
        <v>0</v>
      </c>
      <c r="G86" s="204">
        <f>Entrada_de_Dados_2!G82</f>
        <v>0</v>
      </c>
      <c r="H86" s="204">
        <f>Entrada_de_Dados_2!H82</f>
        <v>0</v>
      </c>
      <c r="I86" s="204">
        <f t="shared" si="3"/>
        <v>0</v>
      </c>
    </row>
    <row r="87" spans="1:9" ht="14.25">
      <c r="A87" s="202">
        <v>2</v>
      </c>
      <c r="B87" s="203">
        <f t="shared" si="4"/>
        <v>0</v>
      </c>
      <c r="C87" s="199">
        <v>32</v>
      </c>
      <c r="D87" s="203">
        <f>Entrada_de_Dados_2!D83</f>
        <v>0</v>
      </c>
      <c r="E87" s="203">
        <f>Entrada_de_Dados_2!E83</f>
        <v>0</v>
      </c>
      <c r="F87" s="199">
        <f>Entrada_de_Dados_2!F83</f>
        <v>0</v>
      </c>
      <c r="G87" s="204">
        <f>Entrada_de_Dados_2!G83</f>
        <v>0</v>
      </c>
      <c r="H87" s="204">
        <f>Entrada_de_Dados_2!H83</f>
        <v>0</v>
      </c>
      <c r="I87" s="204">
        <f t="shared" si="3"/>
        <v>0</v>
      </c>
    </row>
    <row r="88" spans="1:9" ht="14.25">
      <c r="A88" s="202">
        <v>2</v>
      </c>
      <c r="B88" s="203">
        <f t="shared" si="4"/>
        <v>0</v>
      </c>
      <c r="C88" s="199">
        <v>33</v>
      </c>
      <c r="D88" s="203">
        <f>Entrada_de_Dados_2!D84</f>
        <v>0</v>
      </c>
      <c r="E88" s="203">
        <f>Entrada_de_Dados_2!E84</f>
        <v>0</v>
      </c>
      <c r="F88" s="199">
        <f>Entrada_de_Dados_2!F84</f>
        <v>0</v>
      </c>
      <c r="G88" s="204">
        <f>Entrada_de_Dados_2!G84</f>
        <v>0</v>
      </c>
      <c r="H88" s="204">
        <f>Entrada_de_Dados_2!H84</f>
        <v>0</v>
      </c>
      <c r="I88" s="204">
        <f t="shared" ref="I88:I105" si="5">G88*H88</f>
        <v>0</v>
      </c>
    </row>
    <row r="89" spans="1:9" ht="14.25">
      <c r="A89" s="202">
        <v>2</v>
      </c>
      <c r="B89" s="203">
        <f t="shared" si="4"/>
        <v>0</v>
      </c>
      <c r="C89" s="199">
        <v>34</v>
      </c>
      <c r="D89" s="203">
        <f>Entrada_de_Dados_2!D85</f>
        <v>0</v>
      </c>
      <c r="E89" s="203">
        <f>Entrada_de_Dados_2!E85</f>
        <v>0</v>
      </c>
      <c r="F89" s="199">
        <f>Entrada_de_Dados_2!F85</f>
        <v>0</v>
      </c>
      <c r="G89" s="204">
        <f>Entrada_de_Dados_2!G85</f>
        <v>0</v>
      </c>
      <c r="H89" s="204">
        <f>Entrada_de_Dados_2!H85</f>
        <v>0</v>
      </c>
      <c r="I89" s="204">
        <f t="shared" si="5"/>
        <v>0</v>
      </c>
    </row>
    <row r="90" spans="1:9" ht="14.25">
      <c r="A90" s="202">
        <v>2</v>
      </c>
      <c r="B90" s="203">
        <f t="shared" si="4"/>
        <v>0</v>
      </c>
      <c r="C90" s="199">
        <v>35</v>
      </c>
      <c r="D90" s="203">
        <f>Entrada_de_Dados_2!D86</f>
        <v>0</v>
      </c>
      <c r="E90" s="203">
        <f>Entrada_de_Dados_2!E86</f>
        <v>0</v>
      </c>
      <c r="F90" s="199">
        <f>Entrada_de_Dados_2!F86</f>
        <v>0</v>
      </c>
      <c r="G90" s="204">
        <f>Entrada_de_Dados_2!G86</f>
        <v>0</v>
      </c>
      <c r="H90" s="204">
        <f>Entrada_de_Dados_2!H86</f>
        <v>0</v>
      </c>
      <c r="I90" s="204">
        <f t="shared" si="5"/>
        <v>0</v>
      </c>
    </row>
    <row r="91" spans="1:9" ht="14.25">
      <c r="A91" s="202">
        <v>2</v>
      </c>
      <c r="B91" s="203">
        <f t="shared" si="4"/>
        <v>0</v>
      </c>
      <c r="C91" s="199">
        <v>36</v>
      </c>
      <c r="D91" s="203">
        <f>Entrada_de_Dados_2!D87</f>
        <v>0</v>
      </c>
      <c r="E91" s="203">
        <f>Entrada_de_Dados_2!E87</f>
        <v>0</v>
      </c>
      <c r="F91" s="199">
        <f>Entrada_de_Dados_2!F87</f>
        <v>0</v>
      </c>
      <c r="G91" s="204">
        <f>Entrada_de_Dados_2!G87</f>
        <v>0</v>
      </c>
      <c r="H91" s="204">
        <f>Entrada_de_Dados_2!H87</f>
        <v>0</v>
      </c>
      <c r="I91" s="204">
        <f t="shared" si="5"/>
        <v>0</v>
      </c>
    </row>
    <row r="92" spans="1:9" ht="14.25">
      <c r="A92" s="202">
        <v>2</v>
      </c>
      <c r="B92" s="203">
        <f t="shared" si="4"/>
        <v>0</v>
      </c>
      <c r="C92" s="199">
        <v>37</v>
      </c>
      <c r="D92" s="203">
        <f>Entrada_de_Dados_2!D88</f>
        <v>0</v>
      </c>
      <c r="E92" s="203">
        <f>Entrada_de_Dados_2!E88</f>
        <v>0</v>
      </c>
      <c r="F92" s="199">
        <f>Entrada_de_Dados_2!F88</f>
        <v>0</v>
      </c>
      <c r="G92" s="204">
        <f>Entrada_de_Dados_2!G88</f>
        <v>0</v>
      </c>
      <c r="H92" s="204">
        <f>Entrada_de_Dados_2!H88</f>
        <v>0</v>
      </c>
      <c r="I92" s="204">
        <f t="shared" si="5"/>
        <v>0</v>
      </c>
    </row>
    <row r="93" spans="1:9" ht="14.25">
      <c r="A93" s="202">
        <v>2</v>
      </c>
      <c r="B93" s="203">
        <f t="shared" si="4"/>
        <v>0</v>
      </c>
      <c r="C93" s="199">
        <v>38</v>
      </c>
      <c r="D93" s="203">
        <f>Entrada_de_Dados_2!D89</f>
        <v>0</v>
      </c>
      <c r="E93" s="203">
        <f>Entrada_de_Dados_2!E89</f>
        <v>0</v>
      </c>
      <c r="F93" s="199">
        <f>Entrada_de_Dados_2!F89</f>
        <v>0</v>
      </c>
      <c r="G93" s="204">
        <f>Entrada_de_Dados_2!G89</f>
        <v>0</v>
      </c>
      <c r="H93" s="204">
        <f>Entrada_de_Dados_2!H89</f>
        <v>0</v>
      </c>
      <c r="I93" s="204">
        <f t="shared" si="5"/>
        <v>0</v>
      </c>
    </row>
    <row r="94" spans="1:9" ht="14.25">
      <c r="A94" s="202">
        <v>2</v>
      </c>
      <c r="B94" s="203">
        <f t="shared" si="4"/>
        <v>0</v>
      </c>
      <c r="C94" s="199">
        <v>39</v>
      </c>
      <c r="D94" s="203">
        <f>Entrada_de_Dados_2!D90</f>
        <v>0</v>
      </c>
      <c r="E94" s="203">
        <f>Entrada_de_Dados_2!E90</f>
        <v>0</v>
      </c>
      <c r="F94" s="199">
        <f>Entrada_de_Dados_2!F90</f>
        <v>0</v>
      </c>
      <c r="G94" s="204">
        <f>Entrada_de_Dados_2!G90</f>
        <v>0</v>
      </c>
      <c r="H94" s="204">
        <f>Entrada_de_Dados_2!H90</f>
        <v>0</v>
      </c>
      <c r="I94" s="204">
        <f t="shared" si="5"/>
        <v>0</v>
      </c>
    </row>
    <row r="95" spans="1:9" ht="14.25">
      <c r="A95" s="202">
        <v>2</v>
      </c>
      <c r="B95" s="203">
        <f t="shared" si="4"/>
        <v>0</v>
      </c>
      <c r="C95" s="199">
        <v>40</v>
      </c>
      <c r="D95" s="203">
        <f>Entrada_de_Dados_2!D91</f>
        <v>0</v>
      </c>
      <c r="E95" s="203">
        <f>Entrada_de_Dados_2!E91</f>
        <v>0</v>
      </c>
      <c r="F95" s="199">
        <f>Entrada_de_Dados_2!F91</f>
        <v>0</v>
      </c>
      <c r="G95" s="204">
        <f>Entrada_de_Dados_2!G91</f>
        <v>0</v>
      </c>
      <c r="H95" s="204">
        <f>Entrada_de_Dados_2!H91</f>
        <v>0</v>
      </c>
      <c r="I95" s="204">
        <f t="shared" si="5"/>
        <v>0</v>
      </c>
    </row>
    <row r="96" spans="1:9" ht="14.25">
      <c r="A96" s="202">
        <v>2</v>
      </c>
      <c r="B96" s="203">
        <f t="shared" si="4"/>
        <v>0</v>
      </c>
      <c r="C96" s="199">
        <v>41</v>
      </c>
      <c r="D96" s="203">
        <f>Entrada_de_Dados_2!D92</f>
        <v>0</v>
      </c>
      <c r="E96" s="203">
        <f>Entrada_de_Dados_2!E92</f>
        <v>0</v>
      </c>
      <c r="F96" s="199">
        <f>Entrada_de_Dados_2!F92</f>
        <v>0</v>
      </c>
      <c r="G96" s="204">
        <f>Entrada_de_Dados_2!G92</f>
        <v>0</v>
      </c>
      <c r="H96" s="204">
        <f>Entrada_de_Dados_2!H92</f>
        <v>0</v>
      </c>
      <c r="I96" s="204">
        <f t="shared" si="5"/>
        <v>0</v>
      </c>
    </row>
    <row r="97" spans="1:11" ht="14.25">
      <c r="A97" s="202">
        <v>2</v>
      </c>
      <c r="B97" s="203">
        <f t="shared" si="4"/>
        <v>0</v>
      </c>
      <c r="C97" s="199">
        <v>42</v>
      </c>
      <c r="D97" s="203">
        <f>Entrada_de_Dados_2!D93</f>
        <v>0</v>
      </c>
      <c r="E97" s="203">
        <f>Entrada_de_Dados_2!E93</f>
        <v>0</v>
      </c>
      <c r="F97" s="199">
        <f>Entrada_de_Dados_2!F93</f>
        <v>0</v>
      </c>
      <c r="G97" s="204">
        <f>Entrada_de_Dados_2!G93</f>
        <v>0</v>
      </c>
      <c r="H97" s="204">
        <f>Entrada_de_Dados_2!H93</f>
        <v>0</v>
      </c>
      <c r="I97" s="204">
        <f t="shared" si="5"/>
        <v>0</v>
      </c>
    </row>
    <row r="98" spans="1:11" ht="14.25">
      <c r="A98" s="202">
        <v>2</v>
      </c>
      <c r="B98" s="203">
        <f t="shared" si="4"/>
        <v>0</v>
      </c>
      <c r="C98" s="199">
        <v>43</v>
      </c>
      <c r="D98" s="203">
        <f>Entrada_de_Dados_2!D94</f>
        <v>0</v>
      </c>
      <c r="E98" s="203">
        <f>Entrada_de_Dados_2!E94</f>
        <v>0</v>
      </c>
      <c r="F98" s="199">
        <f>Entrada_de_Dados_2!F94</f>
        <v>0</v>
      </c>
      <c r="G98" s="204">
        <f>Entrada_de_Dados_2!G94</f>
        <v>0</v>
      </c>
      <c r="H98" s="204">
        <f>Entrada_de_Dados_2!H94</f>
        <v>0</v>
      </c>
      <c r="I98" s="204">
        <f t="shared" si="5"/>
        <v>0</v>
      </c>
    </row>
    <row r="99" spans="1:11" ht="14.25">
      <c r="A99" s="202">
        <v>2</v>
      </c>
      <c r="B99" s="203">
        <f t="shared" si="4"/>
        <v>0</v>
      </c>
      <c r="C99" s="199">
        <v>44</v>
      </c>
      <c r="D99" s="203">
        <f>Entrada_de_Dados_2!D95</f>
        <v>0</v>
      </c>
      <c r="E99" s="203">
        <f>Entrada_de_Dados_2!E95</f>
        <v>0</v>
      </c>
      <c r="F99" s="199">
        <f>Entrada_de_Dados_2!F95</f>
        <v>0</v>
      </c>
      <c r="G99" s="204">
        <f>Entrada_de_Dados_2!G95</f>
        <v>0</v>
      </c>
      <c r="H99" s="204">
        <f>Entrada_de_Dados_2!H95</f>
        <v>0</v>
      </c>
      <c r="I99" s="204">
        <f t="shared" si="5"/>
        <v>0</v>
      </c>
    </row>
    <row r="100" spans="1:11" ht="14.25">
      <c r="A100" s="202">
        <v>2</v>
      </c>
      <c r="B100" s="203">
        <f t="shared" si="4"/>
        <v>0</v>
      </c>
      <c r="C100" s="199">
        <v>45</v>
      </c>
      <c r="D100" s="203">
        <f>Entrada_de_Dados_2!D96</f>
        <v>0</v>
      </c>
      <c r="E100" s="203">
        <f>Entrada_de_Dados_2!E96</f>
        <v>0</v>
      </c>
      <c r="F100" s="199">
        <f>Entrada_de_Dados_2!F96</f>
        <v>0</v>
      </c>
      <c r="G100" s="204">
        <f>Entrada_de_Dados_2!G96</f>
        <v>0</v>
      </c>
      <c r="H100" s="204">
        <f>Entrada_de_Dados_2!H96</f>
        <v>0</v>
      </c>
      <c r="I100" s="204">
        <f t="shared" si="5"/>
        <v>0</v>
      </c>
    </row>
    <row r="101" spans="1:11" ht="14.25">
      <c r="A101" s="202">
        <v>2</v>
      </c>
      <c r="B101" s="203">
        <f t="shared" si="4"/>
        <v>0</v>
      </c>
      <c r="C101" s="199">
        <v>46</v>
      </c>
      <c r="D101" s="203">
        <f>Entrada_de_Dados_2!D97</f>
        <v>0</v>
      </c>
      <c r="E101" s="203">
        <f>Entrada_de_Dados_2!E97</f>
        <v>0</v>
      </c>
      <c r="F101" s="199">
        <f>Entrada_de_Dados_2!F97</f>
        <v>0</v>
      </c>
      <c r="G101" s="204">
        <f>Entrada_de_Dados_2!G97</f>
        <v>0</v>
      </c>
      <c r="H101" s="204">
        <f>Entrada_de_Dados_2!H97</f>
        <v>0</v>
      </c>
      <c r="I101" s="204">
        <f t="shared" si="5"/>
        <v>0</v>
      </c>
    </row>
    <row r="102" spans="1:11" ht="14.25">
      <c r="A102" s="202">
        <v>2</v>
      </c>
      <c r="B102" s="203">
        <f t="shared" si="4"/>
        <v>0</v>
      </c>
      <c r="C102" s="199">
        <v>47</v>
      </c>
      <c r="D102" s="203">
        <f>Entrada_de_Dados_2!D98</f>
        <v>0</v>
      </c>
      <c r="E102" s="203">
        <f>Entrada_de_Dados_2!E98</f>
        <v>0</v>
      </c>
      <c r="F102" s="199">
        <f>Entrada_de_Dados_2!F98</f>
        <v>0</v>
      </c>
      <c r="G102" s="204">
        <f>Entrada_de_Dados_2!G98</f>
        <v>0</v>
      </c>
      <c r="H102" s="204">
        <f>Entrada_de_Dados_2!H98</f>
        <v>0</v>
      </c>
      <c r="I102" s="204">
        <f t="shared" si="5"/>
        <v>0</v>
      </c>
    </row>
    <row r="103" spans="1:11" ht="14.25">
      <c r="A103" s="202">
        <v>2</v>
      </c>
      <c r="B103" s="203">
        <f t="shared" si="4"/>
        <v>0</v>
      </c>
      <c r="C103" s="199">
        <v>48</v>
      </c>
      <c r="D103" s="203">
        <f>Entrada_de_Dados_2!D99</f>
        <v>0</v>
      </c>
      <c r="E103" s="203">
        <f>Entrada_de_Dados_2!E99</f>
        <v>0</v>
      </c>
      <c r="F103" s="199">
        <f>Entrada_de_Dados_2!F99</f>
        <v>0</v>
      </c>
      <c r="G103" s="204">
        <f>Entrada_de_Dados_2!G99</f>
        <v>0</v>
      </c>
      <c r="H103" s="204">
        <f>Entrada_de_Dados_2!H99</f>
        <v>0</v>
      </c>
      <c r="I103" s="204">
        <f t="shared" si="5"/>
        <v>0</v>
      </c>
    </row>
    <row r="104" spans="1:11" ht="14.25">
      <c r="A104" s="202">
        <v>2</v>
      </c>
      <c r="B104" s="203">
        <f t="shared" si="4"/>
        <v>0</v>
      </c>
      <c r="C104" s="199">
        <v>49</v>
      </c>
      <c r="D104" s="203">
        <f>Entrada_de_Dados_2!D100</f>
        <v>0</v>
      </c>
      <c r="E104" s="203">
        <f>Entrada_de_Dados_2!E100</f>
        <v>0</v>
      </c>
      <c r="F104" s="199">
        <f>Entrada_de_Dados_2!F100</f>
        <v>0</v>
      </c>
      <c r="G104" s="204">
        <f>Entrada_de_Dados_2!G100</f>
        <v>0</v>
      </c>
      <c r="H104" s="204">
        <f>Entrada_de_Dados_2!H100</f>
        <v>0</v>
      </c>
      <c r="I104" s="204">
        <f t="shared" si="5"/>
        <v>0</v>
      </c>
    </row>
    <row r="105" spans="1:11" ht="14.25">
      <c r="A105" s="202">
        <v>2</v>
      </c>
      <c r="B105" s="203">
        <f t="shared" si="4"/>
        <v>0</v>
      </c>
      <c r="C105" s="199">
        <v>50</v>
      </c>
      <c r="D105" s="203">
        <f>Entrada_de_Dados_2!D101</f>
        <v>0</v>
      </c>
      <c r="E105" s="203">
        <f>Entrada_de_Dados_2!E101</f>
        <v>0</v>
      </c>
      <c r="F105" s="213">
        <f>Entrada_de_Dados_2!F101</f>
        <v>0</v>
      </c>
      <c r="G105" s="219">
        <f>Entrada_de_Dados_2!G101</f>
        <v>0</v>
      </c>
      <c r="H105" s="219">
        <f>Entrada_de_Dados_2!H101</f>
        <v>0</v>
      </c>
      <c r="I105" s="219">
        <f t="shared" si="5"/>
        <v>0</v>
      </c>
    </row>
    <row r="106" spans="1:11" ht="14.25">
      <c r="A106" s="202"/>
      <c r="B106" s="203"/>
      <c r="F106" s="205" t="s">
        <v>17</v>
      </c>
      <c r="G106" s="206" t="e">
        <f>I106/I109</f>
        <v>#DIV/0!</v>
      </c>
      <c r="H106" s="205" t="s">
        <v>5</v>
      </c>
      <c r="I106" s="207">
        <f>SUMIF($F$56:$F$105,H106,$I$56:$I$105)</f>
        <v>0</v>
      </c>
    </row>
    <row r="107" spans="1:11" ht="14.25">
      <c r="A107" s="202"/>
      <c r="B107" s="203"/>
      <c r="F107" s="205" t="s">
        <v>18</v>
      </c>
      <c r="G107" s="206" t="e">
        <f>I107/I109</f>
        <v>#DIV/0!</v>
      </c>
      <c r="H107" s="205" t="s">
        <v>6</v>
      </c>
      <c r="I107" s="207">
        <f>SUMIF($F$56:$F$105,H107,$I$56:$I$105)</f>
        <v>0</v>
      </c>
    </row>
    <row r="108" spans="1:11" ht="14.25">
      <c r="A108" s="202"/>
      <c r="B108" s="203"/>
      <c r="F108" s="205" t="s">
        <v>19</v>
      </c>
      <c r="G108" s="206" t="e">
        <f>I108/I109</f>
        <v>#DIV/0!</v>
      </c>
      <c r="H108" s="205" t="s">
        <v>7</v>
      </c>
      <c r="I108" s="207">
        <f>SUMIF($F$56:$F$105,H108,$I$56:$I$105)</f>
        <v>0</v>
      </c>
    </row>
    <row r="109" spans="1:11" ht="14.25">
      <c r="A109" s="211"/>
      <c r="B109" s="212"/>
      <c r="C109" s="213"/>
      <c r="D109" s="214"/>
      <c r="E109" s="214"/>
      <c r="F109" s="215" t="s">
        <v>20</v>
      </c>
      <c r="G109" s="216" t="e">
        <f>SUM(G106:G108)</f>
        <v>#DIV/0!</v>
      </c>
      <c r="H109" s="215" t="s">
        <v>21</v>
      </c>
      <c r="I109" s="217">
        <f>SUM(I106:I108)</f>
        <v>0</v>
      </c>
    </row>
    <row r="110" spans="1:11" ht="14.25">
      <c r="A110" s="202">
        <v>3</v>
      </c>
      <c r="B110" s="203">
        <f>Entrada_de_Dados_2!B102</f>
        <v>0</v>
      </c>
      <c r="C110" s="199">
        <v>1</v>
      </c>
      <c r="D110" s="203">
        <f>Entrada_de_Dados_2!D102</f>
        <v>0</v>
      </c>
      <c r="E110" s="203">
        <f>Entrada_de_Dados_2!E102</f>
        <v>0</v>
      </c>
      <c r="F110" s="199">
        <f>Entrada_de_Dados_2!F102</f>
        <v>0</v>
      </c>
      <c r="G110" s="204">
        <f>Entrada_de_Dados_2!G102</f>
        <v>0</v>
      </c>
      <c r="H110" s="204">
        <f>Entrada_de_Dados_2!H102</f>
        <v>0</v>
      </c>
      <c r="I110" s="204">
        <f t="shared" ref="I110:I141" si="6">G110*H110</f>
        <v>0</v>
      </c>
      <c r="K110" s="199"/>
    </row>
    <row r="111" spans="1:11" ht="14.25">
      <c r="A111" s="202">
        <v>3</v>
      </c>
      <c r="B111" s="203">
        <f>$B$110</f>
        <v>0</v>
      </c>
      <c r="C111" s="199">
        <v>2</v>
      </c>
      <c r="D111" s="203">
        <f>Entrada_de_Dados_2!D103</f>
        <v>0</v>
      </c>
      <c r="E111" s="203">
        <f>Entrada_de_Dados_2!E103</f>
        <v>0</v>
      </c>
      <c r="F111" s="199">
        <f>Entrada_de_Dados_2!F103</f>
        <v>0</v>
      </c>
      <c r="G111" s="204">
        <f>Entrada_de_Dados_2!G103</f>
        <v>0</v>
      </c>
      <c r="H111" s="204">
        <f>Entrada_de_Dados_2!H103</f>
        <v>0</v>
      </c>
      <c r="I111" s="204">
        <f t="shared" si="6"/>
        <v>0</v>
      </c>
      <c r="K111" s="199"/>
    </row>
    <row r="112" spans="1:11" ht="14.25">
      <c r="A112" s="202">
        <v>3</v>
      </c>
      <c r="B112" s="203">
        <f t="shared" ref="B112:B159" si="7">$B$110</f>
        <v>0</v>
      </c>
      <c r="C112" s="199">
        <v>3</v>
      </c>
      <c r="D112" s="203">
        <f>Entrada_de_Dados_2!D104</f>
        <v>0</v>
      </c>
      <c r="E112" s="203">
        <f>Entrada_de_Dados_2!E104</f>
        <v>0</v>
      </c>
      <c r="F112" s="199">
        <f>Entrada_de_Dados_2!F104</f>
        <v>0</v>
      </c>
      <c r="G112" s="204">
        <f>Entrada_de_Dados_2!G104</f>
        <v>0</v>
      </c>
      <c r="H112" s="204">
        <f>Entrada_de_Dados_2!H104</f>
        <v>0</v>
      </c>
      <c r="I112" s="204">
        <f t="shared" si="6"/>
        <v>0</v>
      </c>
    </row>
    <row r="113" spans="1:9" ht="14.25">
      <c r="A113" s="202">
        <v>3</v>
      </c>
      <c r="B113" s="203">
        <f t="shared" si="7"/>
        <v>0</v>
      </c>
      <c r="C113" s="199">
        <v>4</v>
      </c>
      <c r="D113" s="203">
        <f>Entrada_de_Dados_2!D105</f>
        <v>0</v>
      </c>
      <c r="E113" s="203">
        <f>Entrada_de_Dados_2!E105</f>
        <v>0</v>
      </c>
      <c r="F113" s="199">
        <f>Entrada_de_Dados_2!F105</f>
        <v>0</v>
      </c>
      <c r="G113" s="204">
        <f>Entrada_de_Dados_2!G105</f>
        <v>0</v>
      </c>
      <c r="H113" s="204">
        <f>Entrada_de_Dados_2!H105</f>
        <v>0</v>
      </c>
      <c r="I113" s="204">
        <f t="shared" si="6"/>
        <v>0</v>
      </c>
    </row>
    <row r="114" spans="1:9" ht="14.25">
      <c r="A114" s="202">
        <v>3</v>
      </c>
      <c r="B114" s="203">
        <f t="shared" si="7"/>
        <v>0</v>
      </c>
      <c r="C114" s="199">
        <v>5</v>
      </c>
      <c r="D114" s="203">
        <f>Entrada_de_Dados_2!D106</f>
        <v>0</v>
      </c>
      <c r="E114" s="203">
        <f>Entrada_de_Dados_2!E106</f>
        <v>0</v>
      </c>
      <c r="F114" s="199">
        <f>Entrada_de_Dados_2!F106</f>
        <v>0</v>
      </c>
      <c r="G114" s="204">
        <f>Entrada_de_Dados_2!G106</f>
        <v>0</v>
      </c>
      <c r="H114" s="204">
        <f>Entrada_de_Dados_2!H106</f>
        <v>0</v>
      </c>
      <c r="I114" s="204">
        <f t="shared" si="6"/>
        <v>0</v>
      </c>
    </row>
    <row r="115" spans="1:9" ht="14.25">
      <c r="A115" s="202">
        <v>3</v>
      </c>
      <c r="B115" s="203">
        <f t="shared" si="7"/>
        <v>0</v>
      </c>
      <c r="C115" s="199">
        <v>6</v>
      </c>
      <c r="D115" s="203">
        <f>Entrada_de_Dados_2!D107</f>
        <v>0</v>
      </c>
      <c r="E115" s="203">
        <f>Entrada_de_Dados_2!E107</f>
        <v>0</v>
      </c>
      <c r="F115" s="199">
        <f>Entrada_de_Dados_2!F107</f>
        <v>0</v>
      </c>
      <c r="G115" s="204">
        <f>Entrada_de_Dados_2!G107</f>
        <v>0</v>
      </c>
      <c r="H115" s="204">
        <f>Entrada_de_Dados_2!H107</f>
        <v>0</v>
      </c>
      <c r="I115" s="204">
        <f t="shared" si="6"/>
        <v>0</v>
      </c>
    </row>
    <row r="116" spans="1:9" ht="14.25">
      <c r="A116" s="202">
        <v>3</v>
      </c>
      <c r="B116" s="203">
        <f t="shared" si="7"/>
        <v>0</v>
      </c>
      <c r="C116" s="199">
        <v>7</v>
      </c>
      <c r="D116" s="203">
        <f>Entrada_de_Dados_2!D108</f>
        <v>0</v>
      </c>
      <c r="E116" s="203">
        <f>Entrada_de_Dados_2!E108</f>
        <v>0</v>
      </c>
      <c r="F116" s="199">
        <f>Entrada_de_Dados_2!F108</f>
        <v>0</v>
      </c>
      <c r="G116" s="204">
        <f>Entrada_de_Dados_2!G108</f>
        <v>0</v>
      </c>
      <c r="H116" s="204">
        <f>Entrada_de_Dados_2!H108</f>
        <v>0</v>
      </c>
      <c r="I116" s="204">
        <f t="shared" si="6"/>
        <v>0</v>
      </c>
    </row>
    <row r="117" spans="1:9" ht="14.25">
      <c r="A117" s="202">
        <v>3</v>
      </c>
      <c r="B117" s="203">
        <f t="shared" si="7"/>
        <v>0</v>
      </c>
      <c r="C117" s="199">
        <v>8</v>
      </c>
      <c r="D117" s="203">
        <f>Entrada_de_Dados_2!D109</f>
        <v>0</v>
      </c>
      <c r="E117" s="203">
        <f>Entrada_de_Dados_2!E109</f>
        <v>0</v>
      </c>
      <c r="F117" s="199">
        <f>Entrada_de_Dados_2!F109</f>
        <v>0</v>
      </c>
      <c r="G117" s="204">
        <f>Entrada_de_Dados_2!G109</f>
        <v>0</v>
      </c>
      <c r="H117" s="204">
        <f>Entrada_de_Dados_2!H109</f>
        <v>0</v>
      </c>
      <c r="I117" s="204">
        <f t="shared" si="6"/>
        <v>0</v>
      </c>
    </row>
    <row r="118" spans="1:9" ht="14.25">
      <c r="A118" s="202">
        <v>3</v>
      </c>
      <c r="B118" s="203">
        <f t="shared" si="7"/>
        <v>0</v>
      </c>
      <c r="C118" s="199">
        <v>9</v>
      </c>
      <c r="D118" s="203">
        <f>Entrada_de_Dados_2!D110</f>
        <v>0</v>
      </c>
      <c r="E118" s="203">
        <f>Entrada_de_Dados_2!E110</f>
        <v>0</v>
      </c>
      <c r="F118" s="199">
        <f>Entrada_de_Dados_2!F110</f>
        <v>0</v>
      </c>
      <c r="G118" s="204">
        <f>Entrada_de_Dados_2!G110</f>
        <v>0</v>
      </c>
      <c r="H118" s="204">
        <f>Entrada_de_Dados_2!H110</f>
        <v>0</v>
      </c>
      <c r="I118" s="204">
        <f t="shared" si="6"/>
        <v>0</v>
      </c>
    </row>
    <row r="119" spans="1:9" ht="14.25">
      <c r="A119" s="202">
        <v>3</v>
      </c>
      <c r="B119" s="203">
        <f t="shared" si="7"/>
        <v>0</v>
      </c>
      <c r="C119" s="199">
        <v>10</v>
      </c>
      <c r="D119" s="203">
        <f>Entrada_de_Dados_2!D111</f>
        <v>0</v>
      </c>
      <c r="E119" s="203">
        <f>Entrada_de_Dados_2!E111</f>
        <v>0</v>
      </c>
      <c r="F119" s="199">
        <f>Entrada_de_Dados_2!F111</f>
        <v>0</v>
      </c>
      <c r="G119" s="204">
        <f>Entrada_de_Dados_2!G111</f>
        <v>0</v>
      </c>
      <c r="H119" s="204">
        <f>Entrada_de_Dados_2!H111</f>
        <v>0</v>
      </c>
      <c r="I119" s="204">
        <f t="shared" si="6"/>
        <v>0</v>
      </c>
    </row>
    <row r="120" spans="1:9" ht="14.25">
      <c r="A120" s="202">
        <v>3</v>
      </c>
      <c r="B120" s="203">
        <f t="shared" si="7"/>
        <v>0</v>
      </c>
      <c r="C120" s="199">
        <v>11</v>
      </c>
      <c r="D120" s="203">
        <f>Entrada_de_Dados_2!D112</f>
        <v>0</v>
      </c>
      <c r="E120" s="203">
        <f>Entrada_de_Dados_2!E112</f>
        <v>0</v>
      </c>
      <c r="F120" s="199">
        <f>Entrada_de_Dados_2!F112</f>
        <v>0</v>
      </c>
      <c r="G120" s="204">
        <f>Entrada_de_Dados_2!G112</f>
        <v>0</v>
      </c>
      <c r="H120" s="204">
        <f>Entrada_de_Dados_2!H112</f>
        <v>0</v>
      </c>
      <c r="I120" s="204">
        <f t="shared" si="6"/>
        <v>0</v>
      </c>
    </row>
    <row r="121" spans="1:9" ht="14.25">
      <c r="A121" s="202">
        <v>3</v>
      </c>
      <c r="B121" s="203">
        <f t="shared" si="7"/>
        <v>0</v>
      </c>
      <c r="C121" s="199">
        <v>12</v>
      </c>
      <c r="D121" s="203">
        <f>Entrada_de_Dados_2!D113</f>
        <v>0</v>
      </c>
      <c r="E121" s="203">
        <f>Entrada_de_Dados_2!E113</f>
        <v>0</v>
      </c>
      <c r="F121" s="199">
        <f>Entrada_de_Dados_2!F113</f>
        <v>0</v>
      </c>
      <c r="G121" s="204">
        <f>Entrada_de_Dados_2!G113</f>
        <v>0</v>
      </c>
      <c r="H121" s="204">
        <f>Entrada_de_Dados_2!H113</f>
        <v>0</v>
      </c>
      <c r="I121" s="204">
        <f t="shared" si="6"/>
        <v>0</v>
      </c>
    </row>
    <row r="122" spans="1:9" ht="14.25">
      <c r="A122" s="202">
        <v>3</v>
      </c>
      <c r="B122" s="203">
        <f t="shared" si="7"/>
        <v>0</v>
      </c>
      <c r="C122" s="199">
        <v>13</v>
      </c>
      <c r="D122" s="203">
        <f>Entrada_de_Dados_2!D114</f>
        <v>0</v>
      </c>
      <c r="E122" s="203">
        <f>Entrada_de_Dados_2!E114</f>
        <v>0</v>
      </c>
      <c r="F122" s="199">
        <f>Entrada_de_Dados_2!F114</f>
        <v>0</v>
      </c>
      <c r="G122" s="204">
        <f>Entrada_de_Dados_2!G114</f>
        <v>0</v>
      </c>
      <c r="H122" s="204">
        <f>Entrada_de_Dados_2!H114</f>
        <v>0</v>
      </c>
      <c r="I122" s="204">
        <f t="shared" si="6"/>
        <v>0</v>
      </c>
    </row>
    <row r="123" spans="1:9" ht="14.25">
      <c r="A123" s="202">
        <v>3</v>
      </c>
      <c r="B123" s="203">
        <f t="shared" si="7"/>
        <v>0</v>
      </c>
      <c r="C123" s="199">
        <v>14</v>
      </c>
      <c r="D123" s="203">
        <f>Entrada_de_Dados_2!D115</f>
        <v>0</v>
      </c>
      <c r="E123" s="203">
        <f>Entrada_de_Dados_2!E115</f>
        <v>0</v>
      </c>
      <c r="F123" s="199">
        <f>Entrada_de_Dados_2!F115</f>
        <v>0</v>
      </c>
      <c r="G123" s="204">
        <f>Entrada_de_Dados_2!G115</f>
        <v>0</v>
      </c>
      <c r="H123" s="204">
        <f>Entrada_de_Dados_2!H115</f>
        <v>0</v>
      </c>
      <c r="I123" s="204">
        <f t="shared" si="6"/>
        <v>0</v>
      </c>
    </row>
    <row r="124" spans="1:9" ht="14.25">
      <c r="A124" s="202">
        <v>3</v>
      </c>
      <c r="B124" s="203">
        <f t="shared" si="7"/>
        <v>0</v>
      </c>
      <c r="C124" s="199">
        <v>15</v>
      </c>
      <c r="D124" s="203">
        <f>Entrada_de_Dados_2!D116</f>
        <v>0</v>
      </c>
      <c r="E124" s="203">
        <f>Entrada_de_Dados_2!E116</f>
        <v>0</v>
      </c>
      <c r="F124" s="199">
        <f>Entrada_de_Dados_2!F116</f>
        <v>0</v>
      </c>
      <c r="G124" s="204">
        <f>Entrada_de_Dados_2!G116</f>
        <v>0</v>
      </c>
      <c r="H124" s="204">
        <f>Entrada_de_Dados_2!H116</f>
        <v>0</v>
      </c>
      <c r="I124" s="204">
        <f t="shared" si="6"/>
        <v>0</v>
      </c>
    </row>
    <row r="125" spans="1:9" ht="14.25">
      <c r="A125" s="202">
        <v>3</v>
      </c>
      <c r="B125" s="203">
        <f t="shared" si="7"/>
        <v>0</v>
      </c>
      <c r="C125" s="199">
        <v>16</v>
      </c>
      <c r="D125" s="203">
        <f>Entrada_de_Dados_2!D117</f>
        <v>0</v>
      </c>
      <c r="E125" s="203">
        <f>Entrada_de_Dados_2!E117</f>
        <v>0</v>
      </c>
      <c r="F125" s="199">
        <f>Entrada_de_Dados_2!F117</f>
        <v>0</v>
      </c>
      <c r="G125" s="204">
        <f>Entrada_de_Dados_2!G117</f>
        <v>0</v>
      </c>
      <c r="H125" s="204">
        <f>Entrada_de_Dados_2!H117</f>
        <v>0</v>
      </c>
      <c r="I125" s="204">
        <f t="shared" si="6"/>
        <v>0</v>
      </c>
    </row>
    <row r="126" spans="1:9" ht="14.25">
      <c r="A126" s="202">
        <v>3</v>
      </c>
      <c r="B126" s="203">
        <f t="shared" si="7"/>
        <v>0</v>
      </c>
      <c r="C126" s="199">
        <v>17</v>
      </c>
      <c r="D126" s="203">
        <f>Entrada_de_Dados_2!D118</f>
        <v>0</v>
      </c>
      <c r="E126" s="203">
        <f>Entrada_de_Dados_2!E118</f>
        <v>0</v>
      </c>
      <c r="F126" s="199">
        <f>Entrada_de_Dados_2!F118</f>
        <v>0</v>
      </c>
      <c r="G126" s="204">
        <f>Entrada_de_Dados_2!G118</f>
        <v>0</v>
      </c>
      <c r="H126" s="204">
        <f>Entrada_de_Dados_2!H118</f>
        <v>0</v>
      </c>
      <c r="I126" s="204">
        <f t="shared" si="6"/>
        <v>0</v>
      </c>
    </row>
    <row r="127" spans="1:9" ht="14.25">
      <c r="A127" s="202">
        <v>3</v>
      </c>
      <c r="B127" s="203">
        <f t="shared" si="7"/>
        <v>0</v>
      </c>
      <c r="C127" s="199">
        <v>18</v>
      </c>
      <c r="D127" s="203">
        <f>Entrada_de_Dados_2!D119</f>
        <v>0</v>
      </c>
      <c r="E127" s="203">
        <f>Entrada_de_Dados_2!E119</f>
        <v>0</v>
      </c>
      <c r="F127" s="199">
        <f>Entrada_de_Dados_2!F119</f>
        <v>0</v>
      </c>
      <c r="G127" s="204">
        <f>Entrada_de_Dados_2!G119</f>
        <v>0</v>
      </c>
      <c r="H127" s="204">
        <f>Entrada_de_Dados_2!H119</f>
        <v>0</v>
      </c>
      <c r="I127" s="204">
        <f t="shared" si="6"/>
        <v>0</v>
      </c>
    </row>
    <row r="128" spans="1:9" ht="14.25">
      <c r="A128" s="202">
        <v>3</v>
      </c>
      <c r="B128" s="203">
        <f t="shared" si="7"/>
        <v>0</v>
      </c>
      <c r="C128" s="199">
        <v>19</v>
      </c>
      <c r="D128" s="203">
        <f>Entrada_de_Dados_2!D120</f>
        <v>0</v>
      </c>
      <c r="E128" s="203">
        <f>Entrada_de_Dados_2!E120</f>
        <v>0</v>
      </c>
      <c r="F128" s="199">
        <f>Entrada_de_Dados_2!F120</f>
        <v>0</v>
      </c>
      <c r="G128" s="204">
        <f>Entrada_de_Dados_2!G120</f>
        <v>0</v>
      </c>
      <c r="H128" s="204">
        <f>Entrada_de_Dados_2!H120</f>
        <v>0</v>
      </c>
      <c r="I128" s="204">
        <f t="shared" si="6"/>
        <v>0</v>
      </c>
    </row>
    <row r="129" spans="1:9" ht="14.25">
      <c r="A129" s="202">
        <v>3</v>
      </c>
      <c r="B129" s="203">
        <f t="shared" si="7"/>
        <v>0</v>
      </c>
      <c r="C129" s="199">
        <v>20</v>
      </c>
      <c r="D129" s="203">
        <f>Entrada_de_Dados_2!D121</f>
        <v>0</v>
      </c>
      <c r="E129" s="203">
        <f>Entrada_de_Dados_2!E121</f>
        <v>0</v>
      </c>
      <c r="F129" s="199">
        <f>Entrada_de_Dados_2!F121</f>
        <v>0</v>
      </c>
      <c r="G129" s="204">
        <f>Entrada_de_Dados_2!G121</f>
        <v>0</v>
      </c>
      <c r="H129" s="204">
        <f>Entrada_de_Dados_2!H121</f>
        <v>0</v>
      </c>
      <c r="I129" s="204">
        <f t="shared" si="6"/>
        <v>0</v>
      </c>
    </row>
    <row r="130" spans="1:9" ht="14.25">
      <c r="A130" s="202">
        <v>3</v>
      </c>
      <c r="B130" s="203">
        <f t="shared" si="7"/>
        <v>0</v>
      </c>
      <c r="C130" s="199">
        <v>21</v>
      </c>
      <c r="D130" s="203">
        <f>Entrada_de_Dados_2!D122</f>
        <v>0</v>
      </c>
      <c r="E130" s="203">
        <f>Entrada_de_Dados_2!E122</f>
        <v>0</v>
      </c>
      <c r="F130" s="199">
        <f>Entrada_de_Dados_2!F122</f>
        <v>0</v>
      </c>
      <c r="G130" s="204">
        <f>Entrada_de_Dados_2!G122</f>
        <v>0</v>
      </c>
      <c r="H130" s="204">
        <f>Entrada_de_Dados_2!H122</f>
        <v>0</v>
      </c>
      <c r="I130" s="204">
        <f t="shared" si="6"/>
        <v>0</v>
      </c>
    </row>
    <row r="131" spans="1:9" ht="14.25">
      <c r="A131" s="202">
        <v>3</v>
      </c>
      <c r="B131" s="203">
        <f t="shared" si="7"/>
        <v>0</v>
      </c>
      <c r="C131" s="199">
        <v>22</v>
      </c>
      <c r="D131" s="203">
        <f>Entrada_de_Dados_2!D123</f>
        <v>0</v>
      </c>
      <c r="E131" s="203">
        <f>Entrada_de_Dados_2!E123</f>
        <v>0</v>
      </c>
      <c r="F131" s="199">
        <f>Entrada_de_Dados_2!F123</f>
        <v>0</v>
      </c>
      <c r="G131" s="204">
        <f>Entrada_de_Dados_2!G123</f>
        <v>0</v>
      </c>
      <c r="H131" s="204">
        <f>Entrada_de_Dados_2!H123</f>
        <v>0</v>
      </c>
      <c r="I131" s="204">
        <f t="shared" si="6"/>
        <v>0</v>
      </c>
    </row>
    <row r="132" spans="1:9" ht="14.25">
      <c r="A132" s="202">
        <v>3</v>
      </c>
      <c r="B132" s="203">
        <f t="shared" si="7"/>
        <v>0</v>
      </c>
      <c r="C132" s="199">
        <v>23</v>
      </c>
      <c r="D132" s="203">
        <f>Entrada_de_Dados_2!D124</f>
        <v>0</v>
      </c>
      <c r="E132" s="203">
        <f>Entrada_de_Dados_2!E124</f>
        <v>0</v>
      </c>
      <c r="F132" s="199">
        <f>Entrada_de_Dados_2!F124</f>
        <v>0</v>
      </c>
      <c r="G132" s="204">
        <f>Entrada_de_Dados_2!G124</f>
        <v>0</v>
      </c>
      <c r="H132" s="204">
        <f>Entrada_de_Dados_2!H124</f>
        <v>0</v>
      </c>
      <c r="I132" s="204">
        <f t="shared" si="6"/>
        <v>0</v>
      </c>
    </row>
    <row r="133" spans="1:9" ht="14.25">
      <c r="A133" s="202">
        <v>3</v>
      </c>
      <c r="B133" s="203">
        <f t="shared" si="7"/>
        <v>0</v>
      </c>
      <c r="C133" s="199">
        <v>24</v>
      </c>
      <c r="D133" s="203">
        <f>Entrada_de_Dados_2!D125</f>
        <v>0</v>
      </c>
      <c r="E133" s="203">
        <f>Entrada_de_Dados_2!E125</f>
        <v>0</v>
      </c>
      <c r="F133" s="199">
        <f>Entrada_de_Dados_2!F125</f>
        <v>0</v>
      </c>
      <c r="G133" s="204">
        <f>Entrada_de_Dados_2!G125</f>
        <v>0</v>
      </c>
      <c r="H133" s="204">
        <f>Entrada_de_Dados_2!H125</f>
        <v>0</v>
      </c>
      <c r="I133" s="204">
        <f t="shared" si="6"/>
        <v>0</v>
      </c>
    </row>
    <row r="134" spans="1:9" ht="14.25">
      <c r="A134" s="202">
        <v>3</v>
      </c>
      <c r="B134" s="203">
        <f t="shared" si="7"/>
        <v>0</v>
      </c>
      <c r="C134" s="199">
        <v>25</v>
      </c>
      <c r="D134" s="203">
        <f>Entrada_de_Dados_2!D126</f>
        <v>0</v>
      </c>
      <c r="E134" s="203">
        <f>Entrada_de_Dados_2!E126</f>
        <v>0</v>
      </c>
      <c r="F134" s="199">
        <f>Entrada_de_Dados_2!F126</f>
        <v>0</v>
      </c>
      <c r="G134" s="204">
        <f>Entrada_de_Dados_2!G126</f>
        <v>0</v>
      </c>
      <c r="H134" s="204">
        <f>Entrada_de_Dados_2!H126</f>
        <v>0</v>
      </c>
      <c r="I134" s="204">
        <f t="shared" si="6"/>
        <v>0</v>
      </c>
    </row>
    <row r="135" spans="1:9" ht="14.25">
      <c r="A135" s="202">
        <v>3</v>
      </c>
      <c r="B135" s="203">
        <f t="shared" si="7"/>
        <v>0</v>
      </c>
      <c r="C135" s="199">
        <v>26</v>
      </c>
      <c r="D135" s="203">
        <f>Entrada_de_Dados_2!D127</f>
        <v>0</v>
      </c>
      <c r="E135" s="203">
        <f>Entrada_de_Dados_2!E127</f>
        <v>0</v>
      </c>
      <c r="F135" s="199">
        <f>Entrada_de_Dados_2!F127</f>
        <v>0</v>
      </c>
      <c r="G135" s="204">
        <f>Entrada_de_Dados_2!G127</f>
        <v>0</v>
      </c>
      <c r="H135" s="204">
        <f>Entrada_de_Dados_2!H127</f>
        <v>0</v>
      </c>
      <c r="I135" s="204">
        <f t="shared" si="6"/>
        <v>0</v>
      </c>
    </row>
    <row r="136" spans="1:9" ht="14.25">
      <c r="A136" s="202">
        <v>3</v>
      </c>
      <c r="B136" s="203">
        <f t="shared" si="7"/>
        <v>0</v>
      </c>
      <c r="C136" s="199">
        <v>27</v>
      </c>
      <c r="D136" s="203">
        <f>Entrada_de_Dados_2!D128</f>
        <v>0</v>
      </c>
      <c r="E136" s="203">
        <f>Entrada_de_Dados_2!E128</f>
        <v>0</v>
      </c>
      <c r="F136" s="199">
        <f>Entrada_de_Dados_2!F128</f>
        <v>0</v>
      </c>
      <c r="G136" s="204">
        <f>Entrada_de_Dados_2!G128</f>
        <v>0</v>
      </c>
      <c r="H136" s="204">
        <f>Entrada_de_Dados_2!H128</f>
        <v>0</v>
      </c>
      <c r="I136" s="204">
        <f t="shared" si="6"/>
        <v>0</v>
      </c>
    </row>
    <row r="137" spans="1:9" ht="14.25">
      <c r="A137" s="202">
        <v>3</v>
      </c>
      <c r="B137" s="203">
        <f t="shared" si="7"/>
        <v>0</v>
      </c>
      <c r="C137" s="199">
        <v>28</v>
      </c>
      <c r="D137" s="203">
        <f>Entrada_de_Dados_2!D129</f>
        <v>0</v>
      </c>
      <c r="E137" s="203">
        <f>Entrada_de_Dados_2!E129</f>
        <v>0</v>
      </c>
      <c r="F137" s="199">
        <f>Entrada_de_Dados_2!F129</f>
        <v>0</v>
      </c>
      <c r="G137" s="204">
        <f>Entrada_de_Dados_2!G129</f>
        <v>0</v>
      </c>
      <c r="H137" s="204">
        <f>Entrada_de_Dados_2!H129</f>
        <v>0</v>
      </c>
      <c r="I137" s="204">
        <f t="shared" si="6"/>
        <v>0</v>
      </c>
    </row>
    <row r="138" spans="1:9" ht="14.25">
      <c r="A138" s="202">
        <v>3</v>
      </c>
      <c r="B138" s="203">
        <f t="shared" si="7"/>
        <v>0</v>
      </c>
      <c r="C138" s="199">
        <v>29</v>
      </c>
      <c r="D138" s="203">
        <f>Entrada_de_Dados_2!D130</f>
        <v>0</v>
      </c>
      <c r="E138" s="203">
        <f>Entrada_de_Dados_2!E130</f>
        <v>0</v>
      </c>
      <c r="F138" s="199">
        <f>Entrada_de_Dados_2!F130</f>
        <v>0</v>
      </c>
      <c r="G138" s="204">
        <f>Entrada_de_Dados_2!G130</f>
        <v>0</v>
      </c>
      <c r="H138" s="204">
        <f>Entrada_de_Dados_2!H130</f>
        <v>0</v>
      </c>
      <c r="I138" s="204">
        <f t="shared" si="6"/>
        <v>0</v>
      </c>
    </row>
    <row r="139" spans="1:9" ht="14.25">
      <c r="A139" s="202">
        <v>3</v>
      </c>
      <c r="B139" s="203">
        <f t="shared" si="7"/>
        <v>0</v>
      </c>
      <c r="C139" s="199">
        <v>30</v>
      </c>
      <c r="D139" s="203">
        <f>Entrada_de_Dados_2!D131</f>
        <v>0</v>
      </c>
      <c r="E139" s="203">
        <f>Entrada_de_Dados_2!E131</f>
        <v>0</v>
      </c>
      <c r="F139" s="199">
        <f>Entrada_de_Dados_2!F131</f>
        <v>0</v>
      </c>
      <c r="G139" s="204">
        <f>Entrada_de_Dados_2!G131</f>
        <v>0</v>
      </c>
      <c r="H139" s="204">
        <f>Entrada_de_Dados_2!H131</f>
        <v>0</v>
      </c>
      <c r="I139" s="204">
        <f t="shared" si="6"/>
        <v>0</v>
      </c>
    </row>
    <row r="140" spans="1:9" ht="14.25">
      <c r="A140" s="202">
        <v>3</v>
      </c>
      <c r="B140" s="203">
        <f t="shared" si="7"/>
        <v>0</v>
      </c>
      <c r="C140" s="199">
        <v>31</v>
      </c>
      <c r="D140" s="203">
        <f>Entrada_de_Dados_2!D132</f>
        <v>0</v>
      </c>
      <c r="E140" s="203">
        <f>Entrada_de_Dados_2!E132</f>
        <v>0</v>
      </c>
      <c r="F140" s="199">
        <f>Entrada_de_Dados_2!F132</f>
        <v>0</v>
      </c>
      <c r="G140" s="204">
        <f>Entrada_de_Dados_2!G132</f>
        <v>0</v>
      </c>
      <c r="H140" s="204">
        <f>Entrada_de_Dados_2!H132</f>
        <v>0</v>
      </c>
      <c r="I140" s="204">
        <f t="shared" si="6"/>
        <v>0</v>
      </c>
    </row>
    <row r="141" spans="1:9" ht="14.25">
      <c r="A141" s="202">
        <v>3</v>
      </c>
      <c r="B141" s="203">
        <f t="shared" si="7"/>
        <v>0</v>
      </c>
      <c r="C141" s="199">
        <v>32</v>
      </c>
      <c r="D141" s="203">
        <f>Entrada_de_Dados_2!D133</f>
        <v>0</v>
      </c>
      <c r="E141" s="203">
        <f>Entrada_de_Dados_2!E133</f>
        <v>0</v>
      </c>
      <c r="F141" s="199">
        <f>Entrada_de_Dados_2!F133</f>
        <v>0</v>
      </c>
      <c r="G141" s="204">
        <f>Entrada_de_Dados_2!G133</f>
        <v>0</v>
      </c>
      <c r="H141" s="204">
        <f>Entrada_de_Dados_2!H133</f>
        <v>0</v>
      </c>
      <c r="I141" s="204">
        <f t="shared" si="6"/>
        <v>0</v>
      </c>
    </row>
    <row r="142" spans="1:9" ht="14.25">
      <c r="A142" s="202">
        <v>3</v>
      </c>
      <c r="B142" s="203">
        <f t="shared" si="7"/>
        <v>0</v>
      </c>
      <c r="C142" s="199">
        <v>33</v>
      </c>
      <c r="D142" s="203">
        <f>Entrada_de_Dados_2!D134</f>
        <v>0</v>
      </c>
      <c r="E142" s="203">
        <f>Entrada_de_Dados_2!E134</f>
        <v>0</v>
      </c>
      <c r="F142" s="199">
        <f>Entrada_de_Dados_2!F134</f>
        <v>0</v>
      </c>
      <c r="G142" s="204">
        <f>Entrada_de_Dados_2!G134</f>
        <v>0</v>
      </c>
      <c r="H142" s="204">
        <f>Entrada_de_Dados_2!H134</f>
        <v>0</v>
      </c>
      <c r="I142" s="204">
        <f t="shared" ref="I142:I159" si="8">G142*H142</f>
        <v>0</v>
      </c>
    </row>
    <row r="143" spans="1:9" ht="14.25">
      <c r="A143" s="202">
        <v>3</v>
      </c>
      <c r="B143" s="203">
        <f t="shared" si="7"/>
        <v>0</v>
      </c>
      <c r="C143" s="199">
        <v>34</v>
      </c>
      <c r="D143" s="203">
        <f>Entrada_de_Dados_2!D135</f>
        <v>0</v>
      </c>
      <c r="E143" s="203">
        <f>Entrada_de_Dados_2!E135</f>
        <v>0</v>
      </c>
      <c r="F143" s="199">
        <f>Entrada_de_Dados_2!F135</f>
        <v>0</v>
      </c>
      <c r="G143" s="204">
        <f>Entrada_de_Dados_2!G135</f>
        <v>0</v>
      </c>
      <c r="H143" s="204">
        <f>Entrada_de_Dados_2!H135</f>
        <v>0</v>
      </c>
      <c r="I143" s="204">
        <f t="shared" si="8"/>
        <v>0</v>
      </c>
    </row>
    <row r="144" spans="1:9" ht="14.25">
      <c r="A144" s="202">
        <v>3</v>
      </c>
      <c r="B144" s="203">
        <f t="shared" si="7"/>
        <v>0</v>
      </c>
      <c r="C144" s="199">
        <v>35</v>
      </c>
      <c r="D144" s="203">
        <f>Entrada_de_Dados_2!D136</f>
        <v>0</v>
      </c>
      <c r="E144" s="203">
        <f>Entrada_de_Dados_2!E136</f>
        <v>0</v>
      </c>
      <c r="F144" s="199">
        <f>Entrada_de_Dados_2!F136</f>
        <v>0</v>
      </c>
      <c r="G144" s="204">
        <f>Entrada_de_Dados_2!G136</f>
        <v>0</v>
      </c>
      <c r="H144" s="204">
        <f>Entrada_de_Dados_2!H136</f>
        <v>0</v>
      </c>
      <c r="I144" s="204">
        <f t="shared" si="8"/>
        <v>0</v>
      </c>
    </row>
    <row r="145" spans="1:9" ht="14.25">
      <c r="A145" s="202">
        <v>3</v>
      </c>
      <c r="B145" s="203">
        <f t="shared" si="7"/>
        <v>0</v>
      </c>
      <c r="C145" s="199">
        <v>36</v>
      </c>
      <c r="D145" s="203">
        <f>Entrada_de_Dados_2!D137</f>
        <v>0</v>
      </c>
      <c r="E145" s="203">
        <f>Entrada_de_Dados_2!E137</f>
        <v>0</v>
      </c>
      <c r="F145" s="199">
        <f>Entrada_de_Dados_2!F137</f>
        <v>0</v>
      </c>
      <c r="G145" s="204">
        <f>Entrada_de_Dados_2!G137</f>
        <v>0</v>
      </c>
      <c r="H145" s="204">
        <f>Entrada_de_Dados_2!H137</f>
        <v>0</v>
      </c>
      <c r="I145" s="204">
        <f t="shared" si="8"/>
        <v>0</v>
      </c>
    </row>
    <row r="146" spans="1:9" ht="14.25">
      <c r="A146" s="202">
        <v>3</v>
      </c>
      <c r="B146" s="203">
        <f t="shared" si="7"/>
        <v>0</v>
      </c>
      <c r="C146" s="199">
        <v>37</v>
      </c>
      <c r="D146" s="203">
        <f>Entrada_de_Dados_2!D138</f>
        <v>0</v>
      </c>
      <c r="E146" s="203">
        <f>Entrada_de_Dados_2!E138</f>
        <v>0</v>
      </c>
      <c r="F146" s="199">
        <f>Entrada_de_Dados_2!F138</f>
        <v>0</v>
      </c>
      <c r="G146" s="204">
        <f>Entrada_de_Dados_2!G138</f>
        <v>0</v>
      </c>
      <c r="H146" s="204">
        <f>Entrada_de_Dados_2!H138</f>
        <v>0</v>
      </c>
      <c r="I146" s="204">
        <f t="shared" si="8"/>
        <v>0</v>
      </c>
    </row>
    <row r="147" spans="1:9" ht="14.25">
      <c r="A147" s="202">
        <v>3</v>
      </c>
      <c r="B147" s="203">
        <f t="shared" si="7"/>
        <v>0</v>
      </c>
      <c r="C147" s="199">
        <v>38</v>
      </c>
      <c r="D147" s="203">
        <f>Entrada_de_Dados_2!D139</f>
        <v>0</v>
      </c>
      <c r="E147" s="203">
        <f>Entrada_de_Dados_2!E139</f>
        <v>0</v>
      </c>
      <c r="F147" s="199">
        <f>Entrada_de_Dados_2!F139</f>
        <v>0</v>
      </c>
      <c r="G147" s="204">
        <f>Entrada_de_Dados_2!G139</f>
        <v>0</v>
      </c>
      <c r="H147" s="204">
        <f>Entrada_de_Dados_2!H139</f>
        <v>0</v>
      </c>
      <c r="I147" s="204">
        <f t="shared" si="8"/>
        <v>0</v>
      </c>
    </row>
    <row r="148" spans="1:9" ht="14.25">
      <c r="A148" s="202">
        <v>3</v>
      </c>
      <c r="B148" s="203">
        <f t="shared" si="7"/>
        <v>0</v>
      </c>
      <c r="C148" s="199">
        <v>39</v>
      </c>
      <c r="D148" s="203">
        <f>Entrada_de_Dados_2!D140</f>
        <v>0</v>
      </c>
      <c r="E148" s="203">
        <f>Entrada_de_Dados_2!E140</f>
        <v>0</v>
      </c>
      <c r="F148" s="199">
        <f>Entrada_de_Dados_2!F140</f>
        <v>0</v>
      </c>
      <c r="G148" s="204">
        <f>Entrada_de_Dados_2!G140</f>
        <v>0</v>
      </c>
      <c r="H148" s="204">
        <f>Entrada_de_Dados_2!H140</f>
        <v>0</v>
      </c>
      <c r="I148" s="204">
        <f t="shared" si="8"/>
        <v>0</v>
      </c>
    </row>
    <row r="149" spans="1:9" ht="14.25">
      <c r="A149" s="202">
        <v>3</v>
      </c>
      <c r="B149" s="203">
        <f t="shared" si="7"/>
        <v>0</v>
      </c>
      <c r="C149" s="199">
        <v>40</v>
      </c>
      <c r="D149" s="203">
        <f>Entrada_de_Dados_2!D141</f>
        <v>0</v>
      </c>
      <c r="E149" s="203">
        <f>Entrada_de_Dados_2!E141</f>
        <v>0</v>
      </c>
      <c r="F149" s="199">
        <f>Entrada_de_Dados_2!F141</f>
        <v>0</v>
      </c>
      <c r="G149" s="204">
        <f>Entrada_de_Dados_2!G141</f>
        <v>0</v>
      </c>
      <c r="H149" s="204">
        <f>Entrada_de_Dados_2!H141</f>
        <v>0</v>
      </c>
      <c r="I149" s="204">
        <f t="shared" si="8"/>
        <v>0</v>
      </c>
    </row>
    <row r="150" spans="1:9" ht="14.25">
      <c r="A150" s="202">
        <v>3</v>
      </c>
      <c r="B150" s="203">
        <f t="shared" si="7"/>
        <v>0</v>
      </c>
      <c r="C150" s="199">
        <v>41</v>
      </c>
      <c r="D150" s="203">
        <f>Entrada_de_Dados_2!D142</f>
        <v>0</v>
      </c>
      <c r="E150" s="203">
        <f>Entrada_de_Dados_2!E142</f>
        <v>0</v>
      </c>
      <c r="F150" s="199">
        <f>Entrada_de_Dados_2!F142</f>
        <v>0</v>
      </c>
      <c r="G150" s="204">
        <f>Entrada_de_Dados_2!G142</f>
        <v>0</v>
      </c>
      <c r="H150" s="204">
        <f>Entrada_de_Dados_2!H142</f>
        <v>0</v>
      </c>
      <c r="I150" s="204">
        <f t="shared" si="8"/>
        <v>0</v>
      </c>
    </row>
    <row r="151" spans="1:9" ht="14.25">
      <c r="A151" s="202">
        <v>3</v>
      </c>
      <c r="B151" s="203">
        <f t="shared" si="7"/>
        <v>0</v>
      </c>
      <c r="C151" s="199">
        <v>42</v>
      </c>
      <c r="D151" s="203">
        <f>Entrada_de_Dados_2!D143</f>
        <v>0</v>
      </c>
      <c r="E151" s="203">
        <f>Entrada_de_Dados_2!E143</f>
        <v>0</v>
      </c>
      <c r="F151" s="199">
        <f>Entrada_de_Dados_2!F143</f>
        <v>0</v>
      </c>
      <c r="G151" s="204">
        <f>Entrada_de_Dados_2!G143</f>
        <v>0</v>
      </c>
      <c r="H151" s="204">
        <f>Entrada_de_Dados_2!H143</f>
        <v>0</v>
      </c>
      <c r="I151" s="204">
        <f t="shared" si="8"/>
        <v>0</v>
      </c>
    </row>
    <row r="152" spans="1:9" ht="14.25">
      <c r="A152" s="202">
        <v>3</v>
      </c>
      <c r="B152" s="203">
        <f t="shared" si="7"/>
        <v>0</v>
      </c>
      <c r="C152" s="199">
        <v>43</v>
      </c>
      <c r="D152" s="203">
        <f>Entrada_de_Dados_2!D144</f>
        <v>0</v>
      </c>
      <c r="E152" s="203">
        <f>Entrada_de_Dados_2!E144</f>
        <v>0</v>
      </c>
      <c r="F152" s="199">
        <f>Entrada_de_Dados_2!F144</f>
        <v>0</v>
      </c>
      <c r="G152" s="204">
        <f>Entrada_de_Dados_2!G144</f>
        <v>0</v>
      </c>
      <c r="H152" s="204">
        <f>Entrada_de_Dados_2!H144</f>
        <v>0</v>
      </c>
      <c r="I152" s="204">
        <f t="shared" si="8"/>
        <v>0</v>
      </c>
    </row>
    <row r="153" spans="1:9" ht="14.25">
      <c r="A153" s="202">
        <v>3</v>
      </c>
      <c r="B153" s="203">
        <f t="shared" si="7"/>
        <v>0</v>
      </c>
      <c r="C153" s="199">
        <v>44</v>
      </c>
      <c r="D153" s="203">
        <f>Entrada_de_Dados_2!D145</f>
        <v>0</v>
      </c>
      <c r="E153" s="203">
        <f>Entrada_de_Dados_2!E145</f>
        <v>0</v>
      </c>
      <c r="F153" s="199">
        <f>Entrada_de_Dados_2!F145</f>
        <v>0</v>
      </c>
      <c r="G153" s="204">
        <f>Entrada_de_Dados_2!G145</f>
        <v>0</v>
      </c>
      <c r="H153" s="204">
        <f>Entrada_de_Dados_2!H145</f>
        <v>0</v>
      </c>
      <c r="I153" s="204">
        <f t="shared" si="8"/>
        <v>0</v>
      </c>
    </row>
    <row r="154" spans="1:9" ht="14.25">
      <c r="A154" s="202">
        <v>3</v>
      </c>
      <c r="B154" s="203">
        <f t="shared" si="7"/>
        <v>0</v>
      </c>
      <c r="C154" s="199">
        <v>45</v>
      </c>
      <c r="D154" s="203">
        <f>Entrada_de_Dados_2!D146</f>
        <v>0</v>
      </c>
      <c r="E154" s="203">
        <f>Entrada_de_Dados_2!E146</f>
        <v>0</v>
      </c>
      <c r="F154" s="199">
        <f>Entrada_de_Dados_2!F146</f>
        <v>0</v>
      </c>
      <c r="G154" s="204">
        <f>Entrada_de_Dados_2!G146</f>
        <v>0</v>
      </c>
      <c r="H154" s="204">
        <f>Entrada_de_Dados_2!H146</f>
        <v>0</v>
      </c>
      <c r="I154" s="204">
        <f t="shared" si="8"/>
        <v>0</v>
      </c>
    </row>
    <row r="155" spans="1:9" ht="14.25">
      <c r="A155" s="202">
        <v>3</v>
      </c>
      <c r="B155" s="203">
        <f t="shared" si="7"/>
        <v>0</v>
      </c>
      <c r="C155" s="199">
        <v>46</v>
      </c>
      <c r="D155" s="203">
        <f>Entrada_de_Dados_2!D147</f>
        <v>0</v>
      </c>
      <c r="E155" s="203">
        <f>Entrada_de_Dados_2!E147</f>
        <v>0</v>
      </c>
      <c r="F155" s="199">
        <f>Entrada_de_Dados_2!F147</f>
        <v>0</v>
      </c>
      <c r="G155" s="204">
        <f>Entrada_de_Dados_2!G147</f>
        <v>0</v>
      </c>
      <c r="H155" s="204">
        <f>Entrada_de_Dados_2!H147</f>
        <v>0</v>
      </c>
      <c r="I155" s="204">
        <f t="shared" si="8"/>
        <v>0</v>
      </c>
    </row>
    <row r="156" spans="1:9" ht="14.25">
      <c r="A156" s="202">
        <v>3</v>
      </c>
      <c r="B156" s="203">
        <f t="shared" si="7"/>
        <v>0</v>
      </c>
      <c r="C156" s="199">
        <v>47</v>
      </c>
      <c r="D156" s="203">
        <f>Entrada_de_Dados_2!D148</f>
        <v>0</v>
      </c>
      <c r="E156" s="203">
        <f>Entrada_de_Dados_2!E148</f>
        <v>0</v>
      </c>
      <c r="F156" s="199">
        <f>Entrada_de_Dados_2!F148</f>
        <v>0</v>
      </c>
      <c r="G156" s="204">
        <f>Entrada_de_Dados_2!G148</f>
        <v>0</v>
      </c>
      <c r="H156" s="204">
        <f>Entrada_de_Dados_2!H148</f>
        <v>0</v>
      </c>
      <c r="I156" s="204">
        <f t="shared" si="8"/>
        <v>0</v>
      </c>
    </row>
    <row r="157" spans="1:9" ht="14.25">
      <c r="A157" s="202">
        <v>3</v>
      </c>
      <c r="B157" s="203">
        <f t="shared" si="7"/>
        <v>0</v>
      </c>
      <c r="C157" s="199">
        <v>48</v>
      </c>
      <c r="D157" s="203">
        <f>Entrada_de_Dados_2!D149</f>
        <v>0</v>
      </c>
      <c r="E157" s="203">
        <f>Entrada_de_Dados_2!E149</f>
        <v>0</v>
      </c>
      <c r="F157" s="199">
        <f>Entrada_de_Dados_2!F149</f>
        <v>0</v>
      </c>
      <c r="G157" s="204">
        <f>Entrada_de_Dados_2!G149</f>
        <v>0</v>
      </c>
      <c r="H157" s="204">
        <f>Entrada_de_Dados_2!H149</f>
        <v>0</v>
      </c>
      <c r="I157" s="204">
        <f t="shared" si="8"/>
        <v>0</v>
      </c>
    </row>
    <row r="158" spans="1:9" ht="14.25">
      <c r="A158" s="202">
        <v>3</v>
      </c>
      <c r="B158" s="203">
        <f t="shared" si="7"/>
        <v>0</v>
      </c>
      <c r="C158" s="199">
        <v>49</v>
      </c>
      <c r="D158" s="203">
        <f>Entrada_de_Dados_2!D150</f>
        <v>0</v>
      </c>
      <c r="E158" s="203">
        <f>Entrada_de_Dados_2!E150</f>
        <v>0</v>
      </c>
      <c r="F158" s="199">
        <f>Entrada_de_Dados_2!F150</f>
        <v>0</v>
      </c>
      <c r="G158" s="204">
        <f>Entrada_de_Dados_2!G150</f>
        <v>0</v>
      </c>
      <c r="H158" s="204">
        <f>Entrada_de_Dados_2!H150</f>
        <v>0</v>
      </c>
      <c r="I158" s="204">
        <f t="shared" si="8"/>
        <v>0</v>
      </c>
    </row>
    <row r="159" spans="1:9" ht="14.25">
      <c r="A159" s="202">
        <v>3</v>
      </c>
      <c r="B159" s="203">
        <f t="shared" si="7"/>
        <v>0</v>
      </c>
      <c r="C159" s="199">
        <v>50</v>
      </c>
      <c r="D159" s="203">
        <f>Entrada_de_Dados_2!D151</f>
        <v>0</v>
      </c>
      <c r="E159" s="203">
        <f>Entrada_de_Dados_2!E151</f>
        <v>0</v>
      </c>
      <c r="F159" s="213">
        <f>Entrada_de_Dados_2!F151</f>
        <v>0</v>
      </c>
      <c r="G159" s="219">
        <f>Entrada_de_Dados_2!G151</f>
        <v>0</v>
      </c>
      <c r="H159" s="219">
        <f>Entrada_de_Dados_2!H151</f>
        <v>0</v>
      </c>
      <c r="I159" s="219">
        <f t="shared" si="8"/>
        <v>0</v>
      </c>
    </row>
    <row r="160" spans="1:9" ht="14.25">
      <c r="A160" s="202"/>
      <c r="B160" s="203"/>
      <c r="F160" s="205" t="s">
        <v>17</v>
      </c>
      <c r="G160" s="206" t="e">
        <f>I160/I163</f>
        <v>#DIV/0!</v>
      </c>
      <c r="H160" s="205" t="s">
        <v>5</v>
      </c>
      <c r="I160" s="207">
        <f>SUMIF($F$110:$F$159,H160,$I$110:$I$159)</f>
        <v>0</v>
      </c>
    </row>
    <row r="161" spans="1:11" ht="14.25">
      <c r="A161" s="202"/>
      <c r="B161" s="203"/>
      <c r="F161" s="205" t="s">
        <v>18</v>
      </c>
      <c r="G161" s="206" t="e">
        <f>I161/I163</f>
        <v>#DIV/0!</v>
      </c>
      <c r="H161" s="205" t="s">
        <v>6</v>
      </c>
      <c r="I161" s="207">
        <f>SUMIF($F$110:$F$159,H161,$I$110:$I$159)</f>
        <v>0</v>
      </c>
    </row>
    <row r="162" spans="1:11" ht="14.25">
      <c r="A162" s="202"/>
      <c r="B162" s="203"/>
      <c r="F162" s="205" t="s">
        <v>19</v>
      </c>
      <c r="G162" s="206" t="e">
        <f>I162/I163</f>
        <v>#DIV/0!</v>
      </c>
      <c r="H162" s="205" t="s">
        <v>7</v>
      </c>
      <c r="I162" s="207">
        <f>SUMIF($F$110:$F$159,H162,$I$110:$I$159)</f>
        <v>0</v>
      </c>
    </row>
    <row r="163" spans="1:11" ht="14.25">
      <c r="A163" s="211"/>
      <c r="B163" s="212"/>
      <c r="C163" s="213"/>
      <c r="D163" s="214"/>
      <c r="E163" s="214"/>
      <c r="F163" s="215" t="s">
        <v>20</v>
      </c>
      <c r="G163" s="216" t="e">
        <f>SUM(G160:G162)</f>
        <v>#DIV/0!</v>
      </c>
      <c r="H163" s="215" t="s">
        <v>21</v>
      </c>
      <c r="I163" s="217">
        <f>SUM(I160:I162)</f>
        <v>0</v>
      </c>
    </row>
    <row r="164" spans="1:11" ht="14.25">
      <c r="A164" s="202">
        <v>4</v>
      </c>
      <c r="B164" s="203">
        <f>Entrada_de_Dados_2!B152</f>
        <v>0</v>
      </c>
      <c r="C164" s="199">
        <v>1</v>
      </c>
      <c r="D164" s="203">
        <f>Entrada_de_Dados_2!D152</f>
        <v>0</v>
      </c>
      <c r="E164" s="203">
        <f>Entrada_de_Dados_2!E152</f>
        <v>0</v>
      </c>
      <c r="F164" s="199">
        <f>Entrada_de_Dados_2!F152</f>
        <v>0</v>
      </c>
      <c r="G164" s="204">
        <f>Entrada_de_Dados_2!G152</f>
        <v>0</v>
      </c>
      <c r="H164" s="204">
        <f>Entrada_de_Dados_2!H152</f>
        <v>0</v>
      </c>
      <c r="I164" s="204">
        <f t="shared" ref="I164:I195" si="9">G164*H164</f>
        <v>0</v>
      </c>
      <c r="K164" s="199"/>
    </row>
    <row r="165" spans="1:11" ht="14.25">
      <c r="A165" s="202">
        <v>4</v>
      </c>
      <c r="B165" s="203">
        <f>$B$164</f>
        <v>0</v>
      </c>
      <c r="C165" s="199">
        <v>2</v>
      </c>
      <c r="D165" s="203">
        <f>Entrada_de_Dados_2!D153</f>
        <v>0</v>
      </c>
      <c r="E165" s="203">
        <f>Entrada_de_Dados_2!E153</f>
        <v>0</v>
      </c>
      <c r="F165" s="199">
        <f>Entrada_de_Dados_2!F153</f>
        <v>0</v>
      </c>
      <c r="G165" s="204">
        <f>Entrada_de_Dados_2!G153</f>
        <v>0</v>
      </c>
      <c r="H165" s="204">
        <f>Entrada_de_Dados_2!H153</f>
        <v>0</v>
      </c>
      <c r="I165" s="204">
        <f t="shared" si="9"/>
        <v>0</v>
      </c>
      <c r="K165" s="199"/>
    </row>
    <row r="166" spans="1:11" ht="14.25">
      <c r="A166" s="202">
        <v>4</v>
      </c>
      <c r="B166" s="203">
        <f t="shared" ref="B166:B213" si="10">$B$164</f>
        <v>0</v>
      </c>
      <c r="C166" s="199">
        <v>3</v>
      </c>
      <c r="D166" s="203">
        <f>Entrada_de_Dados_2!D154</f>
        <v>0</v>
      </c>
      <c r="E166" s="203">
        <f>Entrada_de_Dados_2!E154</f>
        <v>0</v>
      </c>
      <c r="F166" s="199">
        <f>Entrada_de_Dados_2!F154</f>
        <v>0</v>
      </c>
      <c r="G166" s="204">
        <f>Entrada_de_Dados_2!G154</f>
        <v>0</v>
      </c>
      <c r="H166" s="204">
        <f>Entrada_de_Dados_2!H154</f>
        <v>0</v>
      </c>
      <c r="I166" s="204">
        <f t="shared" si="9"/>
        <v>0</v>
      </c>
    </row>
    <row r="167" spans="1:11" ht="14.25">
      <c r="A167" s="202">
        <v>4</v>
      </c>
      <c r="B167" s="203">
        <f t="shared" si="10"/>
        <v>0</v>
      </c>
      <c r="C167" s="199">
        <v>4</v>
      </c>
      <c r="D167" s="203">
        <f>Entrada_de_Dados_2!D155</f>
        <v>0</v>
      </c>
      <c r="E167" s="203">
        <f>Entrada_de_Dados_2!E155</f>
        <v>0</v>
      </c>
      <c r="F167" s="199">
        <f>Entrada_de_Dados_2!F155</f>
        <v>0</v>
      </c>
      <c r="G167" s="204">
        <f>Entrada_de_Dados_2!G155</f>
        <v>0</v>
      </c>
      <c r="H167" s="204">
        <f>Entrada_de_Dados_2!H155</f>
        <v>0</v>
      </c>
      <c r="I167" s="204">
        <f t="shared" si="9"/>
        <v>0</v>
      </c>
    </row>
    <row r="168" spans="1:11" ht="14.25">
      <c r="A168" s="202">
        <v>4</v>
      </c>
      <c r="B168" s="203">
        <f t="shared" si="10"/>
        <v>0</v>
      </c>
      <c r="C168" s="199">
        <v>5</v>
      </c>
      <c r="D168" s="203">
        <f>Entrada_de_Dados_2!D156</f>
        <v>0</v>
      </c>
      <c r="E168" s="203">
        <f>Entrada_de_Dados_2!E156</f>
        <v>0</v>
      </c>
      <c r="F168" s="199">
        <f>Entrada_de_Dados_2!F156</f>
        <v>0</v>
      </c>
      <c r="G168" s="204">
        <f>Entrada_de_Dados_2!G156</f>
        <v>0</v>
      </c>
      <c r="H168" s="204">
        <f>Entrada_de_Dados_2!H156</f>
        <v>0</v>
      </c>
      <c r="I168" s="204">
        <f t="shared" si="9"/>
        <v>0</v>
      </c>
    </row>
    <row r="169" spans="1:11" ht="14.25">
      <c r="A169" s="202">
        <v>4</v>
      </c>
      <c r="B169" s="203">
        <f t="shared" si="10"/>
        <v>0</v>
      </c>
      <c r="C169" s="199">
        <v>6</v>
      </c>
      <c r="D169" s="203">
        <f>Entrada_de_Dados_2!D157</f>
        <v>0</v>
      </c>
      <c r="E169" s="203">
        <f>Entrada_de_Dados_2!E157</f>
        <v>0</v>
      </c>
      <c r="F169" s="199">
        <f>Entrada_de_Dados_2!F157</f>
        <v>0</v>
      </c>
      <c r="G169" s="204">
        <f>Entrada_de_Dados_2!G157</f>
        <v>0</v>
      </c>
      <c r="H169" s="204">
        <f>Entrada_de_Dados_2!H157</f>
        <v>0</v>
      </c>
      <c r="I169" s="204">
        <f t="shared" si="9"/>
        <v>0</v>
      </c>
    </row>
    <row r="170" spans="1:11" ht="14.25">
      <c r="A170" s="202">
        <v>4</v>
      </c>
      <c r="B170" s="203">
        <f t="shared" si="10"/>
        <v>0</v>
      </c>
      <c r="C170" s="199">
        <v>7</v>
      </c>
      <c r="D170" s="203">
        <f>Entrada_de_Dados_2!D158</f>
        <v>0</v>
      </c>
      <c r="E170" s="203">
        <f>Entrada_de_Dados_2!E158</f>
        <v>0</v>
      </c>
      <c r="F170" s="199">
        <f>Entrada_de_Dados_2!F158</f>
        <v>0</v>
      </c>
      <c r="G170" s="204">
        <f>Entrada_de_Dados_2!G158</f>
        <v>0</v>
      </c>
      <c r="H170" s="204">
        <f>Entrada_de_Dados_2!H158</f>
        <v>0</v>
      </c>
      <c r="I170" s="204">
        <f t="shared" si="9"/>
        <v>0</v>
      </c>
    </row>
    <row r="171" spans="1:11" ht="14.25">
      <c r="A171" s="202">
        <v>4</v>
      </c>
      <c r="B171" s="203">
        <f t="shared" si="10"/>
        <v>0</v>
      </c>
      <c r="C171" s="199">
        <v>8</v>
      </c>
      <c r="D171" s="203">
        <f>Entrada_de_Dados_2!D159</f>
        <v>0</v>
      </c>
      <c r="E171" s="203">
        <f>Entrada_de_Dados_2!E159</f>
        <v>0</v>
      </c>
      <c r="F171" s="199">
        <f>Entrada_de_Dados_2!F159</f>
        <v>0</v>
      </c>
      <c r="G171" s="204">
        <f>Entrada_de_Dados_2!G159</f>
        <v>0</v>
      </c>
      <c r="H171" s="204">
        <f>Entrada_de_Dados_2!H159</f>
        <v>0</v>
      </c>
      <c r="I171" s="204">
        <f t="shared" si="9"/>
        <v>0</v>
      </c>
    </row>
    <row r="172" spans="1:11" ht="14.25">
      <c r="A172" s="202">
        <v>4</v>
      </c>
      <c r="B172" s="203">
        <f t="shared" si="10"/>
        <v>0</v>
      </c>
      <c r="C172" s="199">
        <v>9</v>
      </c>
      <c r="D172" s="203">
        <f>Entrada_de_Dados_2!D160</f>
        <v>0</v>
      </c>
      <c r="E172" s="203">
        <f>Entrada_de_Dados_2!E160</f>
        <v>0</v>
      </c>
      <c r="F172" s="199">
        <f>Entrada_de_Dados_2!F160</f>
        <v>0</v>
      </c>
      <c r="G172" s="204">
        <f>Entrada_de_Dados_2!G160</f>
        <v>0</v>
      </c>
      <c r="H172" s="204">
        <f>Entrada_de_Dados_2!H160</f>
        <v>0</v>
      </c>
      <c r="I172" s="204">
        <f t="shared" si="9"/>
        <v>0</v>
      </c>
    </row>
    <row r="173" spans="1:11" ht="14.25">
      <c r="A173" s="202">
        <v>4</v>
      </c>
      <c r="B173" s="203">
        <f t="shared" si="10"/>
        <v>0</v>
      </c>
      <c r="C173" s="199">
        <v>10</v>
      </c>
      <c r="D173" s="203">
        <f>Entrada_de_Dados_2!D161</f>
        <v>0</v>
      </c>
      <c r="E173" s="203">
        <f>Entrada_de_Dados_2!E161</f>
        <v>0</v>
      </c>
      <c r="F173" s="199">
        <f>Entrada_de_Dados_2!F161</f>
        <v>0</v>
      </c>
      <c r="G173" s="204">
        <f>Entrada_de_Dados_2!G161</f>
        <v>0</v>
      </c>
      <c r="H173" s="204">
        <f>Entrada_de_Dados_2!H161</f>
        <v>0</v>
      </c>
      <c r="I173" s="204">
        <f t="shared" si="9"/>
        <v>0</v>
      </c>
    </row>
    <row r="174" spans="1:11" ht="14.25">
      <c r="A174" s="202">
        <v>4</v>
      </c>
      <c r="B174" s="203">
        <f t="shared" si="10"/>
        <v>0</v>
      </c>
      <c r="C174" s="199">
        <v>11</v>
      </c>
      <c r="D174" s="203">
        <f>Entrada_de_Dados_2!D162</f>
        <v>0</v>
      </c>
      <c r="E174" s="203">
        <f>Entrada_de_Dados_2!E162</f>
        <v>0</v>
      </c>
      <c r="F174" s="199">
        <f>Entrada_de_Dados_2!F162</f>
        <v>0</v>
      </c>
      <c r="G174" s="204">
        <f>Entrada_de_Dados_2!G162</f>
        <v>0</v>
      </c>
      <c r="H174" s="204">
        <f>Entrada_de_Dados_2!H162</f>
        <v>0</v>
      </c>
      <c r="I174" s="204">
        <f t="shared" si="9"/>
        <v>0</v>
      </c>
    </row>
    <row r="175" spans="1:11" ht="14.25">
      <c r="A175" s="202">
        <v>4</v>
      </c>
      <c r="B175" s="203">
        <f t="shared" si="10"/>
        <v>0</v>
      </c>
      <c r="C175" s="199">
        <v>12</v>
      </c>
      <c r="D175" s="203">
        <f>Entrada_de_Dados_2!D163</f>
        <v>0</v>
      </c>
      <c r="E175" s="203">
        <f>Entrada_de_Dados_2!E163</f>
        <v>0</v>
      </c>
      <c r="F175" s="199">
        <f>Entrada_de_Dados_2!F163</f>
        <v>0</v>
      </c>
      <c r="G175" s="204">
        <f>Entrada_de_Dados_2!G163</f>
        <v>0</v>
      </c>
      <c r="H175" s="204">
        <f>Entrada_de_Dados_2!H163</f>
        <v>0</v>
      </c>
      <c r="I175" s="204">
        <f t="shared" si="9"/>
        <v>0</v>
      </c>
    </row>
    <row r="176" spans="1:11" ht="14.25">
      <c r="A176" s="202">
        <v>4</v>
      </c>
      <c r="B176" s="203">
        <f t="shared" si="10"/>
        <v>0</v>
      </c>
      <c r="C176" s="199">
        <v>13</v>
      </c>
      <c r="D176" s="203">
        <f>Entrada_de_Dados_2!D164</f>
        <v>0</v>
      </c>
      <c r="E176" s="203">
        <f>Entrada_de_Dados_2!E164</f>
        <v>0</v>
      </c>
      <c r="F176" s="199">
        <f>Entrada_de_Dados_2!F164</f>
        <v>0</v>
      </c>
      <c r="G176" s="204">
        <f>Entrada_de_Dados_2!G164</f>
        <v>0</v>
      </c>
      <c r="H176" s="204">
        <f>Entrada_de_Dados_2!H164</f>
        <v>0</v>
      </c>
      <c r="I176" s="204">
        <f t="shared" si="9"/>
        <v>0</v>
      </c>
    </row>
    <row r="177" spans="1:9" ht="14.25">
      <c r="A177" s="202">
        <v>4</v>
      </c>
      <c r="B177" s="203">
        <f t="shared" si="10"/>
        <v>0</v>
      </c>
      <c r="C177" s="199">
        <v>14</v>
      </c>
      <c r="D177" s="203">
        <f>Entrada_de_Dados_2!D165</f>
        <v>0</v>
      </c>
      <c r="E177" s="203">
        <f>Entrada_de_Dados_2!E165</f>
        <v>0</v>
      </c>
      <c r="F177" s="199">
        <f>Entrada_de_Dados_2!F165</f>
        <v>0</v>
      </c>
      <c r="G177" s="204">
        <f>Entrada_de_Dados_2!G165</f>
        <v>0</v>
      </c>
      <c r="H177" s="204">
        <f>Entrada_de_Dados_2!H165</f>
        <v>0</v>
      </c>
      <c r="I177" s="204">
        <f t="shared" si="9"/>
        <v>0</v>
      </c>
    </row>
    <row r="178" spans="1:9" ht="14.25">
      <c r="A178" s="202">
        <v>4</v>
      </c>
      <c r="B178" s="203">
        <f t="shared" si="10"/>
        <v>0</v>
      </c>
      <c r="C178" s="199">
        <v>15</v>
      </c>
      <c r="D178" s="203">
        <f>Entrada_de_Dados_2!D166</f>
        <v>0</v>
      </c>
      <c r="E178" s="203">
        <f>Entrada_de_Dados_2!E166</f>
        <v>0</v>
      </c>
      <c r="F178" s="199">
        <f>Entrada_de_Dados_2!F166</f>
        <v>0</v>
      </c>
      <c r="G178" s="204">
        <f>Entrada_de_Dados_2!G166</f>
        <v>0</v>
      </c>
      <c r="H178" s="204">
        <f>Entrada_de_Dados_2!H166</f>
        <v>0</v>
      </c>
      <c r="I178" s="204">
        <f t="shared" si="9"/>
        <v>0</v>
      </c>
    </row>
    <row r="179" spans="1:9" ht="14.25">
      <c r="A179" s="202">
        <v>4</v>
      </c>
      <c r="B179" s="203">
        <f t="shared" si="10"/>
        <v>0</v>
      </c>
      <c r="C179" s="199">
        <v>16</v>
      </c>
      <c r="D179" s="203">
        <f>Entrada_de_Dados_2!D167</f>
        <v>0</v>
      </c>
      <c r="E179" s="203">
        <f>Entrada_de_Dados_2!E167</f>
        <v>0</v>
      </c>
      <c r="F179" s="199">
        <f>Entrada_de_Dados_2!F167</f>
        <v>0</v>
      </c>
      <c r="G179" s="204">
        <f>Entrada_de_Dados_2!G167</f>
        <v>0</v>
      </c>
      <c r="H179" s="204">
        <f>Entrada_de_Dados_2!H167</f>
        <v>0</v>
      </c>
      <c r="I179" s="204">
        <f t="shared" si="9"/>
        <v>0</v>
      </c>
    </row>
    <row r="180" spans="1:9" ht="14.25">
      <c r="A180" s="202">
        <v>4</v>
      </c>
      <c r="B180" s="203">
        <f t="shared" si="10"/>
        <v>0</v>
      </c>
      <c r="C180" s="199">
        <v>17</v>
      </c>
      <c r="D180" s="203">
        <f>Entrada_de_Dados_2!D168</f>
        <v>0</v>
      </c>
      <c r="E180" s="203">
        <f>Entrada_de_Dados_2!E168</f>
        <v>0</v>
      </c>
      <c r="F180" s="199">
        <f>Entrada_de_Dados_2!F168</f>
        <v>0</v>
      </c>
      <c r="G180" s="204">
        <f>Entrada_de_Dados_2!G168</f>
        <v>0</v>
      </c>
      <c r="H180" s="204">
        <f>Entrada_de_Dados_2!H168</f>
        <v>0</v>
      </c>
      <c r="I180" s="204">
        <f t="shared" si="9"/>
        <v>0</v>
      </c>
    </row>
    <row r="181" spans="1:9" ht="14.25">
      <c r="A181" s="202">
        <v>4</v>
      </c>
      <c r="B181" s="203">
        <f t="shared" si="10"/>
        <v>0</v>
      </c>
      <c r="C181" s="199">
        <v>18</v>
      </c>
      <c r="D181" s="203">
        <f>Entrada_de_Dados_2!D169</f>
        <v>0</v>
      </c>
      <c r="E181" s="203">
        <f>Entrada_de_Dados_2!E169</f>
        <v>0</v>
      </c>
      <c r="F181" s="199">
        <f>Entrada_de_Dados_2!F169</f>
        <v>0</v>
      </c>
      <c r="G181" s="204">
        <f>Entrada_de_Dados_2!G169</f>
        <v>0</v>
      </c>
      <c r="H181" s="204">
        <f>Entrada_de_Dados_2!H169</f>
        <v>0</v>
      </c>
      <c r="I181" s="204">
        <f t="shared" si="9"/>
        <v>0</v>
      </c>
    </row>
    <row r="182" spans="1:9" ht="14.25">
      <c r="A182" s="202">
        <v>4</v>
      </c>
      <c r="B182" s="203">
        <f t="shared" si="10"/>
        <v>0</v>
      </c>
      <c r="C182" s="199">
        <v>19</v>
      </c>
      <c r="D182" s="203">
        <f>Entrada_de_Dados_2!D170</f>
        <v>0</v>
      </c>
      <c r="E182" s="203">
        <f>Entrada_de_Dados_2!E170</f>
        <v>0</v>
      </c>
      <c r="F182" s="199">
        <f>Entrada_de_Dados_2!F170</f>
        <v>0</v>
      </c>
      <c r="G182" s="204">
        <f>Entrada_de_Dados_2!G170</f>
        <v>0</v>
      </c>
      <c r="H182" s="204">
        <f>Entrada_de_Dados_2!H170</f>
        <v>0</v>
      </c>
      <c r="I182" s="204">
        <f t="shared" si="9"/>
        <v>0</v>
      </c>
    </row>
    <row r="183" spans="1:9" ht="14.25">
      <c r="A183" s="202">
        <v>4</v>
      </c>
      <c r="B183" s="203">
        <f t="shared" si="10"/>
        <v>0</v>
      </c>
      <c r="C183" s="199">
        <v>20</v>
      </c>
      <c r="D183" s="203">
        <f>Entrada_de_Dados_2!D171</f>
        <v>0</v>
      </c>
      <c r="E183" s="203">
        <f>Entrada_de_Dados_2!E171</f>
        <v>0</v>
      </c>
      <c r="F183" s="199">
        <f>Entrada_de_Dados_2!F171</f>
        <v>0</v>
      </c>
      <c r="G183" s="204">
        <f>Entrada_de_Dados_2!G171</f>
        <v>0</v>
      </c>
      <c r="H183" s="204">
        <f>Entrada_de_Dados_2!H171</f>
        <v>0</v>
      </c>
      <c r="I183" s="204">
        <f t="shared" si="9"/>
        <v>0</v>
      </c>
    </row>
    <row r="184" spans="1:9" ht="14.25">
      <c r="A184" s="202">
        <v>4</v>
      </c>
      <c r="B184" s="203">
        <f t="shared" si="10"/>
        <v>0</v>
      </c>
      <c r="C184" s="199">
        <v>21</v>
      </c>
      <c r="D184" s="203">
        <f>Entrada_de_Dados_2!D172</f>
        <v>0</v>
      </c>
      <c r="E184" s="203">
        <f>Entrada_de_Dados_2!E172</f>
        <v>0</v>
      </c>
      <c r="F184" s="199">
        <f>Entrada_de_Dados_2!F172</f>
        <v>0</v>
      </c>
      <c r="G184" s="204">
        <f>Entrada_de_Dados_2!G172</f>
        <v>0</v>
      </c>
      <c r="H184" s="204">
        <f>Entrada_de_Dados_2!H172</f>
        <v>0</v>
      </c>
      <c r="I184" s="204">
        <f t="shared" si="9"/>
        <v>0</v>
      </c>
    </row>
    <row r="185" spans="1:9" ht="14.25">
      <c r="A185" s="202">
        <v>4</v>
      </c>
      <c r="B185" s="203">
        <f t="shared" si="10"/>
        <v>0</v>
      </c>
      <c r="C185" s="199">
        <v>22</v>
      </c>
      <c r="D185" s="203">
        <f>Entrada_de_Dados_2!D173</f>
        <v>0</v>
      </c>
      <c r="E185" s="203">
        <f>Entrada_de_Dados_2!E173</f>
        <v>0</v>
      </c>
      <c r="F185" s="199">
        <f>Entrada_de_Dados_2!F173</f>
        <v>0</v>
      </c>
      <c r="G185" s="204">
        <f>Entrada_de_Dados_2!G173</f>
        <v>0</v>
      </c>
      <c r="H185" s="204">
        <f>Entrada_de_Dados_2!H173</f>
        <v>0</v>
      </c>
      <c r="I185" s="204">
        <f t="shared" si="9"/>
        <v>0</v>
      </c>
    </row>
    <row r="186" spans="1:9" ht="14.25">
      <c r="A186" s="202">
        <v>4</v>
      </c>
      <c r="B186" s="203">
        <f t="shared" si="10"/>
        <v>0</v>
      </c>
      <c r="C186" s="199">
        <v>23</v>
      </c>
      <c r="D186" s="203">
        <f>Entrada_de_Dados_2!D174</f>
        <v>0</v>
      </c>
      <c r="E186" s="203">
        <f>Entrada_de_Dados_2!E174</f>
        <v>0</v>
      </c>
      <c r="F186" s="199">
        <f>Entrada_de_Dados_2!F174</f>
        <v>0</v>
      </c>
      <c r="G186" s="204">
        <f>Entrada_de_Dados_2!G174</f>
        <v>0</v>
      </c>
      <c r="H186" s="204">
        <f>Entrada_de_Dados_2!H174</f>
        <v>0</v>
      </c>
      <c r="I186" s="204">
        <f t="shared" si="9"/>
        <v>0</v>
      </c>
    </row>
    <row r="187" spans="1:9" ht="14.25">
      <c r="A187" s="202">
        <v>4</v>
      </c>
      <c r="B187" s="203">
        <f t="shared" si="10"/>
        <v>0</v>
      </c>
      <c r="C187" s="199">
        <v>24</v>
      </c>
      <c r="D187" s="203">
        <f>Entrada_de_Dados_2!D175</f>
        <v>0</v>
      </c>
      <c r="E187" s="203">
        <f>Entrada_de_Dados_2!E175</f>
        <v>0</v>
      </c>
      <c r="F187" s="199">
        <f>Entrada_de_Dados_2!F175</f>
        <v>0</v>
      </c>
      <c r="G187" s="204">
        <f>Entrada_de_Dados_2!G175</f>
        <v>0</v>
      </c>
      <c r="H187" s="204">
        <f>Entrada_de_Dados_2!H175</f>
        <v>0</v>
      </c>
      <c r="I187" s="204">
        <f t="shared" si="9"/>
        <v>0</v>
      </c>
    </row>
    <row r="188" spans="1:9" ht="14.25">
      <c r="A188" s="202">
        <v>4</v>
      </c>
      <c r="B188" s="203">
        <f t="shared" si="10"/>
        <v>0</v>
      </c>
      <c r="C188" s="199">
        <v>25</v>
      </c>
      <c r="D188" s="203">
        <f>Entrada_de_Dados_2!D176</f>
        <v>0</v>
      </c>
      <c r="E188" s="203">
        <f>Entrada_de_Dados_2!E176</f>
        <v>0</v>
      </c>
      <c r="F188" s="199">
        <f>Entrada_de_Dados_2!F176</f>
        <v>0</v>
      </c>
      <c r="G188" s="204">
        <f>Entrada_de_Dados_2!G176</f>
        <v>0</v>
      </c>
      <c r="H188" s="204">
        <f>Entrada_de_Dados_2!H176</f>
        <v>0</v>
      </c>
      <c r="I188" s="204">
        <f t="shared" si="9"/>
        <v>0</v>
      </c>
    </row>
    <row r="189" spans="1:9" ht="14.25">
      <c r="A189" s="202">
        <v>4</v>
      </c>
      <c r="B189" s="203">
        <f t="shared" si="10"/>
        <v>0</v>
      </c>
      <c r="C189" s="199">
        <v>26</v>
      </c>
      <c r="D189" s="203">
        <f>Entrada_de_Dados_2!D177</f>
        <v>0</v>
      </c>
      <c r="E189" s="203">
        <f>Entrada_de_Dados_2!E177</f>
        <v>0</v>
      </c>
      <c r="F189" s="199">
        <f>Entrada_de_Dados_2!F177</f>
        <v>0</v>
      </c>
      <c r="G189" s="204">
        <f>Entrada_de_Dados_2!G177</f>
        <v>0</v>
      </c>
      <c r="H189" s="204">
        <f>Entrada_de_Dados_2!H177</f>
        <v>0</v>
      </c>
      <c r="I189" s="204">
        <f t="shared" si="9"/>
        <v>0</v>
      </c>
    </row>
    <row r="190" spans="1:9" ht="14.25">
      <c r="A190" s="202">
        <v>4</v>
      </c>
      <c r="B190" s="203">
        <f t="shared" si="10"/>
        <v>0</v>
      </c>
      <c r="C190" s="199">
        <v>27</v>
      </c>
      <c r="D190" s="203">
        <f>Entrada_de_Dados_2!D178</f>
        <v>0</v>
      </c>
      <c r="E190" s="203">
        <f>Entrada_de_Dados_2!E178</f>
        <v>0</v>
      </c>
      <c r="F190" s="199">
        <f>Entrada_de_Dados_2!F178</f>
        <v>0</v>
      </c>
      <c r="G190" s="204">
        <f>Entrada_de_Dados_2!G178</f>
        <v>0</v>
      </c>
      <c r="H190" s="204">
        <f>Entrada_de_Dados_2!H178</f>
        <v>0</v>
      </c>
      <c r="I190" s="204">
        <f t="shared" si="9"/>
        <v>0</v>
      </c>
    </row>
    <row r="191" spans="1:9" ht="14.25">
      <c r="A191" s="202">
        <v>4</v>
      </c>
      <c r="B191" s="203">
        <f t="shared" si="10"/>
        <v>0</v>
      </c>
      <c r="C191" s="199">
        <v>28</v>
      </c>
      <c r="D191" s="203">
        <f>Entrada_de_Dados_2!D179</f>
        <v>0</v>
      </c>
      <c r="E191" s="203">
        <f>Entrada_de_Dados_2!E179</f>
        <v>0</v>
      </c>
      <c r="F191" s="199">
        <f>Entrada_de_Dados_2!F179</f>
        <v>0</v>
      </c>
      <c r="G191" s="204">
        <f>Entrada_de_Dados_2!G179</f>
        <v>0</v>
      </c>
      <c r="H191" s="204">
        <f>Entrada_de_Dados_2!H179</f>
        <v>0</v>
      </c>
      <c r="I191" s="204">
        <f t="shared" si="9"/>
        <v>0</v>
      </c>
    </row>
    <row r="192" spans="1:9" ht="14.25">
      <c r="A192" s="202">
        <v>4</v>
      </c>
      <c r="B192" s="203">
        <f t="shared" si="10"/>
        <v>0</v>
      </c>
      <c r="C192" s="199">
        <v>29</v>
      </c>
      <c r="D192" s="203">
        <f>Entrada_de_Dados_2!D180</f>
        <v>0</v>
      </c>
      <c r="E192" s="203">
        <f>Entrada_de_Dados_2!E180</f>
        <v>0</v>
      </c>
      <c r="F192" s="199">
        <f>Entrada_de_Dados_2!F180</f>
        <v>0</v>
      </c>
      <c r="G192" s="204">
        <f>Entrada_de_Dados_2!G180</f>
        <v>0</v>
      </c>
      <c r="H192" s="204">
        <f>Entrada_de_Dados_2!H180</f>
        <v>0</v>
      </c>
      <c r="I192" s="204">
        <f t="shared" si="9"/>
        <v>0</v>
      </c>
    </row>
    <row r="193" spans="1:9" ht="14.25">
      <c r="A193" s="202">
        <v>4</v>
      </c>
      <c r="B193" s="203">
        <f t="shared" si="10"/>
        <v>0</v>
      </c>
      <c r="C193" s="199">
        <v>30</v>
      </c>
      <c r="D193" s="203">
        <f>Entrada_de_Dados_2!D181</f>
        <v>0</v>
      </c>
      <c r="E193" s="203">
        <f>Entrada_de_Dados_2!E181</f>
        <v>0</v>
      </c>
      <c r="F193" s="199">
        <f>Entrada_de_Dados_2!F181</f>
        <v>0</v>
      </c>
      <c r="G193" s="204">
        <f>Entrada_de_Dados_2!G181</f>
        <v>0</v>
      </c>
      <c r="H193" s="204">
        <f>Entrada_de_Dados_2!H181</f>
        <v>0</v>
      </c>
      <c r="I193" s="204">
        <f t="shared" si="9"/>
        <v>0</v>
      </c>
    </row>
    <row r="194" spans="1:9" ht="14.25">
      <c r="A194" s="202">
        <v>4</v>
      </c>
      <c r="B194" s="203">
        <f t="shared" si="10"/>
        <v>0</v>
      </c>
      <c r="C194" s="199">
        <v>31</v>
      </c>
      <c r="D194" s="203">
        <f>Entrada_de_Dados_2!D182</f>
        <v>0</v>
      </c>
      <c r="E194" s="203">
        <f>Entrada_de_Dados_2!E182</f>
        <v>0</v>
      </c>
      <c r="F194" s="199">
        <f>Entrada_de_Dados_2!F182</f>
        <v>0</v>
      </c>
      <c r="G194" s="204">
        <f>Entrada_de_Dados_2!G182</f>
        <v>0</v>
      </c>
      <c r="H194" s="204">
        <f>Entrada_de_Dados_2!H182</f>
        <v>0</v>
      </c>
      <c r="I194" s="204">
        <f t="shared" si="9"/>
        <v>0</v>
      </c>
    </row>
    <row r="195" spans="1:9" ht="14.25">
      <c r="A195" s="202">
        <v>4</v>
      </c>
      <c r="B195" s="203">
        <f t="shared" si="10"/>
        <v>0</v>
      </c>
      <c r="C195" s="199">
        <v>32</v>
      </c>
      <c r="D195" s="203">
        <f>Entrada_de_Dados_2!D183</f>
        <v>0</v>
      </c>
      <c r="E195" s="203">
        <f>Entrada_de_Dados_2!E183</f>
        <v>0</v>
      </c>
      <c r="F195" s="199">
        <f>Entrada_de_Dados_2!F183</f>
        <v>0</v>
      </c>
      <c r="G195" s="204">
        <f>Entrada_de_Dados_2!G183</f>
        <v>0</v>
      </c>
      <c r="H195" s="204">
        <f>Entrada_de_Dados_2!H183</f>
        <v>0</v>
      </c>
      <c r="I195" s="204">
        <f t="shared" si="9"/>
        <v>0</v>
      </c>
    </row>
    <row r="196" spans="1:9" ht="14.25">
      <c r="A196" s="202">
        <v>4</v>
      </c>
      <c r="B196" s="203">
        <f t="shared" si="10"/>
        <v>0</v>
      </c>
      <c r="C196" s="199">
        <v>33</v>
      </c>
      <c r="D196" s="203">
        <f>Entrada_de_Dados_2!D184</f>
        <v>0</v>
      </c>
      <c r="E196" s="203">
        <f>Entrada_de_Dados_2!E184</f>
        <v>0</v>
      </c>
      <c r="F196" s="199">
        <f>Entrada_de_Dados_2!F184</f>
        <v>0</v>
      </c>
      <c r="G196" s="204">
        <f>Entrada_de_Dados_2!G184</f>
        <v>0</v>
      </c>
      <c r="H196" s="204">
        <f>Entrada_de_Dados_2!H184</f>
        <v>0</v>
      </c>
      <c r="I196" s="204">
        <f t="shared" ref="I196:I213" si="11">G196*H196</f>
        <v>0</v>
      </c>
    </row>
    <row r="197" spans="1:9" ht="14.25">
      <c r="A197" s="202">
        <v>4</v>
      </c>
      <c r="B197" s="203">
        <f t="shared" si="10"/>
        <v>0</v>
      </c>
      <c r="C197" s="199">
        <v>34</v>
      </c>
      <c r="D197" s="203">
        <f>Entrada_de_Dados_2!D185</f>
        <v>0</v>
      </c>
      <c r="E197" s="203">
        <f>Entrada_de_Dados_2!E185</f>
        <v>0</v>
      </c>
      <c r="F197" s="199">
        <f>Entrada_de_Dados_2!F185</f>
        <v>0</v>
      </c>
      <c r="G197" s="204">
        <f>Entrada_de_Dados_2!G185</f>
        <v>0</v>
      </c>
      <c r="H197" s="204">
        <f>Entrada_de_Dados_2!H185</f>
        <v>0</v>
      </c>
      <c r="I197" s="204">
        <f t="shared" si="11"/>
        <v>0</v>
      </c>
    </row>
    <row r="198" spans="1:9" ht="14.25">
      <c r="A198" s="202">
        <v>4</v>
      </c>
      <c r="B198" s="203">
        <f t="shared" si="10"/>
        <v>0</v>
      </c>
      <c r="C198" s="199">
        <v>35</v>
      </c>
      <c r="D198" s="203">
        <f>Entrada_de_Dados_2!D186</f>
        <v>0</v>
      </c>
      <c r="E198" s="203">
        <f>Entrada_de_Dados_2!E186</f>
        <v>0</v>
      </c>
      <c r="F198" s="199">
        <f>Entrada_de_Dados_2!F186</f>
        <v>0</v>
      </c>
      <c r="G198" s="204">
        <f>Entrada_de_Dados_2!G186</f>
        <v>0</v>
      </c>
      <c r="H198" s="204">
        <f>Entrada_de_Dados_2!H186</f>
        <v>0</v>
      </c>
      <c r="I198" s="204">
        <f t="shared" si="11"/>
        <v>0</v>
      </c>
    </row>
    <row r="199" spans="1:9" ht="14.25">
      <c r="A199" s="202">
        <v>4</v>
      </c>
      <c r="B199" s="203">
        <f t="shared" si="10"/>
        <v>0</v>
      </c>
      <c r="C199" s="199">
        <v>36</v>
      </c>
      <c r="D199" s="203">
        <f>Entrada_de_Dados_2!D187</f>
        <v>0</v>
      </c>
      <c r="E199" s="203">
        <f>Entrada_de_Dados_2!E187</f>
        <v>0</v>
      </c>
      <c r="F199" s="199">
        <f>Entrada_de_Dados_2!F187</f>
        <v>0</v>
      </c>
      <c r="G199" s="204">
        <f>Entrada_de_Dados_2!G187</f>
        <v>0</v>
      </c>
      <c r="H199" s="204">
        <f>Entrada_de_Dados_2!H187</f>
        <v>0</v>
      </c>
      <c r="I199" s="204">
        <f t="shared" si="11"/>
        <v>0</v>
      </c>
    </row>
    <row r="200" spans="1:9" ht="14.25">
      <c r="A200" s="202">
        <v>4</v>
      </c>
      <c r="B200" s="203">
        <f t="shared" si="10"/>
        <v>0</v>
      </c>
      <c r="C200" s="199">
        <v>37</v>
      </c>
      <c r="D200" s="203">
        <f>Entrada_de_Dados_2!D188</f>
        <v>0</v>
      </c>
      <c r="E200" s="203">
        <f>Entrada_de_Dados_2!E188</f>
        <v>0</v>
      </c>
      <c r="F200" s="199">
        <f>Entrada_de_Dados_2!F188</f>
        <v>0</v>
      </c>
      <c r="G200" s="204">
        <f>Entrada_de_Dados_2!G188</f>
        <v>0</v>
      </c>
      <c r="H200" s="204">
        <f>Entrada_de_Dados_2!H188</f>
        <v>0</v>
      </c>
      <c r="I200" s="204">
        <f t="shared" si="11"/>
        <v>0</v>
      </c>
    </row>
    <row r="201" spans="1:9" ht="14.25">
      <c r="A201" s="202">
        <v>4</v>
      </c>
      <c r="B201" s="203">
        <f t="shared" si="10"/>
        <v>0</v>
      </c>
      <c r="C201" s="199">
        <v>38</v>
      </c>
      <c r="D201" s="203">
        <f>Entrada_de_Dados_2!D189</f>
        <v>0</v>
      </c>
      <c r="E201" s="203">
        <f>Entrada_de_Dados_2!E189</f>
        <v>0</v>
      </c>
      <c r="F201" s="199">
        <f>Entrada_de_Dados_2!F189</f>
        <v>0</v>
      </c>
      <c r="G201" s="204">
        <f>Entrada_de_Dados_2!G189</f>
        <v>0</v>
      </c>
      <c r="H201" s="204">
        <f>Entrada_de_Dados_2!H189</f>
        <v>0</v>
      </c>
      <c r="I201" s="204">
        <f t="shared" si="11"/>
        <v>0</v>
      </c>
    </row>
    <row r="202" spans="1:9" ht="14.25">
      <c r="A202" s="202">
        <v>4</v>
      </c>
      <c r="B202" s="203">
        <f t="shared" si="10"/>
        <v>0</v>
      </c>
      <c r="C202" s="199">
        <v>39</v>
      </c>
      <c r="D202" s="203">
        <f>Entrada_de_Dados_2!D190</f>
        <v>0</v>
      </c>
      <c r="E202" s="203">
        <f>Entrada_de_Dados_2!E190</f>
        <v>0</v>
      </c>
      <c r="F202" s="199">
        <f>Entrada_de_Dados_2!F190</f>
        <v>0</v>
      </c>
      <c r="G202" s="204">
        <f>Entrada_de_Dados_2!G190</f>
        <v>0</v>
      </c>
      <c r="H202" s="204">
        <f>Entrada_de_Dados_2!H190</f>
        <v>0</v>
      </c>
      <c r="I202" s="204">
        <f t="shared" si="11"/>
        <v>0</v>
      </c>
    </row>
    <row r="203" spans="1:9" ht="14.25">
      <c r="A203" s="202">
        <v>4</v>
      </c>
      <c r="B203" s="203">
        <f t="shared" si="10"/>
        <v>0</v>
      </c>
      <c r="C203" s="199">
        <v>40</v>
      </c>
      <c r="D203" s="203">
        <f>Entrada_de_Dados_2!D191</f>
        <v>0</v>
      </c>
      <c r="E203" s="203">
        <f>Entrada_de_Dados_2!E191</f>
        <v>0</v>
      </c>
      <c r="F203" s="199">
        <f>Entrada_de_Dados_2!F191</f>
        <v>0</v>
      </c>
      <c r="G203" s="204">
        <f>Entrada_de_Dados_2!G191</f>
        <v>0</v>
      </c>
      <c r="H203" s="204">
        <f>Entrada_de_Dados_2!H191</f>
        <v>0</v>
      </c>
      <c r="I203" s="204">
        <f t="shared" si="11"/>
        <v>0</v>
      </c>
    </row>
    <row r="204" spans="1:9" ht="14.25">
      <c r="A204" s="202">
        <v>4</v>
      </c>
      <c r="B204" s="203">
        <f t="shared" si="10"/>
        <v>0</v>
      </c>
      <c r="C204" s="199">
        <v>41</v>
      </c>
      <c r="D204" s="203">
        <f>Entrada_de_Dados_2!D192</f>
        <v>0</v>
      </c>
      <c r="E204" s="203">
        <f>Entrada_de_Dados_2!E192</f>
        <v>0</v>
      </c>
      <c r="F204" s="199">
        <f>Entrada_de_Dados_2!F192</f>
        <v>0</v>
      </c>
      <c r="G204" s="204">
        <f>Entrada_de_Dados_2!G192</f>
        <v>0</v>
      </c>
      <c r="H204" s="204">
        <f>Entrada_de_Dados_2!H192</f>
        <v>0</v>
      </c>
      <c r="I204" s="204">
        <f t="shared" si="11"/>
        <v>0</v>
      </c>
    </row>
    <row r="205" spans="1:9" ht="14.25">
      <c r="A205" s="202">
        <v>4</v>
      </c>
      <c r="B205" s="203">
        <f t="shared" si="10"/>
        <v>0</v>
      </c>
      <c r="C205" s="199">
        <v>42</v>
      </c>
      <c r="D205" s="203">
        <f>Entrada_de_Dados_2!D193</f>
        <v>0</v>
      </c>
      <c r="E205" s="203">
        <f>Entrada_de_Dados_2!E193</f>
        <v>0</v>
      </c>
      <c r="F205" s="199">
        <f>Entrada_de_Dados_2!F193</f>
        <v>0</v>
      </c>
      <c r="G205" s="204">
        <f>Entrada_de_Dados_2!G193</f>
        <v>0</v>
      </c>
      <c r="H205" s="204">
        <f>Entrada_de_Dados_2!H193</f>
        <v>0</v>
      </c>
      <c r="I205" s="204">
        <f t="shared" si="11"/>
        <v>0</v>
      </c>
    </row>
    <row r="206" spans="1:9" ht="14.25">
      <c r="A206" s="202">
        <v>4</v>
      </c>
      <c r="B206" s="203">
        <f t="shared" si="10"/>
        <v>0</v>
      </c>
      <c r="C206" s="199">
        <v>43</v>
      </c>
      <c r="D206" s="203">
        <f>Entrada_de_Dados_2!D194</f>
        <v>0</v>
      </c>
      <c r="E206" s="203">
        <f>Entrada_de_Dados_2!E194</f>
        <v>0</v>
      </c>
      <c r="F206" s="199">
        <f>Entrada_de_Dados_2!F194</f>
        <v>0</v>
      </c>
      <c r="G206" s="204">
        <f>Entrada_de_Dados_2!G194</f>
        <v>0</v>
      </c>
      <c r="H206" s="204">
        <f>Entrada_de_Dados_2!H194</f>
        <v>0</v>
      </c>
      <c r="I206" s="204">
        <f t="shared" si="11"/>
        <v>0</v>
      </c>
    </row>
    <row r="207" spans="1:9" ht="14.25">
      <c r="A207" s="202">
        <v>4</v>
      </c>
      <c r="B207" s="203">
        <f t="shared" si="10"/>
        <v>0</v>
      </c>
      <c r="C207" s="199">
        <v>44</v>
      </c>
      <c r="D207" s="203">
        <f>Entrada_de_Dados_2!D195</f>
        <v>0</v>
      </c>
      <c r="E207" s="203">
        <f>Entrada_de_Dados_2!E195</f>
        <v>0</v>
      </c>
      <c r="F207" s="199">
        <f>Entrada_de_Dados_2!F195</f>
        <v>0</v>
      </c>
      <c r="G207" s="204">
        <f>Entrada_de_Dados_2!G195</f>
        <v>0</v>
      </c>
      <c r="H207" s="204">
        <f>Entrada_de_Dados_2!H195</f>
        <v>0</v>
      </c>
      <c r="I207" s="204">
        <f t="shared" si="11"/>
        <v>0</v>
      </c>
    </row>
    <row r="208" spans="1:9" ht="14.25">
      <c r="A208" s="202">
        <v>4</v>
      </c>
      <c r="B208" s="203">
        <f t="shared" si="10"/>
        <v>0</v>
      </c>
      <c r="C208" s="199">
        <v>45</v>
      </c>
      <c r="D208" s="203">
        <f>Entrada_de_Dados_2!D196</f>
        <v>0</v>
      </c>
      <c r="E208" s="203">
        <f>Entrada_de_Dados_2!E196</f>
        <v>0</v>
      </c>
      <c r="F208" s="199">
        <f>Entrada_de_Dados_2!F196</f>
        <v>0</v>
      </c>
      <c r="G208" s="204">
        <f>Entrada_de_Dados_2!G196</f>
        <v>0</v>
      </c>
      <c r="H208" s="204">
        <f>Entrada_de_Dados_2!H196</f>
        <v>0</v>
      </c>
      <c r="I208" s="204">
        <f t="shared" si="11"/>
        <v>0</v>
      </c>
    </row>
    <row r="209" spans="1:11" ht="14.25">
      <c r="A209" s="202">
        <v>4</v>
      </c>
      <c r="B209" s="203">
        <f t="shared" si="10"/>
        <v>0</v>
      </c>
      <c r="C209" s="199">
        <v>46</v>
      </c>
      <c r="D209" s="203">
        <f>Entrada_de_Dados_2!D197</f>
        <v>0</v>
      </c>
      <c r="E209" s="203">
        <f>Entrada_de_Dados_2!E197</f>
        <v>0</v>
      </c>
      <c r="F209" s="199">
        <f>Entrada_de_Dados_2!F197</f>
        <v>0</v>
      </c>
      <c r="G209" s="204">
        <f>Entrada_de_Dados_2!G197</f>
        <v>0</v>
      </c>
      <c r="H209" s="204">
        <f>Entrada_de_Dados_2!H197</f>
        <v>0</v>
      </c>
      <c r="I209" s="204">
        <f t="shared" si="11"/>
        <v>0</v>
      </c>
    </row>
    <row r="210" spans="1:11" ht="14.25">
      <c r="A210" s="202">
        <v>4</v>
      </c>
      <c r="B210" s="203">
        <f t="shared" si="10"/>
        <v>0</v>
      </c>
      <c r="C210" s="199">
        <v>47</v>
      </c>
      <c r="D210" s="203">
        <f>Entrada_de_Dados_2!D198</f>
        <v>0</v>
      </c>
      <c r="E210" s="203">
        <f>Entrada_de_Dados_2!E198</f>
        <v>0</v>
      </c>
      <c r="F210" s="199">
        <f>Entrada_de_Dados_2!F198</f>
        <v>0</v>
      </c>
      <c r="G210" s="204">
        <f>Entrada_de_Dados_2!G198</f>
        <v>0</v>
      </c>
      <c r="H210" s="204">
        <f>Entrada_de_Dados_2!H198</f>
        <v>0</v>
      </c>
      <c r="I210" s="204">
        <f t="shared" si="11"/>
        <v>0</v>
      </c>
    </row>
    <row r="211" spans="1:11" ht="14.25">
      <c r="A211" s="202">
        <v>4</v>
      </c>
      <c r="B211" s="203">
        <f t="shared" si="10"/>
        <v>0</v>
      </c>
      <c r="C211" s="199">
        <v>48</v>
      </c>
      <c r="D211" s="203">
        <f>Entrada_de_Dados_2!D199</f>
        <v>0</v>
      </c>
      <c r="E211" s="203">
        <f>Entrada_de_Dados_2!E199</f>
        <v>0</v>
      </c>
      <c r="F211" s="199">
        <f>Entrada_de_Dados_2!F199</f>
        <v>0</v>
      </c>
      <c r="G211" s="204">
        <f>Entrada_de_Dados_2!G199</f>
        <v>0</v>
      </c>
      <c r="H211" s="204">
        <f>Entrada_de_Dados_2!H199</f>
        <v>0</v>
      </c>
      <c r="I211" s="204">
        <f t="shared" si="11"/>
        <v>0</v>
      </c>
    </row>
    <row r="212" spans="1:11" ht="14.25">
      <c r="A212" s="202">
        <v>4</v>
      </c>
      <c r="B212" s="203">
        <f t="shared" si="10"/>
        <v>0</v>
      </c>
      <c r="C212" s="199">
        <v>49</v>
      </c>
      <c r="D212" s="203">
        <f>Entrada_de_Dados_2!D200</f>
        <v>0</v>
      </c>
      <c r="E212" s="203">
        <f>Entrada_de_Dados_2!E200</f>
        <v>0</v>
      </c>
      <c r="F212" s="199">
        <f>Entrada_de_Dados_2!F200</f>
        <v>0</v>
      </c>
      <c r="G212" s="204">
        <f>Entrada_de_Dados_2!G200</f>
        <v>0</v>
      </c>
      <c r="H212" s="204">
        <f>Entrada_de_Dados_2!H200</f>
        <v>0</v>
      </c>
      <c r="I212" s="204">
        <f t="shared" si="11"/>
        <v>0</v>
      </c>
    </row>
    <row r="213" spans="1:11" ht="14.25">
      <c r="A213" s="202">
        <v>4</v>
      </c>
      <c r="B213" s="203">
        <f t="shared" si="10"/>
        <v>0</v>
      </c>
      <c r="C213" s="199">
        <v>50</v>
      </c>
      <c r="D213" s="203">
        <f>Entrada_de_Dados_2!D201</f>
        <v>0</v>
      </c>
      <c r="E213" s="203">
        <f>Entrada_de_Dados_2!E201</f>
        <v>0</v>
      </c>
      <c r="F213" s="213">
        <f>Entrada_de_Dados_2!F201</f>
        <v>0</v>
      </c>
      <c r="G213" s="219">
        <f>Entrada_de_Dados_2!G201</f>
        <v>0</v>
      </c>
      <c r="H213" s="219">
        <f>Entrada_de_Dados_2!H201</f>
        <v>0</v>
      </c>
      <c r="I213" s="219">
        <f t="shared" si="11"/>
        <v>0</v>
      </c>
    </row>
    <row r="214" spans="1:11" ht="14.25">
      <c r="A214" s="202"/>
      <c r="B214" s="203"/>
      <c r="F214" s="205" t="s">
        <v>17</v>
      </c>
      <c r="G214" s="206" t="e">
        <f>I214/I217</f>
        <v>#DIV/0!</v>
      </c>
      <c r="H214" s="205" t="s">
        <v>5</v>
      </c>
      <c r="I214" s="207">
        <f>SUMIF($F$164:$F$213,H214,$I$164:$I$213)</f>
        <v>0</v>
      </c>
    </row>
    <row r="215" spans="1:11" ht="14.25">
      <c r="A215" s="202"/>
      <c r="B215" s="203"/>
      <c r="F215" s="205" t="s">
        <v>18</v>
      </c>
      <c r="G215" s="206" t="e">
        <f>I215/I217</f>
        <v>#DIV/0!</v>
      </c>
      <c r="H215" s="205" t="s">
        <v>6</v>
      </c>
      <c r="I215" s="207">
        <f>SUMIF($F$164:$F$213,H215,$I$164:$I$213)</f>
        <v>0</v>
      </c>
    </row>
    <row r="216" spans="1:11" ht="14.25">
      <c r="A216" s="202"/>
      <c r="B216" s="203"/>
      <c r="F216" s="205" t="s">
        <v>19</v>
      </c>
      <c r="G216" s="206" t="e">
        <f>I216/I217</f>
        <v>#DIV/0!</v>
      </c>
      <c r="H216" s="205" t="s">
        <v>7</v>
      </c>
      <c r="I216" s="207">
        <f>SUMIF($F$164:$F$213,H216,$I$164:$I$213)</f>
        <v>0</v>
      </c>
    </row>
    <row r="217" spans="1:11" ht="14.25">
      <c r="A217" s="211"/>
      <c r="B217" s="212"/>
      <c r="C217" s="213"/>
      <c r="D217" s="214"/>
      <c r="E217" s="214"/>
      <c r="F217" s="215" t="s">
        <v>20</v>
      </c>
      <c r="G217" s="216" t="e">
        <f>SUM(G214:G216)</f>
        <v>#DIV/0!</v>
      </c>
      <c r="H217" s="215" t="s">
        <v>21</v>
      </c>
      <c r="I217" s="217">
        <f>SUM(I214:I216)</f>
        <v>0</v>
      </c>
    </row>
    <row r="218" spans="1:11" ht="14.25">
      <c r="A218" s="202">
        <v>5</v>
      </c>
      <c r="B218" s="203">
        <f>Entrada_de_Dados_2!B202</f>
        <v>0</v>
      </c>
      <c r="C218" s="199">
        <v>1</v>
      </c>
      <c r="D218" s="203">
        <f>Entrada_de_Dados_2!D202</f>
        <v>0</v>
      </c>
      <c r="E218" s="203">
        <f>Entrada_de_Dados_2!E202</f>
        <v>0</v>
      </c>
      <c r="F218" s="199">
        <f>Entrada_de_Dados_2!F202</f>
        <v>0</v>
      </c>
      <c r="G218" s="204">
        <f>Entrada_de_Dados_2!G202</f>
        <v>0</v>
      </c>
      <c r="H218" s="204">
        <f>Entrada_de_Dados_2!H202</f>
        <v>0</v>
      </c>
      <c r="I218" s="204">
        <f t="shared" ref="I218:I249" si="12">G218*H218</f>
        <v>0</v>
      </c>
      <c r="K218" s="199"/>
    </row>
    <row r="219" spans="1:11" ht="14.25">
      <c r="A219" s="202">
        <v>5</v>
      </c>
      <c r="B219" s="203">
        <f>$B$218</f>
        <v>0</v>
      </c>
      <c r="C219" s="199">
        <v>2</v>
      </c>
      <c r="D219" s="203">
        <f>Entrada_de_Dados_2!D203</f>
        <v>0</v>
      </c>
      <c r="E219" s="203">
        <f>Entrada_de_Dados_2!E203</f>
        <v>0</v>
      </c>
      <c r="F219" s="199">
        <f>Entrada_de_Dados_2!F203</f>
        <v>0</v>
      </c>
      <c r="G219" s="204">
        <f>Entrada_de_Dados_2!G203</f>
        <v>0</v>
      </c>
      <c r="H219" s="204">
        <f>Entrada_de_Dados_2!H203</f>
        <v>0</v>
      </c>
      <c r="I219" s="204">
        <f t="shared" si="12"/>
        <v>0</v>
      </c>
      <c r="K219" s="199"/>
    </row>
    <row r="220" spans="1:11" ht="14.25">
      <c r="A220" s="202">
        <v>5</v>
      </c>
      <c r="B220" s="203">
        <f t="shared" ref="B220:B267" si="13">$B$218</f>
        <v>0</v>
      </c>
      <c r="C220" s="199">
        <v>3</v>
      </c>
      <c r="D220" s="203">
        <f>Entrada_de_Dados_2!D204</f>
        <v>0</v>
      </c>
      <c r="E220" s="203">
        <f>Entrada_de_Dados_2!E204</f>
        <v>0</v>
      </c>
      <c r="F220" s="199">
        <f>Entrada_de_Dados_2!F204</f>
        <v>0</v>
      </c>
      <c r="G220" s="204">
        <f>Entrada_de_Dados_2!G204</f>
        <v>0</v>
      </c>
      <c r="H220" s="204">
        <f>Entrada_de_Dados_2!H204</f>
        <v>0</v>
      </c>
      <c r="I220" s="204">
        <f t="shared" si="12"/>
        <v>0</v>
      </c>
    </row>
    <row r="221" spans="1:11" ht="14.25">
      <c r="A221" s="202">
        <v>5</v>
      </c>
      <c r="B221" s="203">
        <f t="shared" si="13"/>
        <v>0</v>
      </c>
      <c r="C221" s="199">
        <v>4</v>
      </c>
      <c r="D221" s="203">
        <f>Entrada_de_Dados_2!D205</f>
        <v>0</v>
      </c>
      <c r="E221" s="203">
        <f>Entrada_de_Dados_2!E205</f>
        <v>0</v>
      </c>
      <c r="F221" s="199">
        <f>Entrada_de_Dados_2!F205</f>
        <v>0</v>
      </c>
      <c r="G221" s="204">
        <f>Entrada_de_Dados_2!G205</f>
        <v>0</v>
      </c>
      <c r="H221" s="204">
        <f>Entrada_de_Dados_2!H205</f>
        <v>0</v>
      </c>
      <c r="I221" s="204">
        <f t="shared" si="12"/>
        <v>0</v>
      </c>
    </row>
    <row r="222" spans="1:11" ht="14.25">
      <c r="A222" s="202">
        <v>5</v>
      </c>
      <c r="B222" s="203">
        <f t="shared" si="13"/>
        <v>0</v>
      </c>
      <c r="C222" s="199">
        <v>5</v>
      </c>
      <c r="D222" s="203">
        <f>Entrada_de_Dados_2!D206</f>
        <v>0</v>
      </c>
      <c r="E222" s="203">
        <f>Entrada_de_Dados_2!E206</f>
        <v>0</v>
      </c>
      <c r="F222" s="199">
        <f>Entrada_de_Dados_2!F206</f>
        <v>0</v>
      </c>
      <c r="G222" s="204">
        <f>Entrada_de_Dados_2!G206</f>
        <v>0</v>
      </c>
      <c r="H222" s="204">
        <f>Entrada_de_Dados_2!H206</f>
        <v>0</v>
      </c>
      <c r="I222" s="204">
        <f t="shared" si="12"/>
        <v>0</v>
      </c>
    </row>
    <row r="223" spans="1:11" ht="14.25">
      <c r="A223" s="202">
        <v>5</v>
      </c>
      <c r="B223" s="203">
        <f t="shared" si="13"/>
        <v>0</v>
      </c>
      <c r="C223" s="199">
        <v>6</v>
      </c>
      <c r="D223" s="203">
        <f>Entrada_de_Dados_2!D207</f>
        <v>0</v>
      </c>
      <c r="E223" s="203">
        <f>Entrada_de_Dados_2!E207</f>
        <v>0</v>
      </c>
      <c r="F223" s="199">
        <f>Entrada_de_Dados_2!F207</f>
        <v>0</v>
      </c>
      <c r="G223" s="204">
        <f>Entrada_de_Dados_2!G207</f>
        <v>0</v>
      </c>
      <c r="H223" s="204">
        <f>Entrada_de_Dados_2!H207</f>
        <v>0</v>
      </c>
      <c r="I223" s="204">
        <f t="shared" si="12"/>
        <v>0</v>
      </c>
    </row>
    <row r="224" spans="1:11" ht="14.25">
      <c r="A224" s="202">
        <v>5</v>
      </c>
      <c r="B224" s="203">
        <f t="shared" si="13"/>
        <v>0</v>
      </c>
      <c r="C224" s="199">
        <v>7</v>
      </c>
      <c r="D224" s="203">
        <f>Entrada_de_Dados_2!D208</f>
        <v>0</v>
      </c>
      <c r="E224" s="203">
        <f>Entrada_de_Dados_2!E208</f>
        <v>0</v>
      </c>
      <c r="F224" s="199">
        <f>Entrada_de_Dados_2!F208</f>
        <v>0</v>
      </c>
      <c r="G224" s="204">
        <f>Entrada_de_Dados_2!G208</f>
        <v>0</v>
      </c>
      <c r="H224" s="204">
        <f>Entrada_de_Dados_2!H208</f>
        <v>0</v>
      </c>
      <c r="I224" s="204">
        <f t="shared" si="12"/>
        <v>0</v>
      </c>
    </row>
    <row r="225" spans="1:9" ht="14.25">
      <c r="A225" s="202">
        <v>5</v>
      </c>
      <c r="B225" s="203">
        <f t="shared" si="13"/>
        <v>0</v>
      </c>
      <c r="C225" s="199">
        <v>8</v>
      </c>
      <c r="D225" s="203">
        <f>Entrada_de_Dados_2!D209</f>
        <v>0</v>
      </c>
      <c r="E225" s="203">
        <f>Entrada_de_Dados_2!E209</f>
        <v>0</v>
      </c>
      <c r="F225" s="199">
        <f>Entrada_de_Dados_2!F209</f>
        <v>0</v>
      </c>
      <c r="G225" s="204">
        <f>Entrada_de_Dados_2!G209</f>
        <v>0</v>
      </c>
      <c r="H225" s="204">
        <f>Entrada_de_Dados_2!H209</f>
        <v>0</v>
      </c>
      <c r="I225" s="204">
        <f t="shared" si="12"/>
        <v>0</v>
      </c>
    </row>
    <row r="226" spans="1:9" ht="14.25">
      <c r="A226" s="202">
        <v>5</v>
      </c>
      <c r="B226" s="203">
        <f t="shared" si="13"/>
        <v>0</v>
      </c>
      <c r="C226" s="199">
        <v>9</v>
      </c>
      <c r="D226" s="203">
        <f>Entrada_de_Dados_2!D210</f>
        <v>0</v>
      </c>
      <c r="E226" s="203">
        <f>Entrada_de_Dados_2!E210</f>
        <v>0</v>
      </c>
      <c r="F226" s="199">
        <f>Entrada_de_Dados_2!F210</f>
        <v>0</v>
      </c>
      <c r="G226" s="204">
        <f>Entrada_de_Dados_2!G210</f>
        <v>0</v>
      </c>
      <c r="H226" s="204">
        <f>Entrada_de_Dados_2!H210</f>
        <v>0</v>
      </c>
      <c r="I226" s="204">
        <f t="shared" si="12"/>
        <v>0</v>
      </c>
    </row>
    <row r="227" spans="1:9" ht="14.25">
      <c r="A227" s="202">
        <v>5</v>
      </c>
      <c r="B227" s="203">
        <f t="shared" si="13"/>
        <v>0</v>
      </c>
      <c r="C227" s="199">
        <v>10</v>
      </c>
      <c r="D227" s="203">
        <f>Entrada_de_Dados_2!D211</f>
        <v>0</v>
      </c>
      <c r="E227" s="203">
        <f>Entrada_de_Dados_2!E211</f>
        <v>0</v>
      </c>
      <c r="F227" s="199">
        <f>Entrada_de_Dados_2!F211</f>
        <v>0</v>
      </c>
      <c r="G227" s="204">
        <f>Entrada_de_Dados_2!G211</f>
        <v>0</v>
      </c>
      <c r="H227" s="204">
        <f>Entrada_de_Dados_2!H211</f>
        <v>0</v>
      </c>
      <c r="I227" s="204">
        <f t="shared" si="12"/>
        <v>0</v>
      </c>
    </row>
    <row r="228" spans="1:9" ht="14.25">
      <c r="A228" s="202">
        <v>5</v>
      </c>
      <c r="B228" s="203">
        <f t="shared" si="13"/>
        <v>0</v>
      </c>
      <c r="C228" s="199">
        <v>11</v>
      </c>
      <c r="D228" s="203">
        <f>Entrada_de_Dados_2!D212</f>
        <v>0</v>
      </c>
      <c r="E228" s="203">
        <f>Entrada_de_Dados_2!E212</f>
        <v>0</v>
      </c>
      <c r="F228" s="199">
        <f>Entrada_de_Dados_2!F212</f>
        <v>0</v>
      </c>
      <c r="G228" s="204">
        <f>Entrada_de_Dados_2!G212</f>
        <v>0</v>
      </c>
      <c r="H228" s="204">
        <f>Entrada_de_Dados_2!H212</f>
        <v>0</v>
      </c>
      <c r="I228" s="204">
        <f t="shared" si="12"/>
        <v>0</v>
      </c>
    </row>
    <row r="229" spans="1:9" ht="14.25">
      <c r="A229" s="202">
        <v>5</v>
      </c>
      <c r="B229" s="203">
        <f t="shared" si="13"/>
        <v>0</v>
      </c>
      <c r="C229" s="199">
        <v>12</v>
      </c>
      <c r="D229" s="203">
        <f>Entrada_de_Dados_2!D213</f>
        <v>0</v>
      </c>
      <c r="E229" s="203">
        <f>Entrada_de_Dados_2!E213</f>
        <v>0</v>
      </c>
      <c r="F229" s="199">
        <f>Entrada_de_Dados_2!F213</f>
        <v>0</v>
      </c>
      <c r="G229" s="204">
        <f>Entrada_de_Dados_2!G213</f>
        <v>0</v>
      </c>
      <c r="H229" s="204">
        <f>Entrada_de_Dados_2!H213</f>
        <v>0</v>
      </c>
      <c r="I229" s="204">
        <f t="shared" si="12"/>
        <v>0</v>
      </c>
    </row>
    <row r="230" spans="1:9" ht="14.25">
      <c r="A230" s="202">
        <v>5</v>
      </c>
      <c r="B230" s="203">
        <f t="shared" si="13"/>
        <v>0</v>
      </c>
      <c r="C230" s="199">
        <v>13</v>
      </c>
      <c r="D230" s="203">
        <f>Entrada_de_Dados_2!D214</f>
        <v>0</v>
      </c>
      <c r="E230" s="203">
        <f>Entrada_de_Dados_2!E214</f>
        <v>0</v>
      </c>
      <c r="F230" s="199">
        <f>Entrada_de_Dados_2!F214</f>
        <v>0</v>
      </c>
      <c r="G230" s="204">
        <f>Entrada_de_Dados_2!G214</f>
        <v>0</v>
      </c>
      <c r="H230" s="204">
        <f>Entrada_de_Dados_2!H214</f>
        <v>0</v>
      </c>
      <c r="I230" s="204">
        <f t="shared" si="12"/>
        <v>0</v>
      </c>
    </row>
    <row r="231" spans="1:9" ht="14.25">
      <c r="A231" s="202">
        <v>5</v>
      </c>
      <c r="B231" s="203">
        <f t="shared" si="13"/>
        <v>0</v>
      </c>
      <c r="C231" s="199">
        <v>14</v>
      </c>
      <c r="D231" s="203">
        <f>Entrada_de_Dados_2!D215</f>
        <v>0</v>
      </c>
      <c r="E231" s="203">
        <f>Entrada_de_Dados_2!E215</f>
        <v>0</v>
      </c>
      <c r="F231" s="199">
        <f>Entrada_de_Dados_2!F215</f>
        <v>0</v>
      </c>
      <c r="G231" s="204">
        <f>Entrada_de_Dados_2!G215</f>
        <v>0</v>
      </c>
      <c r="H231" s="204">
        <f>Entrada_de_Dados_2!H215</f>
        <v>0</v>
      </c>
      <c r="I231" s="204">
        <f t="shared" si="12"/>
        <v>0</v>
      </c>
    </row>
    <row r="232" spans="1:9" ht="14.25">
      <c r="A232" s="202">
        <v>5</v>
      </c>
      <c r="B232" s="203">
        <f t="shared" si="13"/>
        <v>0</v>
      </c>
      <c r="C232" s="199">
        <v>15</v>
      </c>
      <c r="D232" s="203">
        <f>Entrada_de_Dados_2!D216</f>
        <v>0</v>
      </c>
      <c r="E232" s="203">
        <f>Entrada_de_Dados_2!E216</f>
        <v>0</v>
      </c>
      <c r="F232" s="199">
        <f>Entrada_de_Dados_2!F216</f>
        <v>0</v>
      </c>
      <c r="G232" s="204">
        <f>Entrada_de_Dados_2!G216</f>
        <v>0</v>
      </c>
      <c r="H232" s="204">
        <f>Entrada_de_Dados_2!H216</f>
        <v>0</v>
      </c>
      <c r="I232" s="204">
        <f t="shared" si="12"/>
        <v>0</v>
      </c>
    </row>
    <row r="233" spans="1:9" ht="14.25">
      <c r="A233" s="202">
        <v>5</v>
      </c>
      <c r="B233" s="203">
        <f t="shared" si="13"/>
        <v>0</v>
      </c>
      <c r="C233" s="199">
        <v>16</v>
      </c>
      <c r="D233" s="203">
        <f>Entrada_de_Dados_2!D217</f>
        <v>0</v>
      </c>
      <c r="E233" s="203">
        <f>Entrada_de_Dados_2!E217</f>
        <v>0</v>
      </c>
      <c r="F233" s="199">
        <f>Entrada_de_Dados_2!F217</f>
        <v>0</v>
      </c>
      <c r="G233" s="204">
        <f>Entrada_de_Dados_2!G217</f>
        <v>0</v>
      </c>
      <c r="H233" s="204">
        <f>Entrada_de_Dados_2!H217</f>
        <v>0</v>
      </c>
      <c r="I233" s="204">
        <f t="shared" si="12"/>
        <v>0</v>
      </c>
    </row>
    <row r="234" spans="1:9" ht="14.25">
      <c r="A234" s="202">
        <v>5</v>
      </c>
      <c r="B234" s="203">
        <f t="shared" si="13"/>
        <v>0</v>
      </c>
      <c r="C234" s="199">
        <v>17</v>
      </c>
      <c r="D234" s="203">
        <f>Entrada_de_Dados_2!D218</f>
        <v>0</v>
      </c>
      <c r="E234" s="203">
        <f>Entrada_de_Dados_2!E218</f>
        <v>0</v>
      </c>
      <c r="F234" s="199">
        <f>Entrada_de_Dados_2!F218</f>
        <v>0</v>
      </c>
      <c r="G234" s="204">
        <f>Entrada_de_Dados_2!G218</f>
        <v>0</v>
      </c>
      <c r="H234" s="204">
        <f>Entrada_de_Dados_2!H218</f>
        <v>0</v>
      </c>
      <c r="I234" s="204">
        <f t="shared" si="12"/>
        <v>0</v>
      </c>
    </row>
    <row r="235" spans="1:9" ht="14.25">
      <c r="A235" s="202">
        <v>5</v>
      </c>
      <c r="B235" s="203">
        <f t="shared" si="13"/>
        <v>0</v>
      </c>
      <c r="C235" s="199">
        <v>18</v>
      </c>
      <c r="D235" s="203">
        <f>Entrada_de_Dados_2!D219</f>
        <v>0</v>
      </c>
      <c r="E235" s="203">
        <f>Entrada_de_Dados_2!E219</f>
        <v>0</v>
      </c>
      <c r="F235" s="199">
        <f>Entrada_de_Dados_2!F219</f>
        <v>0</v>
      </c>
      <c r="G235" s="204">
        <f>Entrada_de_Dados_2!G219</f>
        <v>0</v>
      </c>
      <c r="H235" s="204">
        <f>Entrada_de_Dados_2!H219</f>
        <v>0</v>
      </c>
      <c r="I235" s="204">
        <f t="shared" si="12"/>
        <v>0</v>
      </c>
    </row>
    <row r="236" spans="1:9" ht="14.25">
      <c r="A236" s="202">
        <v>5</v>
      </c>
      <c r="B236" s="203">
        <f t="shared" si="13"/>
        <v>0</v>
      </c>
      <c r="C236" s="199">
        <v>19</v>
      </c>
      <c r="D236" s="203">
        <f>Entrada_de_Dados_2!D220</f>
        <v>0</v>
      </c>
      <c r="E236" s="203">
        <f>Entrada_de_Dados_2!E220</f>
        <v>0</v>
      </c>
      <c r="F236" s="199">
        <f>Entrada_de_Dados_2!F220</f>
        <v>0</v>
      </c>
      <c r="G236" s="204">
        <f>Entrada_de_Dados_2!G220</f>
        <v>0</v>
      </c>
      <c r="H236" s="204">
        <f>Entrada_de_Dados_2!H220</f>
        <v>0</v>
      </c>
      <c r="I236" s="204">
        <f t="shared" si="12"/>
        <v>0</v>
      </c>
    </row>
    <row r="237" spans="1:9" ht="14.25">
      <c r="A237" s="202">
        <v>5</v>
      </c>
      <c r="B237" s="203">
        <f t="shared" si="13"/>
        <v>0</v>
      </c>
      <c r="C237" s="199">
        <v>20</v>
      </c>
      <c r="D237" s="203">
        <f>Entrada_de_Dados_2!D221</f>
        <v>0</v>
      </c>
      <c r="E237" s="203">
        <f>Entrada_de_Dados_2!E221</f>
        <v>0</v>
      </c>
      <c r="F237" s="199">
        <f>Entrada_de_Dados_2!F221</f>
        <v>0</v>
      </c>
      <c r="G237" s="204">
        <f>Entrada_de_Dados_2!G221</f>
        <v>0</v>
      </c>
      <c r="H237" s="204">
        <f>Entrada_de_Dados_2!H221</f>
        <v>0</v>
      </c>
      <c r="I237" s="204">
        <f t="shared" si="12"/>
        <v>0</v>
      </c>
    </row>
    <row r="238" spans="1:9" ht="14.25">
      <c r="A238" s="202">
        <v>5</v>
      </c>
      <c r="B238" s="203">
        <f t="shared" si="13"/>
        <v>0</v>
      </c>
      <c r="C238" s="199">
        <v>21</v>
      </c>
      <c r="D238" s="203">
        <f>Entrada_de_Dados_2!D222</f>
        <v>0</v>
      </c>
      <c r="E238" s="203">
        <f>Entrada_de_Dados_2!E222</f>
        <v>0</v>
      </c>
      <c r="F238" s="199">
        <f>Entrada_de_Dados_2!F222</f>
        <v>0</v>
      </c>
      <c r="G238" s="204">
        <f>Entrada_de_Dados_2!G222</f>
        <v>0</v>
      </c>
      <c r="H238" s="204">
        <f>Entrada_de_Dados_2!H222</f>
        <v>0</v>
      </c>
      <c r="I238" s="204">
        <f t="shared" si="12"/>
        <v>0</v>
      </c>
    </row>
    <row r="239" spans="1:9" ht="14.25">
      <c r="A239" s="202">
        <v>5</v>
      </c>
      <c r="B239" s="203">
        <f t="shared" si="13"/>
        <v>0</v>
      </c>
      <c r="C239" s="199">
        <v>22</v>
      </c>
      <c r="D239" s="203">
        <f>Entrada_de_Dados_2!D223</f>
        <v>0</v>
      </c>
      <c r="E239" s="203">
        <f>Entrada_de_Dados_2!E223</f>
        <v>0</v>
      </c>
      <c r="F239" s="199">
        <f>Entrada_de_Dados_2!F223</f>
        <v>0</v>
      </c>
      <c r="G239" s="204">
        <f>Entrada_de_Dados_2!G223</f>
        <v>0</v>
      </c>
      <c r="H239" s="204">
        <f>Entrada_de_Dados_2!H223</f>
        <v>0</v>
      </c>
      <c r="I239" s="204">
        <f t="shared" si="12"/>
        <v>0</v>
      </c>
    </row>
    <row r="240" spans="1:9" ht="14.25">
      <c r="A240" s="202">
        <v>5</v>
      </c>
      <c r="B240" s="203">
        <f t="shared" si="13"/>
        <v>0</v>
      </c>
      <c r="C240" s="199">
        <v>23</v>
      </c>
      <c r="D240" s="203">
        <f>Entrada_de_Dados_2!D224</f>
        <v>0</v>
      </c>
      <c r="E240" s="203">
        <f>Entrada_de_Dados_2!E224</f>
        <v>0</v>
      </c>
      <c r="F240" s="199">
        <f>Entrada_de_Dados_2!F224</f>
        <v>0</v>
      </c>
      <c r="G240" s="204">
        <f>Entrada_de_Dados_2!G224</f>
        <v>0</v>
      </c>
      <c r="H240" s="204">
        <f>Entrada_de_Dados_2!H224</f>
        <v>0</v>
      </c>
      <c r="I240" s="204">
        <f t="shared" si="12"/>
        <v>0</v>
      </c>
    </row>
    <row r="241" spans="1:9" ht="14.25">
      <c r="A241" s="202">
        <v>5</v>
      </c>
      <c r="B241" s="203">
        <f t="shared" si="13"/>
        <v>0</v>
      </c>
      <c r="C241" s="199">
        <v>24</v>
      </c>
      <c r="D241" s="203">
        <f>Entrada_de_Dados_2!D225</f>
        <v>0</v>
      </c>
      <c r="E241" s="203">
        <f>Entrada_de_Dados_2!E225</f>
        <v>0</v>
      </c>
      <c r="F241" s="199">
        <f>Entrada_de_Dados_2!F225</f>
        <v>0</v>
      </c>
      <c r="G241" s="204">
        <f>Entrada_de_Dados_2!G225</f>
        <v>0</v>
      </c>
      <c r="H241" s="204">
        <f>Entrada_de_Dados_2!H225</f>
        <v>0</v>
      </c>
      <c r="I241" s="204">
        <f t="shared" si="12"/>
        <v>0</v>
      </c>
    </row>
    <row r="242" spans="1:9" ht="14.25">
      <c r="A242" s="202">
        <v>5</v>
      </c>
      <c r="B242" s="203">
        <f t="shared" si="13"/>
        <v>0</v>
      </c>
      <c r="C242" s="199">
        <v>25</v>
      </c>
      <c r="D242" s="203">
        <f>Entrada_de_Dados_2!D226</f>
        <v>0</v>
      </c>
      <c r="E242" s="203">
        <f>Entrada_de_Dados_2!E226</f>
        <v>0</v>
      </c>
      <c r="F242" s="199">
        <f>Entrada_de_Dados_2!F226</f>
        <v>0</v>
      </c>
      <c r="G242" s="204">
        <f>Entrada_de_Dados_2!G226</f>
        <v>0</v>
      </c>
      <c r="H242" s="204">
        <f>Entrada_de_Dados_2!H226</f>
        <v>0</v>
      </c>
      <c r="I242" s="204">
        <f t="shared" si="12"/>
        <v>0</v>
      </c>
    </row>
    <row r="243" spans="1:9" ht="14.25">
      <c r="A243" s="202">
        <v>5</v>
      </c>
      <c r="B243" s="203">
        <f t="shared" si="13"/>
        <v>0</v>
      </c>
      <c r="C243" s="199">
        <v>26</v>
      </c>
      <c r="D243" s="203">
        <f>Entrada_de_Dados_2!D227</f>
        <v>0</v>
      </c>
      <c r="E243" s="203">
        <f>Entrada_de_Dados_2!E227</f>
        <v>0</v>
      </c>
      <c r="F243" s="199">
        <f>Entrada_de_Dados_2!F227</f>
        <v>0</v>
      </c>
      <c r="G243" s="204">
        <f>Entrada_de_Dados_2!G227</f>
        <v>0</v>
      </c>
      <c r="H243" s="204">
        <f>Entrada_de_Dados_2!H227</f>
        <v>0</v>
      </c>
      <c r="I243" s="204">
        <f t="shared" si="12"/>
        <v>0</v>
      </c>
    </row>
    <row r="244" spans="1:9" ht="14.25">
      <c r="A244" s="202">
        <v>5</v>
      </c>
      <c r="B244" s="203">
        <f t="shared" si="13"/>
        <v>0</v>
      </c>
      <c r="C244" s="199">
        <v>27</v>
      </c>
      <c r="D244" s="203">
        <f>Entrada_de_Dados_2!D228</f>
        <v>0</v>
      </c>
      <c r="E244" s="203">
        <f>Entrada_de_Dados_2!E228</f>
        <v>0</v>
      </c>
      <c r="F244" s="199">
        <f>Entrada_de_Dados_2!F228</f>
        <v>0</v>
      </c>
      <c r="G244" s="204">
        <f>Entrada_de_Dados_2!G228</f>
        <v>0</v>
      </c>
      <c r="H244" s="204">
        <f>Entrada_de_Dados_2!H228</f>
        <v>0</v>
      </c>
      <c r="I244" s="204">
        <f t="shared" si="12"/>
        <v>0</v>
      </c>
    </row>
    <row r="245" spans="1:9" ht="14.25">
      <c r="A245" s="202">
        <v>5</v>
      </c>
      <c r="B245" s="203">
        <f t="shared" si="13"/>
        <v>0</v>
      </c>
      <c r="C245" s="199">
        <v>28</v>
      </c>
      <c r="D245" s="203">
        <f>Entrada_de_Dados_2!D229</f>
        <v>0</v>
      </c>
      <c r="E245" s="203">
        <f>Entrada_de_Dados_2!E229</f>
        <v>0</v>
      </c>
      <c r="F245" s="199">
        <f>Entrada_de_Dados_2!F229</f>
        <v>0</v>
      </c>
      <c r="G245" s="204">
        <f>Entrada_de_Dados_2!G229</f>
        <v>0</v>
      </c>
      <c r="H245" s="204">
        <f>Entrada_de_Dados_2!H229</f>
        <v>0</v>
      </c>
      <c r="I245" s="204">
        <f t="shared" si="12"/>
        <v>0</v>
      </c>
    </row>
    <row r="246" spans="1:9" ht="14.25">
      <c r="A246" s="202">
        <v>5</v>
      </c>
      <c r="B246" s="203">
        <f t="shared" si="13"/>
        <v>0</v>
      </c>
      <c r="C246" s="199">
        <v>29</v>
      </c>
      <c r="D246" s="203">
        <f>Entrada_de_Dados_2!D230</f>
        <v>0</v>
      </c>
      <c r="E246" s="203">
        <f>Entrada_de_Dados_2!E230</f>
        <v>0</v>
      </c>
      <c r="F246" s="199">
        <f>Entrada_de_Dados_2!F230</f>
        <v>0</v>
      </c>
      <c r="G246" s="204">
        <f>Entrada_de_Dados_2!G230</f>
        <v>0</v>
      </c>
      <c r="H246" s="204">
        <f>Entrada_de_Dados_2!H230</f>
        <v>0</v>
      </c>
      <c r="I246" s="204">
        <f t="shared" si="12"/>
        <v>0</v>
      </c>
    </row>
    <row r="247" spans="1:9" ht="14.25">
      <c r="A247" s="202">
        <v>5</v>
      </c>
      <c r="B247" s="203">
        <f t="shared" si="13"/>
        <v>0</v>
      </c>
      <c r="C247" s="199">
        <v>30</v>
      </c>
      <c r="D247" s="203">
        <f>Entrada_de_Dados_2!D231</f>
        <v>0</v>
      </c>
      <c r="E247" s="203">
        <f>Entrada_de_Dados_2!E231</f>
        <v>0</v>
      </c>
      <c r="F247" s="199">
        <f>Entrada_de_Dados_2!F231</f>
        <v>0</v>
      </c>
      <c r="G247" s="204">
        <f>Entrada_de_Dados_2!G231</f>
        <v>0</v>
      </c>
      <c r="H247" s="204">
        <f>Entrada_de_Dados_2!H231</f>
        <v>0</v>
      </c>
      <c r="I247" s="204">
        <f t="shared" si="12"/>
        <v>0</v>
      </c>
    </row>
    <row r="248" spans="1:9" ht="14.25">
      <c r="A248" s="202">
        <v>5</v>
      </c>
      <c r="B248" s="203">
        <f t="shared" si="13"/>
        <v>0</v>
      </c>
      <c r="C248" s="199">
        <v>31</v>
      </c>
      <c r="D248" s="203">
        <f>Entrada_de_Dados_2!D232</f>
        <v>0</v>
      </c>
      <c r="E248" s="203">
        <f>Entrada_de_Dados_2!E232</f>
        <v>0</v>
      </c>
      <c r="F248" s="199">
        <f>Entrada_de_Dados_2!F232</f>
        <v>0</v>
      </c>
      <c r="G248" s="204">
        <f>Entrada_de_Dados_2!G232</f>
        <v>0</v>
      </c>
      <c r="H248" s="204">
        <f>Entrada_de_Dados_2!H232</f>
        <v>0</v>
      </c>
      <c r="I248" s="204">
        <f t="shared" si="12"/>
        <v>0</v>
      </c>
    </row>
    <row r="249" spans="1:9" ht="14.25">
      <c r="A249" s="202">
        <v>5</v>
      </c>
      <c r="B249" s="203">
        <f t="shared" si="13"/>
        <v>0</v>
      </c>
      <c r="C249" s="199">
        <v>32</v>
      </c>
      <c r="D249" s="203">
        <f>Entrada_de_Dados_2!D233</f>
        <v>0</v>
      </c>
      <c r="E249" s="203">
        <f>Entrada_de_Dados_2!E233</f>
        <v>0</v>
      </c>
      <c r="F249" s="199">
        <f>Entrada_de_Dados_2!F233</f>
        <v>0</v>
      </c>
      <c r="G249" s="204">
        <f>Entrada_de_Dados_2!G233</f>
        <v>0</v>
      </c>
      <c r="H249" s="204">
        <f>Entrada_de_Dados_2!H233</f>
        <v>0</v>
      </c>
      <c r="I249" s="204">
        <f t="shared" si="12"/>
        <v>0</v>
      </c>
    </row>
    <row r="250" spans="1:9" ht="14.25">
      <c r="A250" s="202">
        <v>5</v>
      </c>
      <c r="B250" s="203">
        <f t="shared" si="13"/>
        <v>0</v>
      </c>
      <c r="C250" s="199">
        <v>33</v>
      </c>
      <c r="D250" s="203">
        <f>Entrada_de_Dados_2!D234</f>
        <v>0</v>
      </c>
      <c r="E250" s="203">
        <f>Entrada_de_Dados_2!E234</f>
        <v>0</v>
      </c>
      <c r="F250" s="199">
        <f>Entrada_de_Dados_2!F234</f>
        <v>0</v>
      </c>
      <c r="G250" s="204">
        <f>Entrada_de_Dados_2!G234</f>
        <v>0</v>
      </c>
      <c r="H250" s="204">
        <f>Entrada_de_Dados_2!H234</f>
        <v>0</v>
      </c>
      <c r="I250" s="204">
        <f t="shared" ref="I250:I267" si="14">G250*H250</f>
        <v>0</v>
      </c>
    </row>
    <row r="251" spans="1:9" ht="14.25">
      <c r="A251" s="202">
        <v>5</v>
      </c>
      <c r="B251" s="203">
        <f t="shared" si="13"/>
        <v>0</v>
      </c>
      <c r="C251" s="199">
        <v>34</v>
      </c>
      <c r="D251" s="203">
        <f>Entrada_de_Dados_2!D235</f>
        <v>0</v>
      </c>
      <c r="E251" s="203">
        <f>Entrada_de_Dados_2!E235</f>
        <v>0</v>
      </c>
      <c r="F251" s="199">
        <f>Entrada_de_Dados_2!F235</f>
        <v>0</v>
      </c>
      <c r="G251" s="204">
        <f>Entrada_de_Dados_2!G235</f>
        <v>0</v>
      </c>
      <c r="H251" s="204">
        <f>Entrada_de_Dados_2!H235</f>
        <v>0</v>
      </c>
      <c r="I251" s="204">
        <f t="shared" si="14"/>
        <v>0</v>
      </c>
    </row>
    <row r="252" spans="1:9" ht="14.25">
      <c r="A252" s="202">
        <v>5</v>
      </c>
      <c r="B252" s="203">
        <f t="shared" si="13"/>
        <v>0</v>
      </c>
      <c r="C252" s="199">
        <v>35</v>
      </c>
      <c r="D252" s="203">
        <f>Entrada_de_Dados_2!D236</f>
        <v>0</v>
      </c>
      <c r="E252" s="203">
        <f>Entrada_de_Dados_2!E236</f>
        <v>0</v>
      </c>
      <c r="F252" s="199">
        <f>Entrada_de_Dados_2!F236</f>
        <v>0</v>
      </c>
      <c r="G252" s="204">
        <f>Entrada_de_Dados_2!G236</f>
        <v>0</v>
      </c>
      <c r="H252" s="204">
        <f>Entrada_de_Dados_2!H236</f>
        <v>0</v>
      </c>
      <c r="I252" s="204">
        <f t="shared" si="14"/>
        <v>0</v>
      </c>
    </row>
    <row r="253" spans="1:9" ht="14.25">
      <c r="A253" s="202">
        <v>5</v>
      </c>
      <c r="B253" s="203">
        <f t="shared" si="13"/>
        <v>0</v>
      </c>
      <c r="C253" s="199">
        <v>36</v>
      </c>
      <c r="D253" s="203">
        <f>Entrada_de_Dados_2!D237</f>
        <v>0</v>
      </c>
      <c r="E253" s="203">
        <f>Entrada_de_Dados_2!E237</f>
        <v>0</v>
      </c>
      <c r="F253" s="199">
        <f>Entrada_de_Dados_2!F237</f>
        <v>0</v>
      </c>
      <c r="G253" s="204">
        <f>Entrada_de_Dados_2!G237</f>
        <v>0</v>
      </c>
      <c r="H253" s="204">
        <f>Entrada_de_Dados_2!H237</f>
        <v>0</v>
      </c>
      <c r="I253" s="204">
        <f t="shared" si="14"/>
        <v>0</v>
      </c>
    </row>
    <row r="254" spans="1:9" ht="14.25">
      <c r="A254" s="202">
        <v>5</v>
      </c>
      <c r="B254" s="203">
        <f t="shared" si="13"/>
        <v>0</v>
      </c>
      <c r="C254" s="199">
        <v>37</v>
      </c>
      <c r="D254" s="203">
        <f>Entrada_de_Dados_2!D238</f>
        <v>0</v>
      </c>
      <c r="E254" s="203">
        <f>Entrada_de_Dados_2!E238</f>
        <v>0</v>
      </c>
      <c r="F254" s="199">
        <f>Entrada_de_Dados_2!F238</f>
        <v>0</v>
      </c>
      <c r="G254" s="204">
        <f>Entrada_de_Dados_2!G238</f>
        <v>0</v>
      </c>
      <c r="H254" s="204">
        <f>Entrada_de_Dados_2!H238</f>
        <v>0</v>
      </c>
      <c r="I254" s="204">
        <f t="shared" si="14"/>
        <v>0</v>
      </c>
    </row>
    <row r="255" spans="1:9" ht="14.25">
      <c r="A255" s="202">
        <v>5</v>
      </c>
      <c r="B255" s="203">
        <f t="shared" si="13"/>
        <v>0</v>
      </c>
      <c r="C255" s="199">
        <v>38</v>
      </c>
      <c r="D255" s="203">
        <f>Entrada_de_Dados_2!D239</f>
        <v>0</v>
      </c>
      <c r="E255" s="203">
        <f>Entrada_de_Dados_2!E239</f>
        <v>0</v>
      </c>
      <c r="F255" s="199">
        <f>Entrada_de_Dados_2!F239</f>
        <v>0</v>
      </c>
      <c r="G255" s="204">
        <f>Entrada_de_Dados_2!G239</f>
        <v>0</v>
      </c>
      <c r="H255" s="204">
        <f>Entrada_de_Dados_2!H239</f>
        <v>0</v>
      </c>
      <c r="I255" s="204">
        <f t="shared" si="14"/>
        <v>0</v>
      </c>
    </row>
    <row r="256" spans="1:9" ht="14.25">
      <c r="A256" s="202">
        <v>5</v>
      </c>
      <c r="B256" s="203">
        <f t="shared" si="13"/>
        <v>0</v>
      </c>
      <c r="C256" s="199">
        <v>39</v>
      </c>
      <c r="D256" s="203">
        <f>Entrada_de_Dados_2!D240</f>
        <v>0</v>
      </c>
      <c r="E256" s="203">
        <f>Entrada_de_Dados_2!E240</f>
        <v>0</v>
      </c>
      <c r="F256" s="199">
        <f>Entrada_de_Dados_2!F240</f>
        <v>0</v>
      </c>
      <c r="G256" s="204">
        <f>Entrada_de_Dados_2!G240</f>
        <v>0</v>
      </c>
      <c r="H256" s="204">
        <f>Entrada_de_Dados_2!H240</f>
        <v>0</v>
      </c>
      <c r="I256" s="204">
        <f t="shared" si="14"/>
        <v>0</v>
      </c>
    </row>
    <row r="257" spans="1:11" ht="14.25">
      <c r="A257" s="202">
        <v>5</v>
      </c>
      <c r="B257" s="203">
        <f t="shared" si="13"/>
        <v>0</v>
      </c>
      <c r="C257" s="199">
        <v>40</v>
      </c>
      <c r="D257" s="203">
        <f>Entrada_de_Dados_2!D241</f>
        <v>0</v>
      </c>
      <c r="E257" s="203">
        <f>Entrada_de_Dados_2!E241</f>
        <v>0</v>
      </c>
      <c r="F257" s="199">
        <f>Entrada_de_Dados_2!F241</f>
        <v>0</v>
      </c>
      <c r="G257" s="204">
        <f>Entrada_de_Dados_2!G241</f>
        <v>0</v>
      </c>
      <c r="H257" s="204">
        <f>Entrada_de_Dados_2!H241</f>
        <v>0</v>
      </c>
      <c r="I257" s="204">
        <f t="shared" si="14"/>
        <v>0</v>
      </c>
    </row>
    <row r="258" spans="1:11" ht="14.25">
      <c r="A258" s="202">
        <v>5</v>
      </c>
      <c r="B258" s="203">
        <f t="shared" si="13"/>
        <v>0</v>
      </c>
      <c r="C258" s="199">
        <v>41</v>
      </c>
      <c r="D258" s="203">
        <f>Entrada_de_Dados_2!D242</f>
        <v>0</v>
      </c>
      <c r="E258" s="203">
        <f>Entrada_de_Dados_2!E242</f>
        <v>0</v>
      </c>
      <c r="F258" s="199">
        <f>Entrada_de_Dados_2!F242</f>
        <v>0</v>
      </c>
      <c r="G258" s="204">
        <f>Entrada_de_Dados_2!G242</f>
        <v>0</v>
      </c>
      <c r="H258" s="204">
        <f>Entrada_de_Dados_2!H242</f>
        <v>0</v>
      </c>
      <c r="I258" s="204">
        <f t="shared" si="14"/>
        <v>0</v>
      </c>
    </row>
    <row r="259" spans="1:11" ht="14.25">
      <c r="A259" s="202">
        <v>5</v>
      </c>
      <c r="B259" s="203">
        <f t="shared" si="13"/>
        <v>0</v>
      </c>
      <c r="C259" s="199">
        <v>42</v>
      </c>
      <c r="D259" s="203">
        <f>Entrada_de_Dados_2!D243</f>
        <v>0</v>
      </c>
      <c r="E259" s="203">
        <f>Entrada_de_Dados_2!E243</f>
        <v>0</v>
      </c>
      <c r="F259" s="199">
        <f>Entrada_de_Dados_2!F243</f>
        <v>0</v>
      </c>
      <c r="G259" s="204">
        <f>Entrada_de_Dados_2!G243</f>
        <v>0</v>
      </c>
      <c r="H259" s="204">
        <f>Entrada_de_Dados_2!H243</f>
        <v>0</v>
      </c>
      <c r="I259" s="204">
        <f t="shared" si="14"/>
        <v>0</v>
      </c>
    </row>
    <row r="260" spans="1:11" ht="14.25">
      <c r="A260" s="202">
        <v>5</v>
      </c>
      <c r="B260" s="203">
        <f t="shared" si="13"/>
        <v>0</v>
      </c>
      <c r="C260" s="199">
        <v>43</v>
      </c>
      <c r="D260" s="203">
        <f>Entrada_de_Dados_2!D244</f>
        <v>0</v>
      </c>
      <c r="E260" s="203">
        <f>Entrada_de_Dados_2!E244</f>
        <v>0</v>
      </c>
      <c r="F260" s="199">
        <f>Entrada_de_Dados_2!F244</f>
        <v>0</v>
      </c>
      <c r="G260" s="204">
        <f>Entrada_de_Dados_2!G244</f>
        <v>0</v>
      </c>
      <c r="H260" s="204">
        <f>Entrada_de_Dados_2!H244</f>
        <v>0</v>
      </c>
      <c r="I260" s="204">
        <f t="shared" si="14"/>
        <v>0</v>
      </c>
    </row>
    <row r="261" spans="1:11" ht="14.25">
      <c r="A261" s="202">
        <v>5</v>
      </c>
      <c r="B261" s="203">
        <f t="shared" si="13"/>
        <v>0</v>
      </c>
      <c r="C261" s="199">
        <v>44</v>
      </c>
      <c r="D261" s="203">
        <f>Entrada_de_Dados_2!D245</f>
        <v>0</v>
      </c>
      <c r="E261" s="203">
        <f>Entrada_de_Dados_2!E245</f>
        <v>0</v>
      </c>
      <c r="F261" s="199">
        <f>Entrada_de_Dados_2!F245</f>
        <v>0</v>
      </c>
      <c r="G261" s="204">
        <f>Entrada_de_Dados_2!G245</f>
        <v>0</v>
      </c>
      <c r="H261" s="204">
        <f>Entrada_de_Dados_2!H245</f>
        <v>0</v>
      </c>
      <c r="I261" s="204">
        <f t="shared" si="14"/>
        <v>0</v>
      </c>
    </row>
    <row r="262" spans="1:11" ht="14.25">
      <c r="A262" s="202">
        <v>5</v>
      </c>
      <c r="B262" s="203">
        <f t="shared" si="13"/>
        <v>0</v>
      </c>
      <c r="C262" s="199">
        <v>45</v>
      </c>
      <c r="D262" s="203">
        <f>Entrada_de_Dados_2!D246</f>
        <v>0</v>
      </c>
      <c r="E262" s="203">
        <f>Entrada_de_Dados_2!E246</f>
        <v>0</v>
      </c>
      <c r="F262" s="199">
        <f>Entrada_de_Dados_2!F246</f>
        <v>0</v>
      </c>
      <c r="G262" s="204">
        <f>Entrada_de_Dados_2!G246</f>
        <v>0</v>
      </c>
      <c r="H262" s="204">
        <f>Entrada_de_Dados_2!H246</f>
        <v>0</v>
      </c>
      <c r="I262" s="204">
        <f t="shared" si="14"/>
        <v>0</v>
      </c>
    </row>
    <row r="263" spans="1:11" ht="14.25">
      <c r="A263" s="202">
        <v>5</v>
      </c>
      <c r="B263" s="203">
        <f t="shared" si="13"/>
        <v>0</v>
      </c>
      <c r="C263" s="199">
        <v>46</v>
      </c>
      <c r="D263" s="203">
        <f>Entrada_de_Dados_2!D247</f>
        <v>0</v>
      </c>
      <c r="E263" s="203">
        <f>Entrada_de_Dados_2!E247</f>
        <v>0</v>
      </c>
      <c r="F263" s="199">
        <f>Entrada_de_Dados_2!F247</f>
        <v>0</v>
      </c>
      <c r="G263" s="204">
        <f>Entrada_de_Dados_2!G247</f>
        <v>0</v>
      </c>
      <c r="H263" s="204">
        <f>Entrada_de_Dados_2!H247</f>
        <v>0</v>
      </c>
      <c r="I263" s="204">
        <f t="shared" si="14"/>
        <v>0</v>
      </c>
    </row>
    <row r="264" spans="1:11" ht="14.25">
      <c r="A264" s="202">
        <v>5</v>
      </c>
      <c r="B264" s="203">
        <f t="shared" si="13"/>
        <v>0</v>
      </c>
      <c r="C264" s="199">
        <v>47</v>
      </c>
      <c r="D264" s="203">
        <f>Entrada_de_Dados_2!D248</f>
        <v>0</v>
      </c>
      <c r="E264" s="203">
        <f>Entrada_de_Dados_2!E248</f>
        <v>0</v>
      </c>
      <c r="F264" s="199">
        <f>Entrada_de_Dados_2!F248</f>
        <v>0</v>
      </c>
      <c r="G264" s="204">
        <f>Entrada_de_Dados_2!G248</f>
        <v>0</v>
      </c>
      <c r="H264" s="204">
        <f>Entrada_de_Dados_2!H248</f>
        <v>0</v>
      </c>
      <c r="I264" s="204">
        <f t="shared" si="14"/>
        <v>0</v>
      </c>
    </row>
    <row r="265" spans="1:11" ht="14.25">
      <c r="A265" s="202">
        <v>5</v>
      </c>
      <c r="B265" s="203">
        <f t="shared" si="13"/>
        <v>0</v>
      </c>
      <c r="C265" s="199">
        <v>48</v>
      </c>
      <c r="D265" s="203">
        <f>Entrada_de_Dados_2!D249</f>
        <v>0</v>
      </c>
      <c r="E265" s="203">
        <f>Entrada_de_Dados_2!E249</f>
        <v>0</v>
      </c>
      <c r="F265" s="199">
        <f>Entrada_de_Dados_2!F249</f>
        <v>0</v>
      </c>
      <c r="G265" s="204">
        <f>Entrada_de_Dados_2!G249</f>
        <v>0</v>
      </c>
      <c r="H265" s="204">
        <f>Entrada_de_Dados_2!H249</f>
        <v>0</v>
      </c>
      <c r="I265" s="204">
        <f t="shared" si="14"/>
        <v>0</v>
      </c>
    </row>
    <row r="266" spans="1:11" ht="14.25">
      <c r="A266" s="202">
        <v>5</v>
      </c>
      <c r="B266" s="203">
        <f t="shared" si="13"/>
        <v>0</v>
      </c>
      <c r="C266" s="199">
        <v>49</v>
      </c>
      <c r="D266" s="203">
        <f>Entrada_de_Dados_2!D250</f>
        <v>0</v>
      </c>
      <c r="E266" s="203">
        <f>Entrada_de_Dados_2!E250</f>
        <v>0</v>
      </c>
      <c r="F266" s="199">
        <f>Entrada_de_Dados_2!F250</f>
        <v>0</v>
      </c>
      <c r="G266" s="204">
        <f>Entrada_de_Dados_2!G250</f>
        <v>0</v>
      </c>
      <c r="H266" s="204">
        <f>Entrada_de_Dados_2!H250</f>
        <v>0</v>
      </c>
      <c r="I266" s="204">
        <f t="shared" si="14"/>
        <v>0</v>
      </c>
    </row>
    <row r="267" spans="1:11" ht="14.25">
      <c r="A267" s="202">
        <v>5</v>
      </c>
      <c r="B267" s="203">
        <f t="shared" si="13"/>
        <v>0</v>
      </c>
      <c r="C267" s="199">
        <v>50</v>
      </c>
      <c r="D267" s="203">
        <f>Entrada_de_Dados_2!D251</f>
        <v>0</v>
      </c>
      <c r="E267" s="203">
        <f>Entrada_de_Dados_2!E251</f>
        <v>0</v>
      </c>
      <c r="F267" s="213">
        <f>Entrada_de_Dados_2!F251</f>
        <v>0</v>
      </c>
      <c r="G267" s="219">
        <f>Entrada_de_Dados_2!G251</f>
        <v>0</v>
      </c>
      <c r="H267" s="219">
        <f>Entrada_de_Dados_2!H251</f>
        <v>0</v>
      </c>
      <c r="I267" s="219">
        <f t="shared" si="14"/>
        <v>0</v>
      </c>
    </row>
    <row r="268" spans="1:11" ht="14.25">
      <c r="A268" s="202"/>
      <c r="B268" s="203"/>
      <c r="F268" s="205" t="s">
        <v>17</v>
      </c>
      <c r="G268" s="206" t="e">
        <f>I268/I271</f>
        <v>#DIV/0!</v>
      </c>
      <c r="H268" s="205" t="s">
        <v>5</v>
      </c>
      <c r="I268" s="207">
        <f>SUMIF($F$218:$F$267,H268,$I$218:$I$267)</f>
        <v>0</v>
      </c>
    </row>
    <row r="269" spans="1:11" ht="14.25">
      <c r="A269" s="202"/>
      <c r="B269" s="203"/>
      <c r="F269" s="205" t="s">
        <v>18</v>
      </c>
      <c r="G269" s="206" t="e">
        <f>I269/I271</f>
        <v>#DIV/0!</v>
      </c>
      <c r="H269" s="205" t="s">
        <v>6</v>
      </c>
      <c r="I269" s="207">
        <f>SUMIF($F$218:$F$267,H269,$I$218:$I$267)</f>
        <v>0</v>
      </c>
    </row>
    <row r="270" spans="1:11" ht="14.25">
      <c r="A270" s="202"/>
      <c r="B270" s="203"/>
      <c r="F270" s="205" t="s">
        <v>19</v>
      </c>
      <c r="G270" s="206" t="e">
        <f>I270/I271</f>
        <v>#DIV/0!</v>
      </c>
      <c r="H270" s="205" t="s">
        <v>7</v>
      </c>
      <c r="I270" s="207">
        <f>SUMIF($F$218:$F$267,H270,$I$218:$I$267)</f>
        <v>0</v>
      </c>
    </row>
    <row r="271" spans="1:11" ht="14.25">
      <c r="A271" s="211"/>
      <c r="B271" s="212"/>
      <c r="C271" s="213"/>
      <c r="D271" s="214"/>
      <c r="E271" s="214"/>
      <c r="F271" s="215" t="s">
        <v>20</v>
      </c>
      <c r="G271" s="216" t="e">
        <f>SUM(G268:G270)</f>
        <v>#DIV/0!</v>
      </c>
      <c r="H271" s="215" t="s">
        <v>21</v>
      </c>
      <c r="I271" s="217">
        <f>SUM(I268:I270)</f>
        <v>0</v>
      </c>
    </row>
    <row r="272" spans="1:11" ht="14.25">
      <c r="A272" s="202">
        <v>6</v>
      </c>
      <c r="B272" s="203">
        <f>Entrada_de_Dados_2!B252</f>
        <v>0</v>
      </c>
      <c r="C272" s="199">
        <v>1</v>
      </c>
      <c r="D272" s="203">
        <f>Entrada_de_Dados_2!D252</f>
        <v>0</v>
      </c>
      <c r="E272" s="203">
        <f>Entrada_de_Dados_2!E252</f>
        <v>0</v>
      </c>
      <c r="F272" s="199">
        <f>Entrada_de_Dados_2!F252</f>
        <v>0</v>
      </c>
      <c r="G272" s="204">
        <f>Entrada_de_Dados_2!G252</f>
        <v>0</v>
      </c>
      <c r="H272" s="204">
        <f>Entrada_de_Dados_2!H252</f>
        <v>0</v>
      </c>
      <c r="I272" s="204">
        <f t="shared" ref="I272:I303" si="15">G272*H272</f>
        <v>0</v>
      </c>
      <c r="K272" s="199"/>
    </row>
    <row r="273" spans="1:11" ht="14.25">
      <c r="A273" s="202">
        <v>6</v>
      </c>
      <c r="B273" s="203">
        <f>$B$272</f>
        <v>0</v>
      </c>
      <c r="C273" s="199">
        <v>2</v>
      </c>
      <c r="D273" s="203">
        <f>Entrada_de_Dados_2!D253</f>
        <v>0</v>
      </c>
      <c r="E273" s="203">
        <f>Entrada_de_Dados_2!E253</f>
        <v>0</v>
      </c>
      <c r="F273" s="199">
        <f>Entrada_de_Dados_2!F253</f>
        <v>0</v>
      </c>
      <c r="G273" s="204">
        <f>Entrada_de_Dados_2!G253</f>
        <v>0</v>
      </c>
      <c r="H273" s="204">
        <f>Entrada_de_Dados_2!H253</f>
        <v>0</v>
      </c>
      <c r="I273" s="204">
        <f t="shared" si="15"/>
        <v>0</v>
      </c>
      <c r="K273" s="199"/>
    </row>
    <row r="274" spans="1:11" ht="14.25">
      <c r="A274" s="202">
        <v>6</v>
      </c>
      <c r="B274" s="203">
        <f t="shared" ref="B274:B321" si="16">$B$272</f>
        <v>0</v>
      </c>
      <c r="C274" s="199">
        <v>3</v>
      </c>
      <c r="D274" s="203">
        <f>Entrada_de_Dados_2!D254</f>
        <v>0</v>
      </c>
      <c r="E274" s="203">
        <f>Entrada_de_Dados_2!E254</f>
        <v>0</v>
      </c>
      <c r="F274" s="199">
        <f>Entrada_de_Dados_2!F254</f>
        <v>0</v>
      </c>
      <c r="G274" s="204">
        <f>Entrada_de_Dados_2!G254</f>
        <v>0</v>
      </c>
      <c r="H274" s="204">
        <f>Entrada_de_Dados_2!H254</f>
        <v>0</v>
      </c>
      <c r="I274" s="204">
        <f t="shared" si="15"/>
        <v>0</v>
      </c>
    </row>
    <row r="275" spans="1:11" ht="14.25">
      <c r="A275" s="202">
        <v>6</v>
      </c>
      <c r="B275" s="203">
        <f t="shared" si="16"/>
        <v>0</v>
      </c>
      <c r="C275" s="199">
        <v>4</v>
      </c>
      <c r="D275" s="203">
        <f>Entrada_de_Dados_2!D255</f>
        <v>0</v>
      </c>
      <c r="E275" s="203">
        <f>Entrada_de_Dados_2!E255</f>
        <v>0</v>
      </c>
      <c r="F275" s="199">
        <f>Entrada_de_Dados_2!F255</f>
        <v>0</v>
      </c>
      <c r="G275" s="204">
        <f>Entrada_de_Dados_2!G255</f>
        <v>0</v>
      </c>
      <c r="H275" s="204">
        <f>Entrada_de_Dados_2!H255</f>
        <v>0</v>
      </c>
      <c r="I275" s="204">
        <f t="shared" si="15"/>
        <v>0</v>
      </c>
    </row>
    <row r="276" spans="1:11" ht="14.25">
      <c r="A276" s="202">
        <v>6</v>
      </c>
      <c r="B276" s="203">
        <f t="shared" si="16"/>
        <v>0</v>
      </c>
      <c r="C276" s="199">
        <v>5</v>
      </c>
      <c r="D276" s="203">
        <f>Entrada_de_Dados_2!D256</f>
        <v>0</v>
      </c>
      <c r="E276" s="203">
        <f>Entrada_de_Dados_2!E256</f>
        <v>0</v>
      </c>
      <c r="F276" s="199">
        <f>Entrada_de_Dados_2!F256</f>
        <v>0</v>
      </c>
      <c r="G276" s="204">
        <f>Entrada_de_Dados_2!G256</f>
        <v>0</v>
      </c>
      <c r="H276" s="204">
        <f>Entrada_de_Dados_2!H256</f>
        <v>0</v>
      </c>
      <c r="I276" s="204">
        <f t="shared" si="15"/>
        <v>0</v>
      </c>
    </row>
    <row r="277" spans="1:11" ht="14.25">
      <c r="A277" s="202">
        <v>6</v>
      </c>
      <c r="B277" s="203">
        <f t="shared" si="16"/>
        <v>0</v>
      </c>
      <c r="C277" s="199">
        <v>6</v>
      </c>
      <c r="D277" s="203">
        <f>Entrada_de_Dados_2!D257</f>
        <v>0</v>
      </c>
      <c r="E277" s="203">
        <f>Entrada_de_Dados_2!E257</f>
        <v>0</v>
      </c>
      <c r="F277" s="199">
        <f>Entrada_de_Dados_2!F257</f>
        <v>0</v>
      </c>
      <c r="G277" s="204">
        <f>Entrada_de_Dados_2!G257</f>
        <v>0</v>
      </c>
      <c r="H277" s="204">
        <f>Entrada_de_Dados_2!H257</f>
        <v>0</v>
      </c>
      <c r="I277" s="204">
        <f t="shared" si="15"/>
        <v>0</v>
      </c>
    </row>
    <row r="278" spans="1:11" ht="14.25">
      <c r="A278" s="202">
        <v>6</v>
      </c>
      <c r="B278" s="203">
        <f t="shared" si="16"/>
        <v>0</v>
      </c>
      <c r="C278" s="199">
        <v>7</v>
      </c>
      <c r="D278" s="203">
        <f>Entrada_de_Dados_2!D258</f>
        <v>0</v>
      </c>
      <c r="E278" s="203">
        <f>Entrada_de_Dados_2!E258</f>
        <v>0</v>
      </c>
      <c r="F278" s="199">
        <f>Entrada_de_Dados_2!F258</f>
        <v>0</v>
      </c>
      <c r="G278" s="204">
        <f>Entrada_de_Dados_2!G258</f>
        <v>0</v>
      </c>
      <c r="H278" s="204">
        <f>Entrada_de_Dados_2!H258</f>
        <v>0</v>
      </c>
      <c r="I278" s="204">
        <f t="shared" si="15"/>
        <v>0</v>
      </c>
    </row>
    <row r="279" spans="1:11" ht="14.25">
      <c r="A279" s="202">
        <v>6</v>
      </c>
      <c r="B279" s="203">
        <f t="shared" si="16"/>
        <v>0</v>
      </c>
      <c r="C279" s="199">
        <v>8</v>
      </c>
      <c r="D279" s="203">
        <f>Entrada_de_Dados_2!D259</f>
        <v>0</v>
      </c>
      <c r="E279" s="203">
        <f>Entrada_de_Dados_2!E259</f>
        <v>0</v>
      </c>
      <c r="F279" s="199">
        <f>Entrada_de_Dados_2!F259</f>
        <v>0</v>
      </c>
      <c r="G279" s="204">
        <f>Entrada_de_Dados_2!G259</f>
        <v>0</v>
      </c>
      <c r="H279" s="204">
        <f>Entrada_de_Dados_2!H259</f>
        <v>0</v>
      </c>
      <c r="I279" s="204">
        <f t="shared" si="15"/>
        <v>0</v>
      </c>
    </row>
    <row r="280" spans="1:11" ht="14.25">
      <c r="A280" s="202">
        <v>6</v>
      </c>
      <c r="B280" s="203">
        <f t="shared" si="16"/>
        <v>0</v>
      </c>
      <c r="C280" s="199">
        <v>9</v>
      </c>
      <c r="D280" s="203">
        <f>Entrada_de_Dados_2!D260</f>
        <v>0</v>
      </c>
      <c r="E280" s="203">
        <f>Entrada_de_Dados_2!E260</f>
        <v>0</v>
      </c>
      <c r="F280" s="199">
        <f>Entrada_de_Dados_2!F260</f>
        <v>0</v>
      </c>
      <c r="G280" s="204">
        <f>Entrada_de_Dados_2!G260</f>
        <v>0</v>
      </c>
      <c r="H280" s="204">
        <f>Entrada_de_Dados_2!H260</f>
        <v>0</v>
      </c>
      <c r="I280" s="204">
        <f t="shared" si="15"/>
        <v>0</v>
      </c>
    </row>
    <row r="281" spans="1:11" ht="14.25">
      <c r="A281" s="202">
        <v>6</v>
      </c>
      <c r="B281" s="203">
        <f t="shared" si="16"/>
        <v>0</v>
      </c>
      <c r="C281" s="199">
        <v>10</v>
      </c>
      <c r="D281" s="203">
        <f>Entrada_de_Dados_2!D261</f>
        <v>0</v>
      </c>
      <c r="E281" s="203">
        <f>Entrada_de_Dados_2!E261</f>
        <v>0</v>
      </c>
      <c r="F281" s="199">
        <f>Entrada_de_Dados_2!F261</f>
        <v>0</v>
      </c>
      <c r="G281" s="204">
        <f>Entrada_de_Dados_2!G261</f>
        <v>0</v>
      </c>
      <c r="H281" s="204">
        <f>Entrada_de_Dados_2!H261</f>
        <v>0</v>
      </c>
      <c r="I281" s="204">
        <f t="shared" si="15"/>
        <v>0</v>
      </c>
    </row>
    <row r="282" spans="1:11" ht="14.25">
      <c r="A282" s="202">
        <v>6</v>
      </c>
      <c r="B282" s="203">
        <f t="shared" si="16"/>
        <v>0</v>
      </c>
      <c r="C282" s="199">
        <v>11</v>
      </c>
      <c r="D282" s="203">
        <f>Entrada_de_Dados_2!D262</f>
        <v>0</v>
      </c>
      <c r="E282" s="203">
        <f>Entrada_de_Dados_2!E262</f>
        <v>0</v>
      </c>
      <c r="F282" s="199">
        <f>Entrada_de_Dados_2!F262</f>
        <v>0</v>
      </c>
      <c r="G282" s="204">
        <f>Entrada_de_Dados_2!G262</f>
        <v>0</v>
      </c>
      <c r="H282" s="204">
        <f>Entrada_de_Dados_2!H262</f>
        <v>0</v>
      </c>
      <c r="I282" s="204">
        <f t="shared" si="15"/>
        <v>0</v>
      </c>
    </row>
    <row r="283" spans="1:11" ht="14.25">
      <c r="A283" s="202">
        <v>6</v>
      </c>
      <c r="B283" s="203">
        <f t="shared" si="16"/>
        <v>0</v>
      </c>
      <c r="C283" s="199">
        <v>12</v>
      </c>
      <c r="D283" s="203">
        <f>Entrada_de_Dados_2!D263</f>
        <v>0</v>
      </c>
      <c r="E283" s="203">
        <f>Entrada_de_Dados_2!E263</f>
        <v>0</v>
      </c>
      <c r="F283" s="199">
        <f>Entrada_de_Dados_2!F263</f>
        <v>0</v>
      </c>
      <c r="G283" s="204">
        <f>Entrada_de_Dados_2!G263</f>
        <v>0</v>
      </c>
      <c r="H283" s="204">
        <f>Entrada_de_Dados_2!H263</f>
        <v>0</v>
      </c>
      <c r="I283" s="204">
        <f t="shared" si="15"/>
        <v>0</v>
      </c>
    </row>
    <row r="284" spans="1:11" ht="14.25">
      <c r="A284" s="202">
        <v>6</v>
      </c>
      <c r="B284" s="203">
        <f t="shared" si="16"/>
        <v>0</v>
      </c>
      <c r="C284" s="199">
        <v>13</v>
      </c>
      <c r="D284" s="203">
        <f>Entrada_de_Dados_2!D264</f>
        <v>0</v>
      </c>
      <c r="E284" s="203">
        <f>Entrada_de_Dados_2!E264</f>
        <v>0</v>
      </c>
      <c r="F284" s="199">
        <f>Entrada_de_Dados_2!F264</f>
        <v>0</v>
      </c>
      <c r="G284" s="204">
        <f>Entrada_de_Dados_2!G264</f>
        <v>0</v>
      </c>
      <c r="H284" s="204">
        <f>Entrada_de_Dados_2!H264</f>
        <v>0</v>
      </c>
      <c r="I284" s="204">
        <f t="shared" si="15"/>
        <v>0</v>
      </c>
    </row>
    <row r="285" spans="1:11" ht="14.25">
      <c r="A285" s="202">
        <v>6</v>
      </c>
      <c r="B285" s="203">
        <f t="shared" si="16"/>
        <v>0</v>
      </c>
      <c r="C285" s="199">
        <v>14</v>
      </c>
      <c r="D285" s="203">
        <f>Entrada_de_Dados_2!D265</f>
        <v>0</v>
      </c>
      <c r="E285" s="203">
        <f>Entrada_de_Dados_2!E265</f>
        <v>0</v>
      </c>
      <c r="F285" s="199">
        <f>Entrada_de_Dados_2!F265</f>
        <v>0</v>
      </c>
      <c r="G285" s="204">
        <f>Entrada_de_Dados_2!G265</f>
        <v>0</v>
      </c>
      <c r="H285" s="204">
        <f>Entrada_de_Dados_2!H265</f>
        <v>0</v>
      </c>
      <c r="I285" s="204">
        <f t="shared" si="15"/>
        <v>0</v>
      </c>
    </row>
    <row r="286" spans="1:11" ht="14.25">
      <c r="A286" s="202">
        <v>6</v>
      </c>
      <c r="B286" s="203">
        <f t="shared" si="16"/>
        <v>0</v>
      </c>
      <c r="C286" s="199">
        <v>15</v>
      </c>
      <c r="D286" s="203">
        <f>Entrada_de_Dados_2!D266</f>
        <v>0</v>
      </c>
      <c r="E286" s="203">
        <f>Entrada_de_Dados_2!E266</f>
        <v>0</v>
      </c>
      <c r="F286" s="199">
        <f>Entrada_de_Dados_2!F266</f>
        <v>0</v>
      </c>
      <c r="G286" s="204">
        <f>Entrada_de_Dados_2!G266</f>
        <v>0</v>
      </c>
      <c r="H286" s="204">
        <f>Entrada_de_Dados_2!H266</f>
        <v>0</v>
      </c>
      <c r="I286" s="204">
        <f t="shared" si="15"/>
        <v>0</v>
      </c>
    </row>
    <row r="287" spans="1:11" ht="14.25">
      <c r="A287" s="202">
        <v>6</v>
      </c>
      <c r="B287" s="203">
        <f t="shared" si="16"/>
        <v>0</v>
      </c>
      <c r="C287" s="199">
        <v>16</v>
      </c>
      <c r="D287" s="203">
        <f>Entrada_de_Dados_2!D267</f>
        <v>0</v>
      </c>
      <c r="E287" s="203">
        <f>Entrada_de_Dados_2!E267</f>
        <v>0</v>
      </c>
      <c r="F287" s="199">
        <f>Entrada_de_Dados_2!F267</f>
        <v>0</v>
      </c>
      <c r="G287" s="204">
        <f>Entrada_de_Dados_2!G267</f>
        <v>0</v>
      </c>
      <c r="H287" s="204">
        <f>Entrada_de_Dados_2!H267</f>
        <v>0</v>
      </c>
      <c r="I287" s="204">
        <f t="shared" si="15"/>
        <v>0</v>
      </c>
    </row>
    <row r="288" spans="1:11" ht="14.25">
      <c r="A288" s="202">
        <v>6</v>
      </c>
      <c r="B288" s="203">
        <f t="shared" si="16"/>
        <v>0</v>
      </c>
      <c r="C288" s="199">
        <v>17</v>
      </c>
      <c r="D288" s="203">
        <f>Entrada_de_Dados_2!D268</f>
        <v>0</v>
      </c>
      <c r="E288" s="203">
        <f>Entrada_de_Dados_2!E268</f>
        <v>0</v>
      </c>
      <c r="F288" s="199">
        <f>Entrada_de_Dados_2!F268</f>
        <v>0</v>
      </c>
      <c r="G288" s="204">
        <f>Entrada_de_Dados_2!G268</f>
        <v>0</v>
      </c>
      <c r="H288" s="204">
        <f>Entrada_de_Dados_2!H268</f>
        <v>0</v>
      </c>
      <c r="I288" s="204">
        <f t="shared" si="15"/>
        <v>0</v>
      </c>
    </row>
    <row r="289" spans="1:9" ht="14.25">
      <c r="A289" s="202">
        <v>6</v>
      </c>
      <c r="B289" s="203">
        <f t="shared" si="16"/>
        <v>0</v>
      </c>
      <c r="C289" s="199">
        <v>18</v>
      </c>
      <c r="D289" s="203">
        <f>Entrada_de_Dados_2!D269</f>
        <v>0</v>
      </c>
      <c r="E289" s="203">
        <f>Entrada_de_Dados_2!E269</f>
        <v>0</v>
      </c>
      <c r="F289" s="199">
        <f>Entrada_de_Dados_2!F269</f>
        <v>0</v>
      </c>
      <c r="G289" s="204">
        <f>Entrada_de_Dados_2!G269</f>
        <v>0</v>
      </c>
      <c r="H289" s="204">
        <f>Entrada_de_Dados_2!H269</f>
        <v>0</v>
      </c>
      <c r="I289" s="204">
        <f t="shared" si="15"/>
        <v>0</v>
      </c>
    </row>
    <row r="290" spans="1:9" ht="14.25">
      <c r="A290" s="202">
        <v>6</v>
      </c>
      <c r="B290" s="203">
        <f t="shared" si="16"/>
        <v>0</v>
      </c>
      <c r="C290" s="199">
        <v>19</v>
      </c>
      <c r="D290" s="203">
        <f>Entrada_de_Dados_2!D270</f>
        <v>0</v>
      </c>
      <c r="E290" s="203">
        <f>Entrada_de_Dados_2!E270</f>
        <v>0</v>
      </c>
      <c r="F290" s="199">
        <f>Entrada_de_Dados_2!F270</f>
        <v>0</v>
      </c>
      <c r="G290" s="204">
        <f>Entrada_de_Dados_2!G270</f>
        <v>0</v>
      </c>
      <c r="H290" s="204">
        <f>Entrada_de_Dados_2!H270</f>
        <v>0</v>
      </c>
      <c r="I290" s="204">
        <f t="shared" si="15"/>
        <v>0</v>
      </c>
    </row>
    <row r="291" spans="1:9" ht="14.25">
      <c r="A291" s="202">
        <v>6</v>
      </c>
      <c r="B291" s="203">
        <f t="shared" si="16"/>
        <v>0</v>
      </c>
      <c r="C291" s="199">
        <v>20</v>
      </c>
      <c r="D291" s="203">
        <f>Entrada_de_Dados_2!D271</f>
        <v>0</v>
      </c>
      <c r="E291" s="203">
        <f>Entrada_de_Dados_2!E271</f>
        <v>0</v>
      </c>
      <c r="F291" s="199">
        <f>Entrada_de_Dados_2!F271</f>
        <v>0</v>
      </c>
      <c r="G291" s="204">
        <f>Entrada_de_Dados_2!G271</f>
        <v>0</v>
      </c>
      <c r="H291" s="204">
        <f>Entrada_de_Dados_2!H271</f>
        <v>0</v>
      </c>
      <c r="I291" s="204">
        <f t="shared" si="15"/>
        <v>0</v>
      </c>
    </row>
    <row r="292" spans="1:9" ht="14.25">
      <c r="A292" s="202">
        <v>6</v>
      </c>
      <c r="B292" s="203">
        <f t="shared" si="16"/>
        <v>0</v>
      </c>
      <c r="C292" s="199">
        <v>21</v>
      </c>
      <c r="D292" s="203">
        <f>Entrada_de_Dados_2!D272</f>
        <v>0</v>
      </c>
      <c r="E292" s="203">
        <f>Entrada_de_Dados_2!E272</f>
        <v>0</v>
      </c>
      <c r="F292" s="199">
        <f>Entrada_de_Dados_2!F272</f>
        <v>0</v>
      </c>
      <c r="G292" s="204">
        <f>Entrada_de_Dados_2!G272</f>
        <v>0</v>
      </c>
      <c r="H292" s="204">
        <f>Entrada_de_Dados_2!H272</f>
        <v>0</v>
      </c>
      <c r="I292" s="204">
        <f t="shared" si="15"/>
        <v>0</v>
      </c>
    </row>
    <row r="293" spans="1:9" ht="14.25">
      <c r="A293" s="202">
        <v>6</v>
      </c>
      <c r="B293" s="203">
        <f t="shared" si="16"/>
        <v>0</v>
      </c>
      <c r="C293" s="199">
        <v>22</v>
      </c>
      <c r="D293" s="203">
        <f>Entrada_de_Dados_2!D273</f>
        <v>0</v>
      </c>
      <c r="E293" s="203">
        <f>Entrada_de_Dados_2!E273</f>
        <v>0</v>
      </c>
      <c r="F293" s="199">
        <f>Entrada_de_Dados_2!F273</f>
        <v>0</v>
      </c>
      <c r="G293" s="204">
        <f>Entrada_de_Dados_2!G273</f>
        <v>0</v>
      </c>
      <c r="H293" s="204">
        <f>Entrada_de_Dados_2!H273</f>
        <v>0</v>
      </c>
      <c r="I293" s="204">
        <f t="shared" si="15"/>
        <v>0</v>
      </c>
    </row>
    <row r="294" spans="1:9" ht="14.25">
      <c r="A294" s="202">
        <v>6</v>
      </c>
      <c r="B294" s="203">
        <f t="shared" si="16"/>
        <v>0</v>
      </c>
      <c r="C294" s="199">
        <v>23</v>
      </c>
      <c r="D294" s="203">
        <f>Entrada_de_Dados_2!D274</f>
        <v>0</v>
      </c>
      <c r="E294" s="203">
        <f>Entrada_de_Dados_2!E274</f>
        <v>0</v>
      </c>
      <c r="F294" s="199">
        <f>Entrada_de_Dados_2!F274</f>
        <v>0</v>
      </c>
      <c r="G294" s="204">
        <f>Entrada_de_Dados_2!G274</f>
        <v>0</v>
      </c>
      <c r="H294" s="204">
        <f>Entrada_de_Dados_2!H274</f>
        <v>0</v>
      </c>
      <c r="I294" s="204">
        <f t="shared" si="15"/>
        <v>0</v>
      </c>
    </row>
    <row r="295" spans="1:9" ht="14.25">
      <c r="A295" s="202">
        <v>6</v>
      </c>
      <c r="B295" s="203">
        <f t="shared" si="16"/>
        <v>0</v>
      </c>
      <c r="C295" s="199">
        <v>24</v>
      </c>
      <c r="D295" s="203">
        <f>Entrada_de_Dados_2!D275</f>
        <v>0</v>
      </c>
      <c r="E295" s="203">
        <f>Entrada_de_Dados_2!E275</f>
        <v>0</v>
      </c>
      <c r="F295" s="199">
        <f>Entrada_de_Dados_2!F275</f>
        <v>0</v>
      </c>
      <c r="G295" s="204">
        <f>Entrada_de_Dados_2!G275</f>
        <v>0</v>
      </c>
      <c r="H295" s="204">
        <f>Entrada_de_Dados_2!H275</f>
        <v>0</v>
      </c>
      <c r="I295" s="204">
        <f t="shared" si="15"/>
        <v>0</v>
      </c>
    </row>
    <row r="296" spans="1:9" ht="14.25">
      <c r="A296" s="202">
        <v>6</v>
      </c>
      <c r="B296" s="203">
        <f t="shared" si="16"/>
        <v>0</v>
      </c>
      <c r="C296" s="199">
        <v>25</v>
      </c>
      <c r="D296" s="203">
        <f>Entrada_de_Dados_2!D276</f>
        <v>0</v>
      </c>
      <c r="E296" s="203">
        <f>Entrada_de_Dados_2!E276</f>
        <v>0</v>
      </c>
      <c r="F296" s="199">
        <f>Entrada_de_Dados_2!F276</f>
        <v>0</v>
      </c>
      <c r="G296" s="204">
        <f>Entrada_de_Dados_2!G276</f>
        <v>0</v>
      </c>
      <c r="H296" s="204">
        <f>Entrada_de_Dados_2!H276</f>
        <v>0</v>
      </c>
      <c r="I296" s="204">
        <f t="shared" si="15"/>
        <v>0</v>
      </c>
    </row>
    <row r="297" spans="1:9" ht="14.25">
      <c r="A297" s="202">
        <v>6</v>
      </c>
      <c r="B297" s="203">
        <f t="shared" si="16"/>
        <v>0</v>
      </c>
      <c r="C297" s="199">
        <v>26</v>
      </c>
      <c r="D297" s="203">
        <f>Entrada_de_Dados_2!D277</f>
        <v>0</v>
      </c>
      <c r="E297" s="203">
        <f>Entrada_de_Dados_2!E277</f>
        <v>0</v>
      </c>
      <c r="F297" s="199">
        <f>Entrada_de_Dados_2!F277</f>
        <v>0</v>
      </c>
      <c r="G297" s="204">
        <f>Entrada_de_Dados_2!G277</f>
        <v>0</v>
      </c>
      <c r="H297" s="204">
        <f>Entrada_de_Dados_2!H277</f>
        <v>0</v>
      </c>
      <c r="I297" s="204">
        <f t="shared" si="15"/>
        <v>0</v>
      </c>
    </row>
    <row r="298" spans="1:9" ht="14.25">
      <c r="A298" s="202">
        <v>6</v>
      </c>
      <c r="B298" s="203">
        <f t="shared" si="16"/>
        <v>0</v>
      </c>
      <c r="C298" s="199">
        <v>27</v>
      </c>
      <c r="D298" s="203">
        <f>Entrada_de_Dados_2!D278</f>
        <v>0</v>
      </c>
      <c r="E298" s="203">
        <f>Entrada_de_Dados_2!E278</f>
        <v>0</v>
      </c>
      <c r="F298" s="199">
        <f>Entrada_de_Dados_2!F278</f>
        <v>0</v>
      </c>
      <c r="G298" s="204">
        <f>Entrada_de_Dados_2!G278</f>
        <v>0</v>
      </c>
      <c r="H298" s="204">
        <f>Entrada_de_Dados_2!H278</f>
        <v>0</v>
      </c>
      <c r="I298" s="204">
        <f t="shared" si="15"/>
        <v>0</v>
      </c>
    </row>
    <row r="299" spans="1:9" ht="14.25">
      <c r="A299" s="202">
        <v>6</v>
      </c>
      <c r="B299" s="203">
        <f t="shared" si="16"/>
        <v>0</v>
      </c>
      <c r="C299" s="199">
        <v>28</v>
      </c>
      <c r="D299" s="203">
        <f>Entrada_de_Dados_2!D279</f>
        <v>0</v>
      </c>
      <c r="E299" s="203">
        <f>Entrada_de_Dados_2!E279</f>
        <v>0</v>
      </c>
      <c r="F299" s="199">
        <f>Entrada_de_Dados_2!F279</f>
        <v>0</v>
      </c>
      <c r="G299" s="204">
        <f>Entrada_de_Dados_2!G279</f>
        <v>0</v>
      </c>
      <c r="H299" s="204">
        <f>Entrada_de_Dados_2!H279</f>
        <v>0</v>
      </c>
      <c r="I299" s="204">
        <f t="shared" si="15"/>
        <v>0</v>
      </c>
    </row>
    <row r="300" spans="1:9" ht="14.25">
      <c r="A300" s="202">
        <v>6</v>
      </c>
      <c r="B300" s="203">
        <f t="shared" si="16"/>
        <v>0</v>
      </c>
      <c r="C300" s="199">
        <v>29</v>
      </c>
      <c r="D300" s="203">
        <f>Entrada_de_Dados_2!D280</f>
        <v>0</v>
      </c>
      <c r="E300" s="203">
        <f>Entrada_de_Dados_2!E280</f>
        <v>0</v>
      </c>
      <c r="F300" s="199">
        <f>Entrada_de_Dados_2!F280</f>
        <v>0</v>
      </c>
      <c r="G300" s="204">
        <f>Entrada_de_Dados_2!G280</f>
        <v>0</v>
      </c>
      <c r="H300" s="204">
        <f>Entrada_de_Dados_2!H280</f>
        <v>0</v>
      </c>
      <c r="I300" s="204">
        <f t="shared" si="15"/>
        <v>0</v>
      </c>
    </row>
    <row r="301" spans="1:9" ht="14.25">
      <c r="A301" s="202">
        <v>6</v>
      </c>
      <c r="B301" s="203">
        <f t="shared" si="16"/>
        <v>0</v>
      </c>
      <c r="C301" s="199">
        <v>30</v>
      </c>
      <c r="D301" s="203">
        <f>Entrada_de_Dados_2!D281</f>
        <v>0</v>
      </c>
      <c r="E301" s="203">
        <f>Entrada_de_Dados_2!E281</f>
        <v>0</v>
      </c>
      <c r="F301" s="199">
        <f>Entrada_de_Dados_2!F281</f>
        <v>0</v>
      </c>
      <c r="G301" s="204">
        <f>Entrada_de_Dados_2!G281</f>
        <v>0</v>
      </c>
      <c r="H301" s="204">
        <f>Entrada_de_Dados_2!H281</f>
        <v>0</v>
      </c>
      <c r="I301" s="204">
        <f t="shared" si="15"/>
        <v>0</v>
      </c>
    </row>
    <row r="302" spans="1:9" ht="14.25">
      <c r="A302" s="202">
        <v>6</v>
      </c>
      <c r="B302" s="203">
        <f t="shared" si="16"/>
        <v>0</v>
      </c>
      <c r="C302" s="199">
        <v>31</v>
      </c>
      <c r="D302" s="203">
        <f>Entrada_de_Dados_2!D282</f>
        <v>0</v>
      </c>
      <c r="E302" s="203">
        <f>Entrada_de_Dados_2!E282</f>
        <v>0</v>
      </c>
      <c r="F302" s="199">
        <f>Entrada_de_Dados_2!F282</f>
        <v>0</v>
      </c>
      <c r="G302" s="204">
        <f>Entrada_de_Dados_2!G282</f>
        <v>0</v>
      </c>
      <c r="H302" s="204">
        <f>Entrada_de_Dados_2!H282</f>
        <v>0</v>
      </c>
      <c r="I302" s="204">
        <f t="shared" si="15"/>
        <v>0</v>
      </c>
    </row>
    <row r="303" spans="1:9" ht="14.25">
      <c r="A303" s="202">
        <v>6</v>
      </c>
      <c r="B303" s="203">
        <f t="shared" si="16"/>
        <v>0</v>
      </c>
      <c r="C303" s="199">
        <v>32</v>
      </c>
      <c r="D303" s="203">
        <f>Entrada_de_Dados_2!D283</f>
        <v>0</v>
      </c>
      <c r="E303" s="203">
        <f>Entrada_de_Dados_2!E283</f>
        <v>0</v>
      </c>
      <c r="F303" s="199">
        <f>Entrada_de_Dados_2!F283</f>
        <v>0</v>
      </c>
      <c r="G303" s="204">
        <f>Entrada_de_Dados_2!G283</f>
        <v>0</v>
      </c>
      <c r="H303" s="204">
        <f>Entrada_de_Dados_2!H283</f>
        <v>0</v>
      </c>
      <c r="I303" s="204">
        <f t="shared" si="15"/>
        <v>0</v>
      </c>
    </row>
    <row r="304" spans="1:9" ht="14.25">
      <c r="A304" s="202">
        <v>6</v>
      </c>
      <c r="B304" s="203">
        <f t="shared" si="16"/>
        <v>0</v>
      </c>
      <c r="C304" s="199">
        <v>33</v>
      </c>
      <c r="D304" s="203">
        <f>Entrada_de_Dados_2!D284</f>
        <v>0</v>
      </c>
      <c r="E304" s="203">
        <f>Entrada_de_Dados_2!E284</f>
        <v>0</v>
      </c>
      <c r="F304" s="199">
        <f>Entrada_de_Dados_2!F284</f>
        <v>0</v>
      </c>
      <c r="G304" s="204">
        <f>Entrada_de_Dados_2!G284</f>
        <v>0</v>
      </c>
      <c r="H304" s="204">
        <f>Entrada_de_Dados_2!H284</f>
        <v>0</v>
      </c>
      <c r="I304" s="204">
        <f t="shared" ref="I304:I321" si="17">G304*H304</f>
        <v>0</v>
      </c>
    </row>
    <row r="305" spans="1:9" ht="14.25">
      <c r="A305" s="202">
        <v>6</v>
      </c>
      <c r="B305" s="203">
        <f t="shared" si="16"/>
        <v>0</v>
      </c>
      <c r="C305" s="199">
        <v>34</v>
      </c>
      <c r="D305" s="203">
        <f>Entrada_de_Dados_2!D285</f>
        <v>0</v>
      </c>
      <c r="E305" s="203">
        <f>Entrada_de_Dados_2!E285</f>
        <v>0</v>
      </c>
      <c r="F305" s="199">
        <f>Entrada_de_Dados_2!F285</f>
        <v>0</v>
      </c>
      <c r="G305" s="204">
        <f>Entrada_de_Dados_2!G285</f>
        <v>0</v>
      </c>
      <c r="H305" s="204">
        <f>Entrada_de_Dados_2!H285</f>
        <v>0</v>
      </c>
      <c r="I305" s="204">
        <f t="shared" si="17"/>
        <v>0</v>
      </c>
    </row>
    <row r="306" spans="1:9" ht="14.25">
      <c r="A306" s="202">
        <v>6</v>
      </c>
      <c r="B306" s="203">
        <f t="shared" si="16"/>
        <v>0</v>
      </c>
      <c r="C306" s="199">
        <v>35</v>
      </c>
      <c r="D306" s="203">
        <f>Entrada_de_Dados_2!D286</f>
        <v>0</v>
      </c>
      <c r="E306" s="203">
        <f>Entrada_de_Dados_2!E286</f>
        <v>0</v>
      </c>
      <c r="F306" s="199">
        <f>Entrada_de_Dados_2!F286</f>
        <v>0</v>
      </c>
      <c r="G306" s="204">
        <f>Entrada_de_Dados_2!G286</f>
        <v>0</v>
      </c>
      <c r="H306" s="204">
        <f>Entrada_de_Dados_2!H286</f>
        <v>0</v>
      </c>
      <c r="I306" s="204">
        <f t="shared" si="17"/>
        <v>0</v>
      </c>
    </row>
    <row r="307" spans="1:9" ht="14.25">
      <c r="A307" s="202">
        <v>6</v>
      </c>
      <c r="B307" s="203">
        <f t="shared" si="16"/>
        <v>0</v>
      </c>
      <c r="C307" s="199">
        <v>36</v>
      </c>
      <c r="D307" s="203">
        <f>Entrada_de_Dados_2!D287</f>
        <v>0</v>
      </c>
      <c r="E307" s="203">
        <f>Entrada_de_Dados_2!E287</f>
        <v>0</v>
      </c>
      <c r="F307" s="199">
        <f>Entrada_de_Dados_2!F287</f>
        <v>0</v>
      </c>
      <c r="G307" s="204">
        <f>Entrada_de_Dados_2!G287</f>
        <v>0</v>
      </c>
      <c r="H307" s="204">
        <f>Entrada_de_Dados_2!H287</f>
        <v>0</v>
      </c>
      <c r="I307" s="204">
        <f t="shared" si="17"/>
        <v>0</v>
      </c>
    </row>
    <row r="308" spans="1:9" ht="14.25">
      <c r="A308" s="202">
        <v>6</v>
      </c>
      <c r="B308" s="203">
        <f t="shared" si="16"/>
        <v>0</v>
      </c>
      <c r="C308" s="199">
        <v>37</v>
      </c>
      <c r="D308" s="203">
        <f>Entrada_de_Dados_2!D288</f>
        <v>0</v>
      </c>
      <c r="E308" s="203">
        <f>Entrada_de_Dados_2!E288</f>
        <v>0</v>
      </c>
      <c r="F308" s="199">
        <f>Entrada_de_Dados_2!F288</f>
        <v>0</v>
      </c>
      <c r="G308" s="204">
        <f>Entrada_de_Dados_2!G288</f>
        <v>0</v>
      </c>
      <c r="H308" s="204">
        <f>Entrada_de_Dados_2!H288</f>
        <v>0</v>
      </c>
      <c r="I308" s="204">
        <f t="shared" si="17"/>
        <v>0</v>
      </c>
    </row>
    <row r="309" spans="1:9" ht="14.25">
      <c r="A309" s="202">
        <v>6</v>
      </c>
      <c r="B309" s="203">
        <f t="shared" si="16"/>
        <v>0</v>
      </c>
      <c r="C309" s="199">
        <v>38</v>
      </c>
      <c r="D309" s="203">
        <f>Entrada_de_Dados_2!D289</f>
        <v>0</v>
      </c>
      <c r="E309" s="203">
        <f>Entrada_de_Dados_2!E289</f>
        <v>0</v>
      </c>
      <c r="F309" s="199">
        <f>Entrada_de_Dados_2!F289</f>
        <v>0</v>
      </c>
      <c r="G309" s="204">
        <f>Entrada_de_Dados_2!G289</f>
        <v>0</v>
      </c>
      <c r="H309" s="204">
        <f>Entrada_de_Dados_2!H289</f>
        <v>0</v>
      </c>
      <c r="I309" s="204">
        <f t="shared" si="17"/>
        <v>0</v>
      </c>
    </row>
    <row r="310" spans="1:9" ht="14.25">
      <c r="A310" s="202">
        <v>6</v>
      </c>
      <c r="B310" s="203">
        <f t="shared" si="16"/>
        <v>0</v>
      </c>
      <c r="C310" s="199">
        <v>39</v>
      </c>
      <c r="D310" s="203">
        <f>Entrada_de_Dados_2!D290</f>
        <v>0</v>
      </c>
      <c r="E310" s="203">
        <f>Entrada_de_Dados_2!E290</f>
        <v>0</v>
      </c>
      <c r="F310" s="199">
        <f>Entrada_de_Dados_2!F290</f>
        <v>0</v>
      </c>
      <c r="G310" s="204">
        <f>Entrada_de_Dados_2!G290</f>
        <v>0</v>
      </c>
      <c r="H310" s="204">
        <f>Entrada_de_Dados_2!H290</f>
        <v>0</v>
      </c>
      <c r="I310" s="204">
        <f t="shared" si="17"/>
        <v>0</v>
      </c>
    </row>
    <row r="311" spans="1:9" ht="14.25">
      <c r="A311" s="202">
        <v>6</v>
      </c>
      <c r="B311" s="203">
        <f t="shared" si="16"/>
        <v>0</v>
      </c>
      <c r="C311" s="199">
        <v>40</v>
      </c>
      <c r="D311" s="203">
        <f>Entrada_de_Dados_2!D291</f>
        <v>0</v>
      </c>
      <c r="E311" s="203">
        <f>Entrada_de_Dados_2!E291</f>
        <v>0</v>
      </c>
      <c r="F311" s="199">
        <f>Entrada_de_Dados_2!F291</f>
        <v>0</v>
      </c>
      <c r="G311" s="204">
        <f>Entrada_de_Dados_2!G291</f>
        <v>0</v>
      </c>
      <c r="H311" s="204">
        <f>Entrada_de_Dados_2!H291</f>
        <v>0</v>
      </c>
      <c r="I311" s="204">
        <f t="shared" si="17"/>
        <v>0</v>
      </c>
    </row>
    <row r="312" spans="1:9" ht="14.25">
      <c r="A312" s="202">
        <v>6</v>
      </c>
      <c r="B312" s="203">
        <f t="shared" si="16"/>
        <v>0</v>
      </c>
      <c r="C312" s="199">
        <v>41</v>
      </c>
      <c r="D312" s="203">
        <f>Entrada_de_Dados_2!D292</f>
        <v>0</v>
      </c>
      <c r="E312" s="203">
        <f>Entrada_de_Dados_2!E292</f>
        <v>0</v>
      </c>
      <c r="F312" s="199">
        <f>Entrada_de_Dados_2!F292</f>
        <v>0</v>
      </c>
      <c r="G312" s="204">
        <f>Entrada_de_Dados_2!G292</f>
        <v>0</v>
      </c>
      <c r="H312" s="204">
        <f>Entrada_de_Dados_2!H292</f>
        <v>0</v>
      </c>
      <c r="I312" s="204">
        <f t="shared" si="17"/>
        <v>0</v>
      </c>
    </row>
    <row r="313" spans="1:9" ht="14.25">
      <c r="A313" s="202">
        <v>6</v>
      </c>
      <c r="B313" s="203">
        <f t="shared" si="16"/>
        <v>0</v>
      </c>
      <c r="C313" s="199">
        <v>42</v>
      </c>
      <c r="D313" s="203">
        <f>Entrada_de_Dados_2!D293</f>
        <v>0</v>
      </c>
      <c r="E313" s="203">
        <f>Entrada_de_Dados_2!E293</f>
        <v>0</v>
      </c>
      <c r="F313" s="199">
        <f>Entrada_de_Dados_2!F293</f>
        <v>0</v>
      </c>
      <c r="G313" s="204">
        <f>Entrada_de_Dados_2!G293</f>
        <v>0</v>
      </c>
      <c r="H313" s="204">
        <f>Entrada_de_Dados_2!H293</f>
        <v>0</v>
      </c>
      <c r="I313" s="204">
        <f t="shared" si="17"/>
        <v>0</v>
      </c>
    </row>
    <row r="314" spans="1:9" ht="14.25">
      <c r="A314" s="202">
        <v>6</v>
      </c>
      <c r="B314" s="203">
        <f t="shared" si="16"/>
        <v>0</v>
      </c>
      <c r="C314" s="199">
        <v>43</v>
      </c>
      <c r="D314" s="203">
        <f>Entrada_de_Dados_2!D294</f>
        <v>0</v>
      </c>
      <c r="E314" s="203">
        <f>Entrada_de_Dados_2!E294</f>
        <v>0</v>
      </c>
      <c r="F314" s="199">
        <f>Entrada_de_Dados_2!F294</f>
        <v>0</v>
      </c>
      <c r="G314" s="204">
        <f>Entrada_de_Dados_2!G294</f>
        <v>0</v>
      </c>
      <c r="H314" s="204">
        <f>Entrada_de_Dados_2!H294</f>
        <v>0</v>
      </c>
      <c r="I314" s="204">
        <f t="shared" si="17"/>
        <v>0</v>
      </c>
    </row>
    <row r="315" spans="1:9" ht="14.25">
      <c r="A315" s="202">
        <v>6</v>
      </c>
      <c r="B315" s="203">
        <f t="shared" si="16"/>
        <v>0</v>
      </c>
      <c r="C315" s="199">
        <v>44</v>
      </c>
      <c r="D315" s="203">
        <f>Entrada_de_Dados_2!D295</f>
        <v>0</v>
      </c>
      <c r="E315" s="203">
        <f>Entrada_de_Dados_2!E295</f>
        <v>0</v>
      </c>
      <c r="F315" s="199">
        <f>Entrada_de_Dados_2!F295</f>
        <v>0</v>
      </c>
      <c r="G315" s="204">
        <f>Entrada_de_Dados_2!G295</f>
        <v>0</v>
      </c>
      <c r="H315" s="204">
        <f>Entrada_de_Dados_2!H295</f>
        <v>0</v>
      </c>
      <c r="I315" s="204">
        <f t="shared" si="17"/>
        <v>0</v>
      </c>
    </row>
    <row r="316" spans="1:9" ht="14.25">
      <c r="A316" s="202">
        <v>6</v>
      </c>
      <c r="B316" s="203">
        <f t="shared" si="16"/>
        <v>0</v>
      </c>
      <c r="C316" s="199">
        <v>45</v>
      </c>
      <c r="D316" s="203">
        <f>Entrada_de_Dados_2!D296</f>
        <v>0</v>
      </c>
      <c r="E316" s="203">
        <f>Entrada_de_Dados_2!E296</f>
        <v>0</v>
      </c>
      <c r="F316" s="199">
        <f>Entrada_de_Dados_2!F296</f>
        <v>0</v>
      </c>
      <c r="G316" s="204">
        <f>Entrada_de_Dados_2!G296</f>
        <v>0</v>
      </c>
      <c r="H316" s="204">
        <f>Entrada_de_Dados_2!H296</f>
        <v>0</v>
      </c>
      <c r="I316" s="204">
        <f t="shared" si="17"/>
        <v>0</v>
      </c>
    </row>
    <row r="317" spans="1:9" ht="14.25">
      <c r="A317" s="202">
        <v>6</v>
      </c>
      <c r="B317" s="203">
        <f t="shared" si="16"/>
        <v>0</v>
      </c>
      <c r="C317" s="199">
        <v>46</v>
      </c>
      <c r="D317" s="203">
        <f>Entrada_de_Dados_2!D297</f>
        <v>0</v>
      </c>
      <c r="E317" s="203">
        <f>Entrada_de_Dados_2!E297</f>
        <v>0</v>
      </c>
      <c r="F317" s="199">
        <f>Entrada_de_Dados_2!F297</f>
        <v>0</v>
      </c>
      <c r="G317" s="204">
        <f>Entrada_de_Dados_2!G297</f>
        <v>0</v>
      </c>
      <c r="H317" s="204">
        <f>Entrada_de_Dados_2!H297</f>
        <v>0</v>
      </c>
      <c r="I317" s="204">
        <f t="shared" si="17"/>
        <v>0</v>
      </c>
    </row>
    <row r="318" spans="1:9" ht="14.25">
      <c r="A318" s="202">
        <v>6</v>
      </c>
      <c r="B318" s="203">
        <f t="shared" si="16"/>
        <v>0</v>
      </c>
      <c r="C318" s="199">
        <v>47</v>
      </c>
      <c r="D318" s="203">
        <f>Entrada_de_Dados_2!D298</f>
        <v>0</v>
      </c>
      <c r="E318" s="203">
        <f>Entrada_de_Dados_2!E298</f>
        <v>0</v>
      </c>
      <c r="F318" s="199">
        <f>Entrada_de_Dados_2!F298</f>
        <v>0</v>
      </c>
      <c r="G318" s="204">
        <f>Entrada_de_Dados_2!G298</f>
        <v>0</v>
      </c>
      <c r="H318" s="204">
        <f>Entrada_de_Dados_2!H298</f>
        <v>0</v>
      </c>
      <c r="I318" s="204">
        <f t="shared" si="17"/>
        <v>0</v>
      </c>
    </row>
    <row r="319" spans="1:9" ht="14.25">
      <c r="A319" s="202">
        <v>6</v>
      </c>
      <c r="B319" s="203">
        <f t="shared" si="16"/>
        <v>0</v>
      </c>
      <c r="C319" s="199">
        <v>48</v>
      </c>
      <c r="D319" s="203">
        <f>Entrada_de_Dados_2!D299</f>
        <v>0</v>
      </c>
      <c r="E319" s="203">
        <f>Entrada_de_Dados_2!E299</f>
        <v>0</v>
      </c>
      <c r="F319" s="199">
        <f>Entrada_de_Dados_2!F299</f>
        <v>0</v>
      </c>
      <c r="G319" s="204">
        <f>Entrada_de_Dados_2!G299</f>
        <v>0</v>
      </c>
      <c r="H319" s="204">
        <f>Entrada_de_Dados_2!H299</f>
        <v>0</v>
      </c>
      <c r="I319" s="204">
        <f t="shared" si="17"/>
        <v>0</v>
      </c>
    </row>
    <row r="320" spans="1:9" ht="14.25">
      <c r="A320" s="202">
        <v>6</v>
      </c>
      <c r="B320" s="203">
        <f t="shared" si="16"/>
        <v>0</v>
      </c>
      <c r="C320" s="199">
        <v>49</v>
      </c>
      <c r="D320" s="203">
        <f>Entrada_de_Dados_2!D300</f>
        <v>0</v>
      </c>
      <c r="E320" s="203">
        <f>Entrada_de_Dados_2!E300</f>
        <v>0</v>
      </c>
      <c r="F320" s="199">
        <f>Entrada_de_Dados_2!F300</f>
        <v>0</v>
      </c>
      <c r="G320" s="204">
        <f>Entrada_de_Dados_2!G300</f>
        <v>0</v>
      </c>
      <c r="H320" s="204">
        <f>Entrada_de_Dados_2!H300</f>
        <v>0</v>
      </c>
      <c r="I320" s="204">
        <f t="shared" si="17"/>
        <v>0</v>
      </c>
    </row>
    <row r="321" spans="1:9" ht="14.25">
      <c r="A321" s="202">
        <v>6</v>
      </c>
      <c r="B321" s="203">
        <f t="shared" si="16"/>
        <v>0</v>
      </c>
      <c r="C321" s="199">
        <v>50</v>
      </c>
      <c r="D321" s="203">
        <f>Entrada_de_Dados_2!D301</f>
        <v>0</v>
      </c>
      <c r="E321" s="203">
        <f>Entrada_de_Dados_2!E301</f>
        <v>0</v>
      </c>
      <c r="F321" s="213">
        <f>Entrada_de_Dados_2!F301</f>
        <v>0</v>
      </c>
      <c r="G321" s="219">
        <f>Entrada_de_Dados_2!G301</f>
        <v>0</v>
      </c>
      <c r="H321" s="219">
        <f>Entrada_de_Dados_2!H301</f>
        <v>0</v>
      </c>
      <c r="I321" s="219">
        <f t="shared" si="17"/>
        <v>0</v>
      </c>
    </row>
    <row r="322" spans="1:9" ht="14.25">
      <c r="A322" s="202"/>
      <c r="B322" s="203"/>
      <c r="F322" s="205" t="s">
        <v>17</v>
      </c>
      <c r="G322" s="206" t="e">
        <f>I322/I325</f>
        <v>#DIV/0!</v>
      </c>
      <c r="H322" s="205" t="s">
        <v>5</v>
      </c>
      <c r="I322" s="207">
        <f>SUMIF($F$272:$F$321,H322,$I$272:$I$321)</f>
        <v>0</v>
      </c>
    </row>
    <row r="323" spans="1:9" ht="14.25">
      <c r="A323" s="202"/>
      <c r="B323" s="203"/>
      <c r="F323" s="205" t="s">
        <v>18</v>
      </c>
      <c r="G323" s="206" t="e">
        <f>I323/I325</f>
        <v>#DIV/0!</v>
      </c>
      <c r="H323" s="205" t="s">
        <v>6</v>
      </c>
      <c r="I323" s="207">
        <f>SUMIF($F$272:$F$321,H323,$I$272:$I$321)</f>
        <v>0</v>
      </c>
    </row>
    <row r="324" spans="1:9" ht="14.25">
      <c r="A324" s="202"/>
      <c r="B324" s="203"/>
      <c r="F324" s="205" t="s">
        <v>19</v>
      </c>
      <c r="G324" s="206" t="e">
        <f>I324/I325</f>
        <v>#DIV/0!</v>
      </c>
      <c r="H324" s="205" t="s">
        <v>7</v>
      </c>
      <c r="I324" s="207">
        <f>SUMIF($F$272:$F$321,H324,$I$272:$I$321)</f>
        <v>0</v>
      </c>
    </row>
    <row r="325" spans="1:9" ht="14.25">
      <c r="A325" s="211"/>
      <c r="B325" s="212"/>
      <c r="C325" s="213"/>
      <c r="D325" s="214"/>
      <c r="E325" s="214"/>
      <c r="F325" s="215" t="s">
        <v>20</v>
      </c>
      <c r="G325" s="216" t="e">
        <f>SUM(G322:G324)</f>
        <v>#DIV/0!</v>
      </c>
      <c r="H325" s="215" t="s">
        <v>21</v>
      </c>
      <c r="I325" s="217">
        <f>SUM(I322:I324)</f>
        <v>0</v>
      </c>
    </row>
    <row r="326" spans="1:9" ht="14.25">
      <c r="A326" s="202">
        <v>7</v>
      </c>
      <c r="B326" s="203">
        <f>Entrada_de_Dados_2!B302</f>
        <v>0</v>
      </c>
      <c r="C326" s="199">
        <v>1</v>
      </c>
      <c r="D326" s="203">
        <f>Entrada_de_Dados_2!D302</f>
        <v>0</v>
      </c>
      <c r="E326" s="203">
        <f>Entrada_de_Dados_2!E302</f>
        <v>0</v>
      </c>
      <c r="F326" s="199">
        <f>Entrada_de_Dados_2!F302</f>
        <v>0</v>
      </c>
      <c r="G326" s="204">
        <f>Entrada_de_Dados_2!G302</f>
        <v>0</v>
      </c>
      <c r="H326" s="204">
        <f>Entrada_de_Dados_2!H302</f>
        <v>0</v>
      </c>
      <c r="I326" s="204">
        <f t="shared" ref="I326:I375" si="18">G326*H326</f>
        <v>0</v>
      </c>
    </row>
    <row r="327" spans="1:9" ht="14.25">
      <c r="A327" s="202">
        <v>7</v>
      </c>
      <c r="B327" s="203">
        <f>$B$326</f>
        <v>0</v>
      </c>
      <c r="C327" s="199">
        <v>2</v>
      </c>
      <c r="D327" s="203">
        <f>Entrada_de_Dados_2!D303</f>
        <v>0</v>
      </c>
      <c r="E327" s="203">
        <f>Entrada_de_Dados_2!E303</f>
        <v>0</v>
      </c>
      <c r="F327" s="199">
        <f>Entrada_de_Dados_2!F303</f>
        <v>0</v>
      </c>
      <c r="G327" s="204">
        <f>Entrada_de_Dados_2!G303</f>
        <v>0</v>
      </c>
      <c r="H327" s="204">
        <f>Entrada_de_Dados_2!H303</f>
        <v>0</v>
      </c>
      <c r="I327" s="204">
        <f t="shared" si="18"/>
        <v>0</v>
      </c>
    </row>
    <row r="328" spans="1:9" ht="14.25">
      <c r="A328" s="202">
        <v>7</v>
      </c>
      <c r="B328" s="203">
        <f t="shared" ref="B328:B375" si="19">$B$326</f>
        <v>0</v>
      </c>
      <c r="C328" s="199">
        <v>3</v>
      </c>
      <c r="D328" s="203">
        <f>Entrada_de_Dados_2!D304</f>
        <v>0</v>
      </c>
      <c r="E328" s="203">
        <f>Entrada_de_Dados_2!E304</f>
        <v>0</v>
      </c>
      <c r="F328" s="199">
        <f>Entrada_de_Dados_2!F304</f>
        <v>0</v>
      </c>
      <c r="G328" s="204">
        <f>Entrada_de_Dados_2!G304</f>
        <v>0</v>
      </c>
      <c r="H328" s="204">
        <f>Entrada_de_Dados_2!H304</f>
        <v>0</v>
      </c>
      <c r="I328" s="204">
        <f t="shared" si="18"/>
        <v>0</v>
      </c>
    </row>
    <row r="329" spans="1:9" ht="14.25">
      <c r="A329" s="202">
        <v>7</v>
      </c>
      <c r="B329" s="203">
        <f t="shared" si="19"/>
        <v>0</v>
      </c>
      <c r="C329" s="199">
        <v>4</v>
      </c>
      <c r="D329" s="203">
        <f>Entrada_de_Dados_2!D305</f>
        <v>0</v>
      </c>
      <c r="E329" s="203">
        <f>Entrada_de_Dados_2!E305</f>
        <v>0</v>
      </c>
      <c r="F329" s="199">
        <f>Entrada_de_Dados_2!F305</f>
        <v>0</v>
      </c>
      <c r="G329" s="204">
        <f>Entrada_de_Dados_2!G305</f>
        <v>0</v>
      </c>
      <c r="H329" s="204">
        <f>Entrada_de_Dados_2!H305</f>
        <v>0</v>
      </c>
      <c r="I329" s="204">
        <f t="shared" si="18"/>
        <v>0</v>
      </c>
    </row>
    <row r="330" spans="1:9" ht="14.25">
      <c r="A330" s="202">
        <v>7</v>
      </c>
      <c r="B330" s="203">
        <f t="shared" si="19"/>
        <v>0</v>
      </c>
      <c r="C330" s="199">
        <v>5</v>
      </c>
      <c r="D330" s="203">
        <f>Entrada_de_Dados_2!D306</f>
        <v>0</v>
      </c>
      <c r="E330" s="203">
        <f>Entrada_de_Dados_2!E306</f>
        <v>0</v>
      </c>
      <c r="F330" s="199">
        <f>Entrada_de_Dados_2!F306</f>
        <v>0</v>
      </c>
      <c r="G330" s="204">
        <f>Entrada_de_Dados_2!G306</f>
        <v>0</v>
      </c>
      <c r="H330" s="204">
        <f>Entrada_de_Dados_2!H306</f>
        <v>0</v>
      </c>
      <c r="I330" s="204">
        <f t="shared" si="18"/>
        <v>0</v>
      </c>
    </row>
    <row r="331" spans="1:9" ht="14.25">
      <c r="A331" s="202">
        <v>7</v>
      </c>
      <c r="B331" s="203">
        <f t="shared" si="19"/>
        <v>0</v>
      </c>
      <c r="C331" s="199">
        <v>6</v>
      </c>
      <c r="D331" s="203">
        <f>Entrada_de_Dados_2!D307</f>
        <v>0</v>
      </c>
      <c r="E331" s="203">
        <f>Entrada_de_Dados_2!E307</f>
        <v>0</v>
      </c>
      <c r="F331" s="199">
        <f>Entrada_de_Dados_2!F307</f>
        <v>0</v>
      </c>
      <c r="G331" s="204">
        <f>Entrada_de_Dados_2!G307</f>
        <v>0</v>
      </c>
      <c r="H331" s="204">
        <f>Entrada_de_Dados_2!H307</f>
        <v>0</v>
      </c>
      <c r="I331" s="204">
        <f t="shared" si="18"/>
        <v>0</v>
      </c>
    </row>
    <row r="332" spans="1:9" ht="14.25">
      <c r="A332" s="202">
        <v>7</v>
      </c>
      <c r="B332" s="203">
        <f t="shared" si="19"/>
        <v>0</v>
      </c>
      <c r="C332" s="199">
        <v>7</v>
      </c>
      <c r="D332" s="203">
        <f>Entrada_de_Dados_2!D308</f>
        <v>0</v>
      </c>
      <c r="E332" s="203">
        <f>Entrada_de_Dados_2!E308</f>
        <v>0</v>
      </c>
      <c r="F332" s="199">
        <f>Entrada_de_Dados_2!F308</f>
        <v>0</v>
      </c>
      <c r="G332" s="204">
        <f>Entrada_de_Dados_2!G308</f>
        <v>0</v>
      </c>
      <c r="H332" s="204">
        <f>Entrada_de_Dados_2!H308</f>
        <v>0</v>
      </c>
      <c r="I332" s="204">
        <f t="shared" si="18"/>
        <v>0</v>
      </c>
    </row>
    <row r="333" spans="1:9" ht="14.25">
      <c r="A333" s="202">
        <v>7</v>
      </c>
      <c r="B333" s="203">
        <f t="shared" si="19"/>
        <v>0</v>
      </c>
      <c r="C333" s="199">
        <v>8</v>
      </c>
      <c r="D333" s="203">
        <f>Entrada_de_Dados_2!D309</f>
        <v>0</v>
      </c>
      <c r="E333" s="203">
        <f>Entrada_de_Dados_2!E309</f>
        <v>0</v>
      </c>
      <c r="F333" s="199">
        <f>Entrada_de_Dados_2!F309</f>
        <v>0</v>
      </c>
      <c r="G333" s="204">
        <f>Entrada_de_Dados_2!G309</f>
        <v>0</v>
      </c>
      <c r="H333" s="204">
        <f>Entrada_de_Dados_2!H309</f>
        <v>0</v>
      </c>
      <c r="I333" s="204">
        <f t="shared" si="18"/>
        <v>0</v>
      </c>
    </row>
    <row r="334" spans="1:9" ht="14.25">
      <c r="A334" s="202">
        <v>7</v>
      </c>
      <c r="B334" s="203">
        <f t="shared" si="19"/>
        <v>0</v>
      </c>
      <c r="C334" s="199">
        <v>9</v>
      </c>
      <c r="D334" s="203">
        <f>Entrada_de_Dados_2!D310</f>
        <v>0</v>
      </c>
      <c r="E334" s="203">
        <f>Entrada_de_Dados_2!E310</f>
        <v>0</v>
      </c>
      <c r="F334" s="199">
        <f>Entrada_de_Dados_2!F310</f>
        <v>0</v>
      </c>
      <c r="G334" s="204">
        <f>Entrada_de_Dados_2!G310</f>
        <v>0</v>
      </c>
      <c r="H334" s="204">
        <f>Entrada_de_Dados_2!H310</f>
        <v>0</v>
      </c>
      <c r="I334" s="204">
        <f t="shared" si="18"/>
        <v>0</v>
      </c>
    </row>
    <row r="335" spans="1:9" ht="14.25">
      <c r="A335" s="202">
        <v>7</v>
      </c>
      <c r="B335" s="203">
        <f t="shared" si="19"/>
        <v>0</v>
      </c>
      <c r="C335" s="199">
        <v>10</v>
      </c>
      <c r="D335" s="203">
        <f>Entrada_de_Dados_2!D311</f>
        <v>0</v>
      </c>
      <c r="E335" s="203">
        <f>Entrada_de_Dados_2!E311</f>
        <v>0</v>
      </c>
      <c r="F335" s="199">
        <f>Entrada_de_Dados_2!F311</f>
        <v>0</v>
      </c>
      <c r="G335" s="204">
        <f>Entrada_de_Dados_2!G311</f>
        <v>0</v>
      </c>
      <c r="H335" s="204">
        <f>Entrada_de_Dados_2!H311</f>
        <v>0</v>
      </c>
      <c r="I335" s="204">
        <f t="shared" si="18"/>
        <v>0</v>
      </c>
    </row>
    <row r="336" spans="1:9" ht="14.25">
      <c r="A336" s="202">
        <v>7</v>
      </c>
      <c r="B336" s="203">
        <f t="shared" si="19"/>
        <v>0</v>
      </c>
      <c r="C336" s="199">
        <v>11</v>
      </c>
      <c r="D336" s="203">
        <f>Entrada_de_Dados_2!D312</f>
        <v>0</v>
      </c>
      <c r="E336" s="203">
        <f>Entrada_de_Dados_2!E312</f>
        <v>0</v>
      </c>
      <c r="F336" s="199">
        <f>Entrada_de_Dados_2!F312</f>
        <v>0</v>
      </c>
      <c r="G336" s="204">
        <f>Entrada_de_Dados_2!G312</f>
        <v>0</v>
      </c>
      <c r="H336" s="204">
        <f>Entrada_de_Dados_2!H312</f>
        <v>0</v>
      </c>
      <c r="I336" s="204">
        <f t="shared" si="18"/>
        <v>0</v>
      </c>
    </row>
    <row r="337" spans="1:9" ht="14.25">
      <c r="A337" s="202">
        <v>7</v>
      </c>
      <c r="B337" s="203">
        <f t="shared" si="19"/>
        <v>0</v>
      </c>
      <c r="C337" s="199">
        <v>12</v>
      </c>
      <c r="D337" s="203">
        <f>Entrada_de_Dados_2!D313</f>
        <v>0</v>
      </c>
      <c r="E337" s="203">
        <f>Entrada_de_Dados_2!E313</f>
        <v>0</v>
      </c>
      <c r="F337" s="199">
        <f>Entrada_de_Dados_2!F313</f>
        <v>0</v>
      </c>
      <c r="G337" s="204">
        <f>Entrada_de_Dados_2!G313</f>
        <v>0</v>
      </c>
      <c r="H337" s="204">
        <f>Entrada_de_Dados_2!H313</f>
        <v>0</v>
      </c>
      <c r="I337" s="204">
        <f t="shared" si="18"/>
        <v>0</v>
      </c>
    </row>
    <row r="338" spans="1:9" ht="14.25">
      <c r="A338" s="202">
        <v>7</v>
      </c>
      <c r="B338" s="203">
        <f t="shared" si="19"/>
        <v>0</v>
      </c>
      <c r="C338" s="199">
        <v>13</v>
      </c>
      <c r="D338" s="203">
        <f>Entrada_de_Dados_2!D314</f>
        <v>0</v>
      </c>
      <c r="E338" s="203">
        <f>Entrada_de_Dados_2!E314</f>
        <v>0</v>
      </c>
      <c r="F338" s="199">
        <f>Entrada_de_Dados_2!F314</f>
        <v>0</v>
      </c>
      <c r="G338" s="204">
        <f>Entrada_de_Dados_2!G314</f>
        <v>0</v>
      </c>
      <c r="H338" s="204">
        <f>Entrada_de_Dados_2!H314</f>
        <v>0</v>
      </c>
      <c r="I338" s="204">
        <f t="shared" si="18"/>
        <v>0</v>
      </c>
    </row>
    <row r="339" spans="1:9" ht="14.25">
      <c r="A339" s="202">
        <v>7</v>
      </c>
      <c r="B339" s="203">
        <f t="shared" si="19"/>
        <v>0</v>
      </c>
      <c r="C339" s="199">
        <v>14</v>
      </c>
      <c r="D339" s="203">
        <f>Entrada_de_Dados_2!D315</f>
        <v>0</v>
      </c>
      <c r="E339" s="203">
        <f>Entrada_de_Dados_2!E315</f>
        <v>0</v>
      </c>
      <c r="F339" s="199">
        <f>Entrada_de_Dados_2!F315</f>
        <v>0</v>
      </c>
      <c r="G339" s="204">
        <f>Entrada_de_Dados_2!G315</f>
        <v>0</v>
      </c>
      <c r="H339" s="204">
        <f>Entrada_de_Dados_2!H315</f>
        <v>0</v>
      </c>
      <c r="I339" s="204">
        <f t="shared" si="18"/>
        <v>0</v>
      </c>
    </row>
    <row r="340" spans="1:9" ht="14.25">
      <c r="A340" s="202">
        <v>7</v>
      </c>
      <c r="B340" s="203">
        <f t="shared" si="19"/>
        <v>0</v>
      </c>
      <c r="C340" s="199">
        <v>15</v>
      </c>
      <c r="D340" s="203">
        <f>Entrada_de_Dados_2!D316</f>
        <v>0</v>
      </c>
      <c r="E340" s="203">
        <f>Entrada_de_Dados_2!E316</f>
        <v>0</v>
      </c>
      <c r="F340" s="199">
        <f>Entrada_de_Dados_2!F316</f>
        <v>0</v>
      </c>
      <c r="G340" s="204">
        <f>Entrada_de_Dados_2!G316</f>
        <v>0</v>
      </c>
      <c r="H340" s="204">
        <f>Entrada_de_Dados_2!H316</f>
        <v>0</v>
      </c>
      <c r="I340" s="204">
        <f t="shared" si="18"/>
        <v>0</v>
      </c>
    </row>
    <row r="341" spans="1:9" ht="14.25">
      <c r="A341" s="202">
        <v>7</v>
      </c>
      <c r="B341" s="203">
        <f t="shared" si="19"/>
        <v>0</v>
      </c>
      <c r="C341" s="199">
        <v>16</v>
      </c>
      <c r="D341" s="203">
        <f>Entrada_de_Dados_2!D317</f>
        <v>0</v>
      </c>
      <c r="E341" s="203">
        <f>Entrada_de_Dados_2!E317</f>
        <v>0</v>
      </c>
      <c r="F341" s="199">
        <f>Entrada_de_Dados_2!F317</f>
        <v>0</v>
      </c>
      <c r="G341" s="204">
        <f>Entrada_de_Dados_2!G317</f>
        <v>0</v>
      </c>
      <c r="H341" s="204">
        <f>Entrada_de_Dados_2!H317</f>
        <v>0</v>
      </c>
      <c r="I341" s="204">
        <f t="shared" si="18"/>
        <v>0</v>
      </c>
    </row>
    <row r="342" spans="1:9" ht="14.25">
      <c r="A342" s="202">
        <v>7</v>
      </c>
      <c r="B342" s="203">
        <f t="shared" si="19"/>
        <v>0</v>
      </c>
      <c r="C342" s="199">
        <v>17</v>
      </c>
      <c r="D342" s="203">
        <f>Entrada_de_Dados_2!D318</f>
        <v>0</v>
      </c>
      <c r="E342" s="203">
        <f>Entrada_de_Dados_2!E318</f>
        <v>0</v>
      </c>
      <c r="F342" s="199">
        <f>Entrada_de_Dados_2!F318</f>
        <v>0</v>
      </c>
      <c r="G342" s="204">
        <f>Entrada_de_Dados_2!G318</f>
        <v>0</v>
      </c>
      <c r="H342" s="204">
        <f>Entrada_de_Dados_2!H318</f>
        <v>0</v>
      </c>
      <c r="I342" s="204">
        <f t="shared" si="18"/>
        <v>0</v>
      </c>
    </row>
    <row r="343" spans="1:9" ht="14.25">
      <c r="A343" s="202">
        <v>7</v>
      </c>
      <c r="B343" s="203">
        <f t="shared" si="19"/>
        <v>0</v>
      </c>
      <c r="C343" s="199">
        <v>18</v>
      </c>
      <c r="D343" s="203">
        <f>Entrada_de_Dados_2!D319</f>
        <v>0</v>
      </c>
      <c r="E343" s="203">
        <f>Entrada_de_Dados_2!E319</f>
        <v>0</v>
      </c>
      <c r="F343" s="199">
        <f>Entrada_de_Dados_2!F319</f>
        <v>0</v>
      </c>
      <c r="G343" s="204">
        <f>Entrada_de_Dados_2!G319</f>
        <v>0</v>
      </c>
      <c r="H343" s="204">
        <f>Entrada_de_Dados_2!H319</f>
        <v>0</v>
      </c>
      <c r="I343" s="204">
        <f t="shared" si="18"/>
        <v>0</v>
      </c>
    </row>
    <row r="344" spans="1:9" ht="14.25">
      <c r="A344" s="202">
        <v>7</v>
      </c>
      <c r="B344" s="203">
        <f t="shared" si="19"/>
        <v>0</v>
      </c>
      <c r="C344" s="199">
        <v>19</v>
      </c>
      <c r="D344" s="203">
        <f>Entrada_de_Dados_2!D320</f>
        <v>0</v>
      </c>
      <c r="E344" s="203">
        <f>Entrada_de_Dados_2!E320</f>
        <v>0</v>
      </c>
      <c r="F344" s="199">
        <f>Entrada_de_Dados_2!F320</f>
        <v>0</v>
      </c>
      <c r="G344" s="204">
        <f>Entrada_de_Dados_2!G320</f>
        <v>0</v>
      </c>
      <c r="H344" s="204">
        <f>Entrada_de_Dados_2!H320</f>
        <v>0</v>
      </c>
      <c r="I344" s="204">
        <f t="shared" si="18"/>
        <v>0</v>
      </c>
    </row>
    <row r="345" spans="1:9" ht="14.25">
      <c r="A345" s="202">
        <v>7</v>
      </c>
      <c r="B345" s="203">
        <f t="shared" si="19"/>
        <v>0</v>
      </c>
      <c r="C345" s="199">
        <v>20</v>
      </c>
      <c r="D345" s="203">
        <f>Entrada_de_Dados_2!D321</f>
        <v>0</v>
      </c>
      <c r="E345" s="203">
        <f>Entrada_de_Dados_2!E321</f>
        <v>0</v>
      </c>
      <c r="F345" s="199">
        <f>Entrada_de_Dados_2!F321</f>
        <v>0</v>
      </c>
      <c r="G345" s="204">
        <f>Entrada_de_Dados_2!G321</f>
        <v>0</v>
      </c>
      <c r="H345" s="204">
        <f>Entrada_de_Dados_2!H321</f>
        <v>0</v>
      </c>
      <c r="I345" s="204">
        <f t="shared" si="18"/>
        <v>0</v>
      </c>
    </row>
    <row r="346" spans="1:9" ht="14.25">
      <c r="A346" s="202">
        <v>7</v>
      </c>
      <c r="B346" s="203">
        <f t="shared" si="19"/>
        <v>0</v>
      </c>
      <c r="C346" s="199">
        <v>21</v>
      </c>
      <c r="D346" s="203">
        <f>Entrada_de_Dados_2!D322</f>
        <v>0</v>
      </c>
      <c r="E346" s="203">
        <f>Entrada_de_Dados_2!E322</f>
        <v>0</v>
      </c>
      <c r="F346" s="199">
        <f>Entrada_de_Dados_2!F322</f>
        <v>0</v>
      </c>
      <c r="G346" s="204">
        <f>Entrada_de_Dados_2!G322</f>
        <v>0</v>
      </c>
      <c r="H346" s="204">
        <f>Entrada_de_Dados_2!H322</f>
        <v>0</v>
      </c>
      <c r="I346" s="204">
        <f t="shared" si="18"/>
        <v>0</v>
      </c>
    </row>
    <row r="347" spans="1:9" ht="14.25">
      <c r="A347" s="202">
        <v>7</v>
      </c>
      <c r="B347" s="203">
        <f t="shared" si="19"/>
        <v>0</v>
      </c>
      <c r="C347" s="199">
        <v>22</v>
      </c>
      <c r="D347" s="203">
        <f>Entrada_de_Dados_2!D323</f>
        <v>0</v>
      </c>
      <c r="E347" s="203">
        <f>Entrada_de_Dados_2!E323</f>
        <v>0</v>
      </c>
      <c r="F347" s="199">
        <f>Entrada_de_Dados_2!F323</f>
        <v>0</v>
      </c>
      <c r="G347" s="204">
        <f>Entrada_de_Dados_2!G323</f>
        <v>0</v>
      </c>
      <c r="H347" s="204">
        <f>Entrada_de_Dados_2!H323</f>
        <v>0</v>
      </c>
      <c r="I347" s="204">
        <f t="shared" si="18"/>
        <v>0</v>
      </c>
    </row>
    <row r="348" spans="1:9" ht="14.25">
      <c r="A348" s="202">
        <v>7</v>
      </c>
      <c r="B348" s="203">
        <f t="shared" si="19"/>
        <v>0</v>
      </c>
      <c r="C348" s="199">
        <v>23</v>
      </c>
      <c r="D348" s="203">
        <f>Entrada_de_Dados_2!D324</f>
        <v>0</v>
      </c>
      <c r="E348" s="203">
        <f>Entrada_de_Dados_2!E324</f>
        <v>0</v>
      </c>
      <c r="F348" s="199">
        <f>Entrada_de_Dados_2!F324</f>
        <v>0</v>
      </c>
      <c r="G348" s="204">
        <f>Entrada_de_Dados_2!G324</f>
        <v>0</v>
      </c>
      <c r="H348" s="204">
        <f>Entrada_de_Dados_2!H324</f>
        <v>0</v>
      </c>
      <c r="I348" s="204">
        <f t="shared" si="18"/>
        <v>0</v>
      </c>
    </row>
    <row r="349" spans="1:9" ht="14.25">
      <c r="A349" s="202">
        <v>7</v>
      </c>
      <c r="B349" s="203">
        <f t="shared" si="19"/>
        <v>0</v>
      </c>
      <c r="C349" s="199">
        <v>24</v>
      </c>
      <c r="D349" s="203">
        <f>Entrada_de_Dados_2!D325</f>
        <v>0</v>
      </c>
      <c r="E349" s="203">
        <f>Entrada_de_Dados_2!E325</f>
        <v>0</v>
      </c>
      <c r="F349" s="199">
        <f>Entrada_de_Dados_2!F325</f>
        <v>0</v>
      </c>
      <c r="G349" s="204">
        <f>Entrada_de_Dados_2!G325</f>
        <v>0</v>
      </c>
      <c r="H349" s="204">
        <f>Entrada_de_Dados_2!H325</f>
        <v>0</v>
      </c>
      <c r="I349" s="204">
        <f t="shared" si="18"/>
        <v>0</v>
      </c>
    </row>
    <row r="350" spans="1:9" ht="14.25">
      <c r="A350" s="202">
        <v>7</v>
      </c>
      <c r="B350" s="203">
        <f t="shared" si="19"/>
        <v>0</v>
      </c>
      <c r="C350" s="199">
        <v>25</v>
      </c>
      <c r="D350" s="203">
        <f>Entrada_de_Dados_2!D326</f>
        <v>0</v>
      </c>
      <c r="E350" s="203">
        <f>Entrada_de_Dados_2!E326</f>
        <v>0</v>
      </c>
      <c r="F350" s="199">
        <f>Entrada_de_Dados_2!F326</f>
        <v>0</v>
      </c>
      <c r="G350" s="204">
        <f>Entrada_de_Dados_2!G326</f>
        <v>0</v>
      </c>
      <c r="H350" s="204">
        <f>Entrada_de_Dados_2!H326</f>
        <v>0</v>
      </c>
      <c r="I350" s="204">
        <f t="shared" si="18"/>
        <v>0</v>
      </c>
    </row>
    <row r="351" spans="1:9" ht="14.25">
      <c r="A351" s="202">
        <v>7</v>
      </c>
      <c r="B351" s="203">
        <f t="shared" si="19"/>
        <v>0</v>
      </c>
      <c r="C351" s="199">
        <v>26</v>
      </c>
      <c r="D351" s="203">
        <f>Entrada_de_Dados_2!D327</f>
        <v>0</v>
      </c>
      <c r="E351" s="203">
        <f>Entrada_de_Dados_2!E327</f>
        <v>0</v>
      </c>
      <c r="F351" s="199">
        <f>Entrada_de_Dados_2!F327</f>
        <v>0</v>
      </c>
      <c r="G351" s="204">
        <f>Entrada_de_Dados_2!G327</f>
        <v>0</v>
      </c>
      <c r="H351" s="204">
        <f>Entrada_de_Dados_2!H327</f>
        <v>0</v>
      </c>
      <c r="I351" s="204">
        <f t="shared" si="18"/>
        <v>0</v>
      </c>
    </row>
    <row r="352" spans="1:9" ht="14.25">
      <c r="A352" s="202">
        <v>7</v>
      </c>
      <c r="B352" s="203">
        <f t="shared" si="19"/>
        <v>0</v>
      </c>
      <c r="C352" s="199">
        <v>27</v>
      </c>
      <c r="D352" s="203">
        <f>Entrada_de_Dados_2!D328</f>
        <v>0</v>
      </c>
      <c r="E352" s="203">
        <f>Entrada_de_Dados_2!E328</f>
        <v>0</v>
      </c>
      <c r="F352" s="199">
        <f>Entrada_de_Dados_2!F328</f>
        <v>0</v>
      </c>
      <c r="G352" s="204">
        <f>Entrada_de_Dados_2!G328</f>
        <v>0</v>
      </c>
      <c r="H352" s="204">
        <f>Entrada_de_Dados_2!H328</f>
        <v>0</v>
      </c>
      <c r="I352" s="204">
        <f t="shared" si="18"/>
        <v>0</v>
      </c>
    </row>
    <row r="353" spans="1:9" ht="14.25">
      <c r="A353" s="202">
        <v>7</v>
      </c>
      <c r="B353" s="203">
        <f t="shared" si="19"/>
        <v>0</v>
      </c>
      <c r="C353" s="199">
        <v>28</v>
      </c>
      <c r="D353" s="203">
        <f>Entrada_de_Dados_2!D329</f>
        <v>0</v>
      </c>
      <c r="E353" s="203">
        <f>Entrada_de_Dados_2!E329</f>
        <v>0</v>
      </c>
      <c r="F353" s="199">
        <f>Entrada_de_Dados_2!F329</f>
        <v>0</v>
      </c>
      <c r="G353" s="204">
        <f>Entrada_de_Dados_2!G329</f>
        <v>0</v>
      </c>
      <c r="H353" s="204">
        <f>Entrada_de_Dados_2!H329</f>
        <v>0</v>
      </c>
      <c r="I353" s="204">
        <f t="shared" si="18"/>
        <v>0</v>
      </c>
    </row>
    <row r="354" spans="1:9" ht="14.25">
      <c r="A354" s="202">
        <v>7</v>
      </c>
      <c r="B354" s="203">
        <f t="shared" si="19"/>
        <v>0</v>
      </c>
      <c r="C354" s="199">
        <v>29</v>
      </c>
      <c r="D354" s="203">
        <f>Entrada_de_Dados_2!D330</f>
        <v>0</v>
      </c>
      <c r="E354" s="203">
        <f>Entrada_de_Dados_2!E330</f>
        <v>0</v>
      </c>
      <c r="F354" s="199">
        <f>Entrada_de_Dados_2!F330</f>
        <v>0</v>
      </c>
      <c r="G354" s="204">
        <f>Entrada_de_Dados_2!G330</f>
        <v>0</v>
      </c>
      <c r="H354" s="204">
        <f>Entrada_de_Dados_2!H330</f>
        <v>0</v>
      </c>
      <c r="I354" s="204">
        <f t="shared" si="18"/>
        <v>0</v>
      </c>
    </row>
    <row r="355" spans="1:9" ht="14.25">
      <c r="A355" s="202">
        <v>7</v>
      </c>
      <c r="B355" s="203">
        <f t="shared" si="19"/>
        <v>0</v>
      </c>
      <c r="C355" s="199">
        <v>30</v>
      </c>
      <c r="D355" s="203">
        <f>Entrada_de_Dados_2!D331</f>
        <v>0</v>
      </c>
      <c r="E355" s="203">
        <f>Entrada_de_Dados_2!E331</f>
        <v>0</v>
      </c>
      <c r="F355" s="199">
        <f>Entrada_de_Dados_2!F331</f>
        <v>0</v>
      </c>
      <c r="G355" s="204">
        <f>Entrada_de_Dados_2!G331</f>
        <v>0</v>
      </c>
      <c r="H355" s="204">
        <f>Entrada_de_Dados_2!H331</f>
        <v>0</v>
      </c>
      <c r="I355" s="204">
        <f t="shared" si="18"/>
        <v>0</v>
      </c>
    </row>
    <row r="356" spans="1:9" ht="14.25">
      <c r="A356" s="202">
        <v>7</v>
      </c>
      <c r="B356" s="203">
        <f t="shared" si="19"/>
        <v>0</v>
      </c>
      <c r="C356" s="199">
        <v>31</v>
      </c>
      <c r="D356" s="203">
        <f>Entrada_de_Dados_2!D332</f>
        <v>0</v>
      </c>
      <c r="E356" s="203">
        <f>Entrada_de_Dados_2!E332</f>
        <v>0</v>
      </c>
      <c r="F356" s="199">
        <f>Entrada_de_Dados_2!F332</f>
        <v>0</v>
      </c>
      <c r="G356" s="204">
        <f>Entrada_de_Dados_2!G332</f>
        <v>0</v>
      </c>
      <c r="H356" s="204">
        <f>Entrada_de_Dados_2!H332</f>
        <v>0</v>
      </c>
      <c r="I356" s="204">
        <f t="shared" si="18"/>
        <v>0</v>
      </c>
    </row>
    <row r="357" spans="1:9" ht="14.25">
      <c r="A357" s="202">
        <v>7</v>
      </c>
      <c r="B357" s="203">
        <f t="shared" si="19"/>
        <v>0</v>
      </c>
      <c r="C357" s="199">
        <v>32</v>
      </c>
      <c r="D357" s="203">
        <f>Entrada_de_Dados_2!D333</f>
        <v>0</v>
      </c>
      <c r="E357" s="203">
        <f>Entrada_de_Dados_2!E333</f>
        <v>0</v>
      </c>
      <c r="F357" s="199">
        <f>Entrada_de_Dados_2!F333</f>
        <v>0</v>
      </c>
      <c r="G357" s="204">
        <f>Entrada_de_Dados_2!G333</f>
        <v>0</v>
      </c>
      <c r="H357" s="204">
        <f>Entrada_de_Dados_2!H333</f>
        <v>0</v>
      </c>
      <c r="I357" s="204">
        <f t="shared" si="18"/>
        <v>0</v>
      </c>
    </row>
    <row r="358" spans="1:9" ht="14.25">
      <c r="A358" s="202">
        <v>7</v>
      </c>
      <c r="B358" s="203">
        <f t="shared" si="19"/>
        <v>0</v>
      </c>
      <c r="C358" s="199">
        <v>33</v>
      </c>
      <c r="D358" s="203">
        <f>Entrada_de_Dados_2!D334</f>
        <v>0</v>
      </c>
      <c r="E358" s="203">
        <f>Entrada_de_Dados_2!E334</f>
        <v>0</v>
      </c>
      <c r="F358" s="199">
        <f>Entrada_de_Dados_2!F334</f>
        <v>0</v>
      </c>
      <c r="G358" s="204">
        <f>Entrada_de_Dados_2!G334</f>
        <v>0</v>
      </c>
      <c r="H358" s="204">
        <f>Entrada_de_Dados_2!H334</f>
        <v>0</v>
      </c>
      <c r="I358" s="204">
        <f t="shared" si="18"/>
        <v>0</v>
      </c>
    </row>
    <row r="359" spans="1:9" ht="14.25">
      <c r="A359" s="202">
        <v>7</v>
      </c>
      <c r="B359" s="203">
        <f t="shared" si="19"/>
        <v>0</v>
      </c>
      <c r="C359" s="199">
        <v>34</v>
      </c>
      <c r="D359" s="203">
        <f>Entrada_de_Dados_2!D335</f>
        <v>0</v>
      </c>
      <c r="E359" s="203">
        <f>Entrada_de_Dados_2!E335</f>
        <v>0</v>
      </c>
      <c r="F359" s="199">
        <f>Entrada_de_Dados_2!F335</f>
        <v>0</v>
      </c>
      <c r="G359" s="204">
        <f>Entrada_de_Dados_2!G335</f>
        <v>0</v>
      </c>
      <c r="H359" s="204">
        <f>Entrada_de_Dados_2!H335</f>
        <v>0</v>
      </c>
      <c r="I359" s="204">
        <f t="shared" si="18"/>
        <v>0</v>
      </c>
    </row>
    <row r="360" spans="1:9" ht="14.25">
      <c r="A360" s="202">
        <v>7</v>
      </c>
      <c r="B360" s="203">
        <f t="shared" si="19"/>
        <v>0</v>
      </c>
      <c r="C360" s="199">
        <v>35</v>
      </c>
      <c r="D360" s="203">
        <f>Entrada_de_Dados_2!D336</f>
        <v>0</v>
      </c>
      <c r="E360" s="203">
        <f>Entrada_de_Dados_2!E336</f>
        <v>0</v>
      </c>
      <c r="F360" s="199">
        <f>Entrada_de_Dados_2!F336</f>
        <v>0</v>
      </c>
      <c r="G360" s="204">
        <f>Entrada_de_Dados_2!G336</f>
        <v>0</v>
      </c>
      <c r="H360" s="204">
        <f>Entrada_de_Dados_2!H336</f>
        <v>0</v>
      </c>
      <c r="I360" s="204">
        <f t="shared" si="18"/>
        <v>0</v>
      </c>
    </row>
    <row r="361" spans="1:9" ht="14.25">
      <c r="A361" s="202">
        <v>7</v>
      </c>
      <c r="B361" s="203">
        <f t="shared" si="19"/>
        <v>0</v>
      </c>
      <c r="C361" s="199">
        <v>36</v>
      </c>
      <c r="D361" s="203">
        <f>Entrada_de_Dados_2!D337</f>
        <v>0</v>
      </c>
      <c r="E361" s="203">
        <f>Entrada_de_Dados_2!E337</f>
        <v>0</v>
      </c>
      <c r="F361" s="199">
        <f>Entrada_de_Dados_2!F337</f>
        <v>0</v>
      </c>
      <c r="G361" s="204">
        <f>Entrada_de_Dados_2!G337</f>
        <v>0</v>
      </c>
      <c r="H361" s="204">
        <f>Entrada_de_Dados_2!H337</f>
        <v>0</v>
      </c>
      <c r="I361" s="204">
        <f t="shared" si="18"/>
        <v>0</v>
      </c>
    </row>
    <row r="362" spans="1:9" ht="14.25">
      <c r="A362" s="202">
        <v>7</v>
      </c>
      <c r="B362" s="203">
        <f t="shared" si="19"/>
        <v>0</v>
      </c>
      <c r="C362" s="199">
        <v>37</v>
      </c>
      <c r="D362" s="203">
        <f>Entrada_de_Dados_2!D338</f>
        <v>0</v>
      </c>
      <c r="E362" s="203">
        <f>Entrada_de_Dados_2!E338</f>
        <v>0</v>
      </c>
      <c r="F362" s="199">
        <f>Entrada_de_Dados_2!F338</f>
        <v>0</v>
      </c>
      <c r="G362" s="204">
        <f>Entrada_de_Dados_2!G338</f>
        <v>0</v>
      </c>
      <c r="H362" s="204">
        <f>Entrada_de_Dados_2!H338</f>
        <v>0</v>
      </c>
      <c r="I362" s="204">
        <f t="shared" si="18"/>
        <v>0</v>
      </c>
    </row>
    <row r="363" spans="1:9" ht="14.25">
      <c r="A363" s="202">
        <v>7</v>
      </c>
      <c r="B363" s="203">
        <f t="shared" si="19"/>
        <v>0</v>
      </c>
      <c r="C363" s="199">
        <v>38</v>
      </c>
      <c r="D363" s="203">
        <f>Entrada_de_Dados_2!D339</f>
        <v>0</v>
      </c>
      <c r="E363" s="203">
        <f>Entrada_de_Dados_2!E339</f>
        <v>0</v>
      </c>
      <c r="F363" s="199">
        <f>Entrada_de_Dados_2!F339</f>
        <v>0</v>
      </c>
      <c r="G363" s="204">
        <f>Entrada_de_Dados_2!G339</f>
        <v>0</v>
      </c>
      <c r="H363" s="204">
        <f>Entrada_de_Dados_2!H339</f>
        <v>0</v>
      </c>
      <c r="I363" s="204">
        <f t="shared" si="18"/>
        <v>0</v>
      </c>
    </row>
    <row r="364" spans="1:9" ht="14.25">
      <c r="A364" s="202">
        <v>7</v>
      </c>
      <c r="B364" s="203">
        <f t="shared" si="19"/>
        <v>0</v>
      </c>
      <c r="C364" s="199">
        <v>39</v>
      </c>
      <c r="D364" s="203">
        <f>Entrada_de_Dados_2!D340</f>
        <v>0</v>
      </c>
      <c r="E364" s="203">
        <f>Entrada_de_Dados_2!E340</f>
        <v>0</v>
      </c>
      <c r="F364" s="199">
        <f>Entrada_de_Dados_2!F340</f>
        <v>0</v>
      </c>
      <c r="G364" s="204">
        <f>Entrada_de_Dados_2!G340</f>
        <v>0</v>
      </c>
      <c r="H364" s="204">
        <f>Entrada_de_Dados_2!H340</f>
        <v>0</v>
      </c>
      <c r="I364" s="204">
        <f t="shared" si="18"/>
        <v>0</v>
      </c>
    </row>
    <row r="365" spans="1:9" ht="14.25">
      <c r="A365" s="202">
        <v>7</v>
      </c>
      <c r="B365" s="203">
        <f t="shared" si="19"/>
        <v>0</v>
      </c>
      <c r="C365" s="199">
        <v>40</v>
      </c>
      <c r="D365" s="203">
        <f>Entrada_de_Dados_2!D341</f>
        <v>0</v>
      </c>
      <c r="E365" s="203">
        <f>Entrada_de_Dados_2!E341</f>
        <v>0</v>
      </c>
      <c r="F365" s="199">
        <f>Entrada_de_Dados_2!F341</f>
        <v>0</v>
      </c>
      <c r="G365" s="204">
        <f>Entrada_de_Dados_2!G341</f>
        <v>0</v>
      </c>
      <c r="H365" s="204">
        <f>Entrada_de_Dados_2!H341</f>
        <v>0</v>
      </c>
      <c r="I365" s="204">
        <f t="shared" si="18"/>
        <v>0</v>
      </c>
    </row>
    <row r="366" spans="1:9" ht="14.25">
      <c r="A366" s="202">
        <v>7</v>
      </c>
      <c r="B366" s="203">
        <f t="shared" si="19"/>
        <v>0</v>
      </c>
      <c r="C366" s="199">
        <v>41</v>
      </c>
      <c r="D366" s="203">
        <f>Entrada_de_Dados_2!D342</f>
        <v>0</v>
      </c>
      <c r="E366" s="203">
        <f>Entrada_de_Dados_2!E342</f>
        <v>0</v>
      </c>
      <c r="F366" s="199">
        <f>Entrada_de_Dados_2!F342</f>
        <v>0</v>
      </c>
      <c r="G366" s="204">
        <f>Entrada_de_Dados_2!G342</f>
        <v>0</v>
      </c>
      <c r="H366" s="204">
        <f>Entrada_de_Dados_2!H342</f>
        <v>0</v>
      </c>
      <c r="I366" s="204">
        <f t="shared" si="18"/>
        <v>0</v>
      </c>
    </row>
    <row r="367" spans="1:9" ht="14.25">
      <c r="A367" s="202">
        <v>7</v>
      </c>
      <c r="B367" s="203">
        <f t="shared" si="19"/>
        <v>0</v>
      </c>
      <c r="C367" s="199">
        <v>42</v>
      </c>
      <c r="D367" s="203">
        <f>Entrada_de_Dados_2!D343</f>
        <v>0</v>
      </c>
      <c r="E367" s="203">
        <f>Entrada_de_Dados_2!E343</f>
        <v>0</v>
      </c>
      <c r="F367" s="199">
        <f>Entrada_de_Dados_2!F343</f>
        <v>0</v>
      </c>
      <c r="G367" s="204">
        <f>Entrada_de_Dados_2!G343</f>
        <v>0</v>
      </c>
      <c r="H367" s="204">
        <f>Entrada_de_Dados_2!H343</f>
        <v>0</v>
      </c>
      <c r="I367" s="204">
        <f t="shared" si="18"/>
        <v>0</v>
      </c>
    </row>
    <row r="368" spans="1:9" ht="14.25">
      <c r="A368" s="202">
        <v>7</v>
      </c>
      <c r="B368" s="203">
        <f t="shared" si="19"/>
        <v>0</v>
      </c>
      <c r="C368" s="199">
        <v>43</v>
      </c>
      <c r="D368" s="203">
        <f>Entrada_de_Dados_2!D344</f>
        <v>0</v>
      </c>
      <c r="E368" s="203">
        <f>Entrada_de_Dados_2!E344</f>
        <v>0</v>
      </c>
      <c r="F368" s="199">
        <f>Entrada_de_Dados_2!F344</f>
        <v>0</v>
      </c>
      <c r="G368" s="204">
        <f>Entrada_de_Dados_2!G344</f>
        <v>0</v>
      </c>
      <c r="H368" s="204">
        <f>Entrada_de_Dados_2!H344</f>
        <v>0</v>
      </c>
      <c r="I368" s="204">
        <f t="shared" si="18"/>
        <v>0</v>
      </c>
    </row>
    <row r="369" spans="1:9" ht="14.25">
      <c r="A369" s="202">
        <v>7</v>
      </c>
      <c r="B369" s="203">
        <f t="shared" si="19"/>
        <v>0</v>
      </c>
      <c r="C369" s="199">
        <v>44</v>
      </c>
      <c r="D369" s="203">
        <f>Entrada_de_Dados_2!D345</f>
        <v>0</v>
      </c>
      <c r="E369" s="203">
        <f>Entrada_de_Dados_2!E345</f>
        <v>0</v>
      </c>
      <c r="F369" s="199">
        <f>Entrada_de_Dados_2!F345</f>
        <v>0</v>
      </c>
      <c r="G369" s="204">
        <f>Entrada_de_Dados_2!G345</f>
        <v>0</v>
      </c>
      <c r="H369" s="204">
        <f>Entrada_de_Dados_2!H345</f>
        <v>0</v>
      </c>
      <c r="I369" s="204">
        <f t="shared" si="18"/>
        <v>0</v>
      </c>
    </row>
    <row r="370" spans="1:9" ht="14.25">
      <c r="A370" s="202">
        <v>7</v>
      </c>
      <c r="B370" s="203">
        <f t="shared" si="19"/>
        <v>0</v>
      </c>
      <c r="C370" s="199">
        <v>45</v>
      </c>
      <c r="D370" s="203">
        <f>Entrada_de_Dados_2!D346</f>
        <v>0</v>
      </c>
      <c r="E370" s="203">
        <f>Entrada_de_Dados_2!E346</f>
        <v>0</v>
      </c>
      <c r="F370" s="199">
        <f>Entrada_de_Dados_2!F346</f>
        <v>0</v>
      </c>
      <c r="G370" s="204">
        <f>Entrada_de_Dados_2!G346</f>
        <v>0</v>
      </c>
      <c r="H370" s="204">
        <f>Entrada_de_Dados_2!H346</f>
        <v>0</v>
      </c>
      <c r="I370" s="204">
        <f t="shared" si="18"/>
        <v>0</v>
      </c>
    </row>
    <row r="371" spans="1:9" ht="14.25">
      <c r="A371" s="202">
        <v>7</v>
      </c>
      <c r="B371" s="203">
        <f t="shared" si="19"/>
        <v>0</v>
      </c>
      <c r="C371" s="199">
        <v>46</v>
      </c>
      <c r="D371" s="203">
        <f>Entrada_de_Dados_2!D347</f>
        <v>0</v>
      </c>
      <c r="E371" s="203">
        <f>Entrada_de_Dados_2!E347</f>
        <v>0</v>
      </c>
      <c r="F371" s="199">
        <f>Entrada_de_Dados_2!F347</f>
        <v>0</v>
      </c>
      <c r="G371" s="204">
        <f>Entrada_de_Dados_2!G347</f>
        <v>0</v>
      </c>
      <c r="H371" s="204">
        <f>Entrada_de_Dados_2!H347</f>
        <v>0</v>
      </c>
      <c r="I371" s="204">
        <f t="shared" si="18"/>
        <v>0</v>
      </c>
    </row>
    <row r="372" spans="1:9" ht="14.25">
      <c r="A372" s="202">
        <v>7</v>
      </c>
      <c r="B372" s="203">
        <f t="shared" si="19"/>
        <v>0</v>
      </c>
      <c r="C372" s="199">
        <v>47</v>
      </c>
      <c r="D372" s="203">
        <f>Entrada_de_Dados_2!D348</f>
        <v>0</v>
      </c>
      <c r="E372" s="203">
        <f>Entrada_de_Dados_2!E348</f>
        <v>0</v>
      </c>
      <c r="F372" s="199">
        <f>Entrada_de_Dados_2!F348</f>
        <v>0</v>
      </c>
      <c r="G372" s="204">
        <f>Entrada_de_Dados_2!G348</f>
        <v>0</v>
      </c>
      <c r="H372" s="204">
        <f>Entrada_de_Dados_2!H348</f>
        <v>0</v>
      </c>
      <c r="I372" s="204">
        <f t="shared" si="18"/>
        <v>0</v>
      </c>
    </row>
    <row r="373" spans="1:9" ht="14.25">
      <c r="A373" s="202">
        <v>7</v>
      </c>
      <c r="B373" s="203">
        <f t="shared" si="19"/>
        <v>0</v>
      </c>
      <c r="C373" s="199">
        <v>48</v>
      </c>
      <c r="D373" s="203">
        <f>Entrada_de_Dados_2!D349</f>
        <v>0</v>
      </c>
      <c r="E373" s="203">
        <f>Entrada_de_Dados_2!E349</f>
        <v>0</v>
      </c>
      <c r="F373" s="199">
        <f>Entrada_de_Dados_2!F349</f>
        <v>0</v>
      </c>
      <c r="G373" s="204">
        <f>Entrada_de_Dados_2!G349</f>
        <v>0</v>
      </c>
      <c r="H373" s="204">
        <f>Entrada_de_Dados_2!H349</f>
        <v>0</v>
      </c>
      <c r="I373" s="204">
        <f t="shared" si="18"/>
        <v>0</v>
      </c>
    </row>
    <row r="374" spans="1:9" ht="14.25">
      <c r="A374" s="202">
        <v>7</v>
      </c>
      <c r="B374" s="203">
        <f t="shared" si="19"/>
        <v>0</v>
      </c>
      <c r="C374" s="199">
        <v>49</v>
      </c>
      <c r="D374" s="203">
        <f>Entrada_de_Dados_2!D350</f>
        <v>0</v>
      </c>
      <c r="E374" s="203">
        <f>Entrada_de_Dados_2!E350</f>
        <v>0</v>
      </c>
      <c r="F374" s="199">
        <f>Entrada_de_Dados_2!F350</f>
        <v>0</v>
      </c>
      <c r="G374" s="204">
        <f>Entrada_de_Dados_2!G350</f>
        <v>0</v>
      </c>
      <c r="H374" s="204">
        <f>Entrada_de_Dados_2!H350</f>
        <v>0</v>
      </c>
      <c r="I374" s="204">
        <f t="shared" si="18"/>
        <v>0</v>
      </c>
    </row>
    <row r="375" spans="1:9" ht="14.25">
      <c r="A375" s="202">
        <v>7</v>
      </c>
      <c r="B375" s="203">
        <f t="shared" si="19"/>
        <v>0</v>
      </c>
      <c r="C375" s="199">
        <v>50</v>
      </c>
      <c r="D375" s="203">
        <f>Entrada_de_Dados_2!D351</f>
        <v>0</v>
      </c>
      <c r="E375" s="203">
        <f>Entrada_de_Dados_2!E351</f>
        <v>0</v>
      </c>
      <c r="F375" s="213">
        <f>Entrada_de_Dados_2!F351</f>
        <v>0</v>
      </c>
      <c r="G375" s="219">
        <f>Entrada_de_Dados_2!G351</f>
        <v>0</v>
      </c>
      <c r="H375" s="219">
        <f>Entrada_de_Dados_2!H351</f>
        <v>0</v>
      </c>
      <c r="I375" s="219">
        <f t="shared" si="18"/>
        <v>0</v>
      </c>
    </row>
    <row r="376" spans="1:9" ht="14.25">
      <c r="A376" s="202"/>
      <c r="B376" s="203"/>
      <c r="F376" s="205" t="s">
        <v>17</v>
      </c>
      <c r="G376" s="206" t="e">
        <f>I376/I379</f>
        <v>#DIV/0!</v>
      </c>
      <c r="H376" s="205" t="s">
        <v>5</v>
      </c>
      <c r="I376" s="207">
        <f>SUMIF($F$326:$F$375,H376,$I$326:$I$375)</f>
        <v>0</v>
      </c>
    </row>
    <row r="377" spans="1:9" ht="14.25">
      <c r="A377" s="202"/>
      <c r="B377" s="203"/>
      <c r="F377" s="205" t="s">
        <v>18</v>
      </c>
      <c r="G377" s="206" t="e">
        <f>I377/I379</f>
        <v>#DIV/0!</v>
      </c>
      <c r="H377" s="205" t="s">
        <v>6</v>
      </c>
      <c r="I377" s="207">
        <f>SUMIF($F$326:$F$375,H377,$I$326:$I$375)</f>
        <v>0</v>
      </c>
    </row>
    <row r="378" spans="1:9" ht="14.25">
      <c r="A378" s="202"/>
      <c r="B378" s="203"/>
      <c r="F378" s="205" t="s">
        <v>19</v>
      </c>
      <c r="G378" s="206" t="e">
        <f>I378/I379</f>
        <v>#DIV/0!</v>
      </c>
      <c r="H378" s="205" t="s">
        <v>7</v>
      </c>
      <c r="I378" s="207">
        <f>SUMIF($F$326:$F$375,H378,$I$326:$I$375)</f>
        <v>0</v>
      </c>
    </row>
    <row r="379" spans="1:9" ht="14.25">
      <c r="A379" s="211"/>
      <c r="B379" s="212"/>
      <c r="C379" s="213"/>
      <c r="D379" s="214"/>
      <c r="E379" s="214"/>
      <c r="F379" s="215" t="s">
        <v>20</v>
      </c>
      <c r="G379" s="216" t="e">
        <f>SUM(G376:G378)</f>
        <v>#DIV/0!</v>
      </c>
      <c r="H379" s="215" t="s">
        <v>21</v>
      </c>
      <c r="I379" s="217">
        <f>SUM(I376:I378)</f>
        <v>0</v>
      </c>
    </row>
    <row r="380" spans="1:9" ht="14.25">
      <c r="A380" s="202">
        <v>8</v>
      </c>
      <c r="B380" s="203">
        <f>Entrada_de_Dados_2!B352</f>
        <v>0</v>
      </c>
      <c r="C380" s="199">
        <v>1</v>
      </c>
      <c r="D380" s="203">
        <f>Entrada_de_Dados_2!D352</f>
        <v>0</v>
      </c>
      <c r="E380" s="203">
        <f>Entrada_de_Dados_2!E352</f>
        <v>0</v>
      </c>
      <c r="F380" s="199">
        <f>Entrada_de_Dados_2!F352</f>
        <v>0</v>
      </c>
      <c r="G380" s="204">
        <f>Entrada_de_Dados_2!G352</f>
        <v>0</v>
      </c>
      <c r="H380" s="204">
        <f>Entrada_de_Dados_2!H352</f>
        <v>0</v>
      </c>
      <c r="I380" s="204">
        <f t="shared" ref="I380:I429" si="20">G380*H380</f>
        <v>0</v>
      </c>
    </row>
    <row r="381" spans="1:9" ht="14.25">
      <c r="A381" s="202">
        <v>8</v>
      </c>
      <c r="B381" s="203">
        <f>$B$380</f>
        <v>0</v>
      </c>
      <c r="C381" s="199">
        <v>2</v>
      </c>
      <c r="D381" s="203">
        <f>Entrada_de_Dados_2!D353</f>
        <v>0</v>
      </c>
      <c r="E381" s="203">
        <f>Entrada_de_Dados_2!E353</f>
        <v>0</v>
      </c>
      <c r="F381" s="199">
        <f>Entrada_de_Dados_2!F353</f>
        <v>0</v>
      </c>
      <c r="G381" s="204">
        <f>Entrada_de_Dados_2!G353</f>
        <v>0</v>
      </c>
      <c r="H381" s="204">
        <f>Entrada_de_Dados_2!H353</f>
        <v>0</v>
      </c>
      <c r="I381" s="204">
        <f t="shared" si="20"/>
        <v>0</v>
      </c>
    </row>
    <row r="382" spans="1:9" ht="14.25">
      <c r="A382" s="202">
        <v>8</v>
      </c>
      <c r="B382" s="203">
        <f t="shared" ref="B382:B429" si="21">$B$380</f>
        <v>0</v>
      </c>
      <c r="C382" s="199">
        <v>3</v>
      </c>
      <c r="D382" s="203">
        <f>Entrada_de_Dados_2!D354</f>
        <v>0</v>
      </c>
      <c r="E382" s="203">
        <f>Entrada_de_Dados_2!E354</f>
        <v>0</v>
      </c>
      <c r="F382" s="199">
        <f>Entrada_de_Dados_2!F354</f>
        <v>0</v>
      </c>
      <c r="G382" s="204">
        <f>Entrada_de_Dados_2!G354</f>
        <v>0</v>
      </c>
      <c r="H382" s="204">
        <f>Entrada_de_Dados_2!H354</f>
        <v>0</v>
      </c>
      <c r="I382" s="204">
        <f t="shared" si="20"/>
        <v>0</v>
      </c>
    </row>
    <row r="383" spans="1:9" ht="14.25">
      <c r="A383" s="202">
        <v>8</v>
      </c>
      <c r="B383" s="203">
        <f t="shared" si="21"/>
        <v>0</v>
      </c>
      <c r="C383" s="199">
        <v>4</v>
      </c>
      <c r="D383" s="203">
        <f>Entrada_de_Dados_2!D355</f>
        <v>0</v>
      </c>
      <c r="E383" s="203">
        <f>Entrada_de_Dados_2!E355</f>
        <v>0</v>
      </c>
      <c r="F383" s="199">
        <f>Entrada_de_Dados_2!F355</f>
        <v>0</v>
      </c>
      <c r="G383" s="204">
        <f>Entrada_de_Dados_2!G355</f>
        <v>0</v>
      </c>
      <c r="H383" s="204">
        <f>Entrada_de_Dados_2!H355</f>
        <v>0</v>
      </c>
      <c r="I383" s="204">
        <f t="shared" si="20"/>
        <v>0</v>
      </c>
    </row>
    <row r="384" spans="1:9" ht="14.25">
      <c r="A384" s="202">
        <v>8</v>
      </c>
      <c r="B384" s="203">
        <f t="shared" si="21"/>
        <v>0</v>
      </c>
      <c r="C384" s="199">
        <v>5</v>
      </c>
      <c r="D384" s="203">
        <f>Entrada_de_Dados_2!D356</f>
        <v>0</v>
      </c>
      <c r="E384" s="203">
        <f>Entrada_de_Dados_2!E356</f>
        <v>0</v>
      </c>
      <c r="F384" s="199">
        <f>Entrada_de_Dados_2!F356</f>
        <v>0</v>
      </c>
      <c r="G384" s="204">
        <f>Entrada_de_Dados_2!G356</f>
        <v>0</v>
      </c>
      <c r="H384" s="204">
        <f>Entrada_de_Dados_2!H356</f>
        <v>0</v>
      </c>
      <c r="I384" s="204">
        <f t="shared" si="20"/>
        <v>0</v>
      </c>
    </row>
    <row r="385" spans="1:9" ht="14.25">
      <c r="A385" s="202">
        <v>8</v>
      </c>
      <c r="B385" s="203">
        <f t="shared" si="21"/>
        <v>0</v>
      </c>
      <c r="C385" s="199">
        <v>6</v>
      </c>
      <c r="D385" s="203">
        <f>Entrada_de_Dados_2!D357</f>
        <v>0</v>
      </c>
      <c r="E385" s="203">
        <f>Entrada_de_Dados_2!E357</f>
        <v>0</v>
      </c>
      <c r="F385" s="199">
        <f>Entrada_de_Dados_2!F357</f>
        <v>0</v>
      </c>
      <c r="G385" s="204">
        <f>Entrada_de_Dados_2!G357</f>
        <v>0</v>
      </c>
      <c r="H385" s="204">
        <f>Entrada_de_Dados_2!H357</f>
        <v>0</v>
      </c>
      <c r="I385" s="204">
        <f t="shared" si="20"/>
        <v>0</v>
      </c>
    </row>
    <row r="386" spans="1:9" ht="14.25">
      <c r="A386" s="202">
        <v>8</v>
      </c>
      <c r="B386" s="203">
        <f t="shared" si="21"/>
        <v>0</v>
      </c>
      <c r="C386" s="199">
        <v>7</v>
      </c>
      <c r="D386" s="203">
        <f>Entrada_de_Dados_2!D358</f>
        <v>0</v>
      </c>
      <c r="E386" s="203">
        <f>Entrada_de_Dados_2!E358</f>
        <v>0</v>
      </c>
      <c r="F386" s="199">
        <f>Entrada_de_Dados_2!F358</f>
        <v>0</v>
      </c>
      <c r="G386" s="204">
        <f>Entrada_de_Dados_2!G358</f>
        <v>0</v>
      </c>
      <c r="H386" s="204">
        <f>Entrada_de_Dados_2!H358</f>
        <v>0</v>
      </c>
      <c r="I386" s="204">
        <f t="shared" si="20"/>
        <v>0</v>
      </c>
    </row>
    <row r="387" spans="1:9" ht="14.25">
      <c r="A387" s="202">
        <v>8</v>
      </c>
      <c r="B387" s="203">
        <f t="shared" si="21"/>
        <v>0</v>
      </c>
      <c r="C387" s="199">
        <v>8</v>
      </c>
      <c r="D387" s="203">
        <f>Entrada_de_Dados_2!D359</f>
        <v>0</v>
      </c>
      <c r="E387" s="203">
        <f>Entrada_de_Dados_2!E359</f>
        <v>0</v>
      </c>
      <c r="F387" s="199">
        <f>Entrada_de_Dados_2!F359</f>
        <v>0</v>
      </c>
      <c r="G387" s="204">
        <f>Entrada_de_Dados_2!G359</f>
        <v>0</v>
      </c>
      <c r="H387" s="204">
        <f>Entrada_de_Dados_2!H359</f>
        <v>0</v>
      </c>
      <c r="I387" s="204">
        <f t="shared" si="20"/>
        <v>0</v>
      </c>
    </row>
    <row r="388" spans="1:9" ht="14.25">
      <c r="A388" s="202">
        <v>8</v>
      </c>
      <c r="B388" s="203">
        <f t="shared" si="21"/>
        <v>0</v>
      </c>
      <c r="C388" s="199">
        <v>9</v>
      </c>
      <c r="D388" s="203">
        <f>Entrada_de_Dados_2!D360</f>
        <v>0</v>
      </c>
      <c r="E388" s="203">
        <f>Entrada_de_Dados_2!E360</f>
        <v>0</v>
      </c>
      <c r="F388" s="199">
        <f>Entrada_de_Dados_2!F360</f>
        <v>0</v>
      </c>
      <c r="G388" s="204">
        <f>Entrada_de_Dados_2!G360</f>
        <v>0</v>
      </c>
      <c r="H388" s="204">
        <f>Entrada_de_Dados_2!H360</f>
        <v>0</v>
      </c>
      <c r="I388" s="204">
        <f t="shared" si="20"/>
        <v>0</v>
      </c>
    </row>
    <row r="389" spans="1:9" ht="14.25">
      <c r="A389" s="202">
        <v>8</v>
      </c>
      <c r="B389" s="203">
        <f t="shared" si="21"/>
        <v>0</v>
      </c>
      <c r="C389" s="199">
        <v>10</v>
      </c>
      <c r="D389" s="203">
        <f>Entrada_de_Dados_2!D361</f>
        <v>0</v>
      </c>
      <c r="E389" s="203">
        <f>Entrada_de_Dados_2!E361</f>
        <v>0</v>
      </c>
      <c r="F389" s="199">
        <f>Entrada_de_Dados_2!F361</f>
        <v>0</v>
      </c>
      <c r="G389" s="204">
        <f>Entrada_de_Dados_2!G361</f>
        <v>0</v>
      </c>
      <c r="H389" s="204">
        <f>Entrada_de_Dados_2!H361</f>
        <v>0</v>
      </c>
      <c r="I389" s="204">
        <f t="shared" si="20"/>
        <v>0</v>
      </c>
    </row>
    <row r="390" spans="1:9" ht="14.25">
      <c r="A390" s="202">
        <v>8</v>
      </c>
      <c r="B390" s="203">
        <f t="shared" si="21"/>
        <v>0</v>
      </c>
      <c r="C390" s="199">
        <v>11</v>
      </c>
      <c r="D390" s="203">
        <f>Entrada_de_Dados_2!D362</f>
        <v>0</v>
      </c>
      <c r="E390" s="203">
        <f>Entrada_de_Dados_2!E362</f>
        <v>0</v>
      </c>
      <c r="F390" s="199">
        <f>Entrada_de_Dados_2!F362</f>
        <v>0</v>
      </c>
      <c r="G390" s="204">
        <f>Entrada_de_Dados_2!G362</f>
        <v>0</v>
      </c>
      <c r="H390" s="204">
        <f>Entrada_de_Dados_2!H362</f>
        <v>0</v>
      </c>
      <c r="I390" s="204">
        <f t="shared" si="20"/>
        <v>0</v>
      </c>
    </row>
    <row r="391" spans="1:9" ht="14.25">
      <c r="A391" s="202">
        <v>8</v>
      </c>
      <c r="B391" s="203">
        <f t="shared" si="21"/>
        <v>0</v>
      </c>
      <c r="C391" s="199">
        <v>12</v>
      </c>
      <c r="D391" s="203">
        <f>Entrada_de_Dados_2!D363</f>
        <v>0</v>
      </c>
      <c r="E391" s="203">
        <f>Entrada_de_Dados_2!E363</f>
        <v>0</v>
      </c>
      <c r="F391" s="199">
        <f>Entrada_de_Dados_2!F363</f>
        <v>0</v>
      </c>
      <c r="G391" s="204">
        <f>Entrada_de_Dados_2!G363</f>
        <v>0</v>
      </c>
      <c r="H391" s="204">
        <f>Entrada_de_Dados_2!H363</f>
        <v>0</v>
      </c>
      <c r="I391" s="204">
        <f t="shared" si="20"/>
        <v>0</v>
      </c>
    </row>
    <row r="392" spans="1:9" ht="14.25">
      <c r="A392" s="202">
        <v>8</v>
      </c>
      <c r="B392" s="203">
        <f t="shared" si="21"/>
        <v>0</v>
      </c>
      <c r="C392" s="199">
        <v>13</v>
      </c>
      <c r="D392" s="203">
        <f>Entrada_de_Dados_2!D364</f>
        <v>0</v>
      </c>
      <c r="E392" s="203">
        <f>Entrada_de_Dados_2!E364</f>
        <v>0</v>
      </c>
      <c r="F392" s="199">
        <f>Entrada_de_Dados_2!F364</f>
        <v>0</v>
      </c>
      <c r="G392" s="204">
        <f>Entrada_de_Dados_2!G364</f>
        <v>0</v>
      </c>
      <c r="H392" s="204">
        <f>Entrada_de_Dados_2!H364</f>
        <v>0</v>
      </c>
      <c r="I392" s="204">
        <f t="shared" si="20"/>
        <v>0</v>
      </c>
    </row>
    <row r="393" spans="1:9" ht="14.25">
      <c r="A393" s="202">
        <v>8</v>
      </c>
      <c r="B393" s="203">
        <f t="shared" si="21"/>
        <v>0</v>
      </c>
      <c r="C393" s="199">
        <v>14</v>
      </c>
      <c r="D393" s="203">
        <f>Entrada_de_Dados_2!D365</f>
        <v>0</v>
      </c>
      <c r="E393" s="203">
        <f>Entrada_de_Dados_2!E365</f>
        <v>0</v>
      </c>
      <c r="F393" s="199">
        <f>Entrada_de_Dados_2!F365</f>
        <v>0</v>
      </c>
      <c r="G393" s="204">
        <f>Entrada_de_Dados_2!G365</f>
        <v>0</v>
      </c>
      <c r="H393" s="204">
        <f>Entrada_de_Dados_2!H365</f>
        <v>0</v>
      </c>
      <c r="I393" s="204">
        <f t="shared" si="20"/>
        <v>0</v>
      </c>
    </row>
    <row r="394" spans="1:9" ht="14.25">
      <c r="A394" s="202">
        <v>8</v>
      </c>
      <c r="B394" s="203">
        <f t="shared" si="21"/>
        <v>0</v>
      </c>
      <c r="C394" s="199">
        <v>15</v>
      </c>
      <c r="D394" s="203">
        <f>Entrada_de_Dados_2!D366</f>
        <v>0</v>
      </c>
      <c r="E394" s="203">
        <f>Entrada_de_Dados_2!E366</f>
        <v>0</v>
      </c>
      <c r="F394" s="199">
        <f>Entrada_de_Dados_2!F366</f>
        <v>0</v>
      </c>
      <c r="G394" s="204">
        <f>Entrada_de_Dados_2!G366</f>
        <v>0</v>
      </c>
      <c r="H394" s="204">
        <f>Entrada_de_Dados_2!H366</f>
        <v>0</v>
      </c>
      <c r="I394" s="204">
        <f t="shared" si="20"/>
        <v>0</v>
      </c>
    </row>
    <row r="395" spans="1:9" ht="14.25">
      <c r="A395" s="202">
        <v>8</v>
      </c>
      <c r="B395" s="203">
        <f t="shared" si="21"/>
        <v>0</v>
      </c>
      <c r="C395" s="199">
        <v>16</v>
      </c>
      <c r="D395" s="203">
        <f>Entrada_de_Dados_2!D367</f>
        <v>0</v>
      </c>
      <c r="E395" s="203">
        <f>Entrada_de_Dados_2!E367</f>
        <v>0</v>
      </c>
      <c r="F395" s="199">
        <f>Entrada_de_Dados_2!F367</f>
        <v>0</v>
      </c>
      <c r="G395" s="204">
        <f>Entrada_de_Dados_2!G367</f>
        <v>0</v>
      </c>
      <c r="H395" s="204">
        <f>Entrada_de_Dados_2!H367</f>
        <v>0</v>
      </c>
      <c r="I395" s="204">
        <f t="shared" si="20"/>
        <v>0</v>
      </c>
    </row>
    <row r="396" spans="1:9" ht="14.25">
      <c r="A396" s="202">
        <v>8</v>
      </c>
      <c r="B396" s="203">
        <f t="shared" si="21"/>
        <v>0</v>
      </c>
      <c r="C396" s="199">
        <v>17</v>
      </c>
      <c r="D396" s="203">
        <f>Entrada_de_Dados_2!D368</f>
        <v>0</v>
      </c>
      <c r="E396" s="203">
        <f>Entrada_de_Dados_2!E368</f>
        <v>0</v>
      </c>
      <c r="F396" s="199">
        <f>Entrada_de_Dados_2!F368</f>
        <v>0</v>
      </c>
      <c r="G396" s="204">
        <f>Entrada_de_Dados_2!G368</f>
        <v>0</v>
      </c>
      <c r="H396" s="204">
        <f>Entrada_de_Dados_2!H368</f>
        <v>0</v>
      </c>
      <c r="I396" s="204">
        <f t="shared" si="20"/>
        <v>0</v>
      </c>
    </row>
    <row r="397" spans="1:9" ht="14.25">
      <c r="A397" s="202">
        <v>8</v>
      </c>
      <c r="B397" s="203">
        <f t="shared" si="21"/>
        <v>0</v>
      </c>
      <c r="C397" s="199">
        <v>18</v>
      </c>
      <c r="D397" s="203">
        <f>Entrada_de_Dados_2!D369</f>
        <v>0</v>
      </c>
      <c r="E397" s="203">
        <f>Entrada_de_Dados_2!E369</f>
        <v>0</v>
      </c>
      <c r="F397" s="199">
        <f>Entrada_de_Dados_2!F369</f>
        <v>0</v>
      </c>
      <c r="G397" s="204">
        <f>Entrada_de_Dados_2!G369</f>
        <v>0</v>
      </c>
      <c r="H397" s="204">
        <f>Entrada_de_Dados_2!H369</f>
        <v>0</v>
      </c>
      <c r="I397" s="204">
        <f t="shared" si="20"/>
        <v>0</v>
      </c>
    </row>
    <row r="398" spans="1:9" ht="14.25">
      <c r="A398" s="202">
        <v>8</v>
      </c>
      <c r="B398" s="203">
        <f t="shared" si="21"/>
        <v>0</v>
      </c>
      <c r="C398" s="199">
        <v>19</v>
      </c>
      <c r="D398" s="203">
        <f>Entrada_de_Dados_2!D370</f>
        <v>0</v>
      </c>
      <c r="E398" s="203">
        <f>Entrada_de_Dados_2!E370</f>
        <v>0</v>
      </c>
      <c r="F398" s="199">
        <f>Entrada_de_Dados_2!F370</f>
        <v>0</v>
      </c>
      <c r="G398" s="204">
        <f>Entrada_de_Dados_2!G370</f>
        <v>0</v>
      </c>
      <c r="H398" s="204">
        <f>Entrada_de_Dados_2!H370</f>
        <v>0</v>
      </c>
      <c r="I398" s="204">
        <f t="shared" si="20"/>
        <v>0</v>
      </c>
    </row>
    <row r="399" spans="1:9" ht="14.25">
      <c r="A399" s="202">
        <v>8</v>
      </c>
      <c r="B399" s="203">
        <f t="shared" si="21"/>
        <v>0</v>
      </c>
      <c r="C399" s="199">
        <v>20</v>
      </c>
      <c r="D399" s="203">
        <f>Entrada_de_Dados_2!D371</f>
        <v>0</v>
      </c>
      <c r="E399" s="203">
        <f>Entrada_de_Dados_2!E371</f>
        <v>0</v>
      </c>
      <c r="F399" s="199">
        <f>Entrada_de_Dados_2!F371</f>
        <v>0</v>
      </c>
      <c r="G399" s="204">
        <f>Entrada_de_Dados_2!G371</f>
        <v>0</v>
      </c>
      <c r="H399" s="204">
        <f>Entrada_de_Dados_2!H371</f>
        <v>0</v>
      </c>
      <c r="I399" s="204">
        <f t="shared" si="20"/>
        <v>0</v>
      </c>
    </row>
    <row r="400" spans="1:9" ht="14.25">
      <c r="A400" s="202">
        <v>8</v>
      </c>
      <c r="B400" s="203">
        <f t="shared" si="21"/>
        <v>0</v>
      </c>
      <c r="C400" s="199">
        <v>21</v>
      </c>
      <c r="D400" s="203">
        <f>Entrada_de_Dados_2!D372</f>
        <v>0</v>
      </c>
      <c r="E400" s="203">
        <f>Entrada_de_Dados_2!E372</f>
        <v>0</v>
      </c>
      <c r="F400" s="199">
        <f>Entrada_de_Dados_2!F372</f>
        <v>0</v>
      </c>
      <c r="G400" s="204">
        <f>Entrada_de_Dados_2!G372</f>
        <v>0</v>
      </c>
      <c r="H400" s="204">
        <f>Entrada_de_Dados_2!H372</f>
        <v>0</v>
      </c>
      <c r="I400" s="204">
        <f t="shared" si="20"/>
        <v>0</v>
      </c>
    </row>
    <row r="401" spans="1:9" ht="14.25">
      <c r="A401" s="202">
        <v>8</v>
      </c>
      <c r="B401" s="203">
        <f t="shared" si="21"/>
        <v>0</v>
      </c>
      <c r="C401" s="199">
        <v>22</v>
      </c>
      <c r="D401" s="203">
        <f>Entrada_de_Dados_2!D373</f>
        <v>0</v>
      </c>
      <c r="E401" s="203">
        <f>Entrada_de_Dados_2!E373</f>
        <v>0</v>
      </c>
      <c r="F401" s="199">
        <f>Entrada_de_Dados_2!F373</f>
        <v>0</v>
      </c>
      <c r="G401" s="204">
        <f>Entrada_de_Dados_2!G373</f>
        <v>0</v>
      </c>
      <c r="H401" s="204">
        <f>Entrada_de_Dados_2!H373</f>
        <v>0</v>
      </c>
      <c r="I401" s="204">
        <f t="shared" si="20"/>
        <v>0</v>
      </c>
    </row>
    <row r="402" spans="1:9" ht="14.25">
      <c r="A402" s="202">
        <v>8</v>
      </c>
      <c r="B402" s="203">
        <f t="shared" si="21"/>
        <v>0</v>
      </c>
      <c r="C402" s="199">
        <v>23</v>
      </c>
      <c r="D402" s="203">
        <f>Entrada_de_Dados_2!D374</f>
        <v>0</v>
      </c>
      <c r="E402" s="203">
        <f>Entrada_de_Dados_2!E374</f>
        <v>0</v>
      </c>
      <c r="F402" s="199">
        <f>Entrada_de_Dados_2!F374</f>
        <v>0</v>
      </c>
      <c r="G402" s="204">
        <f>Entrada_de_Dados_2!G374</f>
        <v>0</v>
      </c>
      <c r="H402" s="204">
        <f>Entrada_de_Dados_2!H374</f>
        <v>0</v>
      </c>
      <c r="I402" s="204">
        <f t="shared" si="20"/>
        <v>0</v>
      </c>
    </row>
    <row r="403" spans="1:9" ht="14.25">
      <c r="A403" s="202">
        <v>8</v>
      </c>
      <c r="B403" s="203">
        <f t="shared" si="21"/>
        <v>0</v>
      </c>
      <c r="C403" s="199">
        <v>24</v>
      </c>
      <c r="D403" s="203">
        <f>Entrada_de_Dados_2!D375</f>
        <v>0</v>
      </c>
      <c r="E403" s="203">
        <f>Entrada_de_Dados_2!E375</f>
        <v>0</v>
      </c>
      <c r="F403" s="199">
        <f>Entrada_de_Dados_2!F375</f>
        <v>0</v>
      </c>
      <c r="G403" s="204">
        <f>Entrada_de_Dados_2!G375</f>
        <v>0</v>
      </c>
      <c r="H403" s="204">
        <f>Entrada_de_Dados_2!H375</f>
        <v>0</v>
      </c>
      <c r="I403" s="204">
        <f t="shared" si="20"/>
        <v>0</v>
      </c>
    </row>
    <row r="404" spans="1:9" ht="14.25">
      <c r="A404" s="202">
        <v>8</v>
      </c>
      <c r="B404" s="203">
        <f t="shared" si="21"/>
        <v>0</v>
      </c>
      <c r="C404" s="199">
        <v>25</v>
      </c>
      <c r="D404" s="203">
        <f>Entrada_de_Dados_2!D376</f>
        <v>0</v>
      </c>
      <c r="E404" s="203">
        <f>Entrada_de_Dados_2!E376</f>
        <v>0</v>
      </c>
      <c r="F404" s="199">
        <f>Entrada_de_Dados_2!F376</f>
        <v>0</v>
      </c>
      <c r="G404" s="204">
        <f>Entrada_de_Dados_2!G376</f>
        <v>0</v>
      </c>
      <c r="H404" s="204">
        <f>Entrada_de_Dados_2!H376</f>
        <v>0</v>
      </c>
      <c r="I404" s="204">
        <f t="shared" si="20"/>
        <v>0</v>
      </c>
    </row>
    <row r="405" spans="1:9" ht="14.25">
      <c r="A405" s="202">
        <v>8</v>
      </c>
      <c r="B405" s="203">
        <f t="shared" si="21"/>
        <v>0</v>
      </c>
      <c r="C405" s="199">
        <v>26</v>
      </c>
      <c r="D405" s="203">
        <f>Entrada_de_Dados_2!D377</f>
        <v>0</v>
      </c>
      <c r="E405" s="203">
        <f>Entrada_de_Dados_2!E377</f>
        <v>0</v>
      </c>
      <c r="F405" s="199">
        <f>Entrada_de_Dados_2!F377</f>
        <v>0</v>
      </c>
      <c r="G405" s="204">
        <f>Entrada_de_Dados_2!G377</f>
        <v>0</v>
      </c>
      <c r="H405" s="204">
        <f>Entrada_de_Dados_2!H377</f>
        <v>0</v>
      </c>
      <c r="I405" s="204">
        <f t="shared" si="20"/>
        <v>0</v>
      </c>
    </row>
    <row r="406" spans="1:9" ht="14.25">
      <c r="A406" s="202">
        <v>8</v>
      </c>
      <c r="B406" s="203">
        <f t="shared" si="21"/>
        <v>0</v>
      </c>
      <c r="C406" s="199">
        <v>27</v>
      </c>
      <c r="D406" s="203">
        <f>Entrada_de_Dados_2!D378</f>
        <v>0</v>
      </c>
      <c r="E406" s="203">
        <f>Entrada_de_Dados_2!E378</f>
        <v>0</v>
      </c>
      <c r="F406" s="199">
        <f>Entrada_de_Dados_2!F378</f>
        <v>0</v>
      </c>
      <c r="G406" s="204">
        <f>Entrada_de_Dados_2!G378</f>
        <v>0</v>
      </c>
      <c r="H406" s="204">
        <f>Entrada_de_Dados_2!H378</f>
        <v>0</v>
      </c>
      <c r="I406" s="204">
        <f t="shared" si="20"/>
        <v>0</v>
      </c>
    </row>
    <row r="407" spans="1:9" ht="14.25">
      <c r="A407" s="202">
        <v>8</v>
      </c>
      <c r="B407" s="203">
        <f t="shared" si="21"/>
        <v>0</v>
      </c>
      <c r="C407" s="199">
        <v>28</v>
      </c>
      <c r="D407" s="203">
        <f>Entrada_de_Dados_2!D379</f>
        <v>0</v>
      </c>
      <c r="E407" s="203">
        <f>Entrada_de_Dados_2!E379</f>
        <v>0</v>
      </c>
      <c r="F407" s="199">
        <f>Entrada_de_Dados_2!F379</f>
        <v>0</v>
      </c>
      <c r="G407" s="204">
        <f>Entrada_de_Dados_2!G379</f>
        <v>0</v>
      </c>
      <c r="H407" s="204">
        <f>Entrada_de_Dados_2!H379</f>
        <v>0</v>
      </c>
      <c r="I407" s="204">
        <f t="shared" si="20"/>
        <v>0</v>
      </c>
    </row>
    <row r="408" spans="1:9" ht="14.25">
      <c r="A408" s="202">
        <v>8</v>
      </c>
      <c r="B408" s="203">
        <f t="shared" si="21"/>
        <v>0</v>
      </c>
      <c r="C408" s="199">
        <v>29</v>
      </c>
      <c r="D408" s="203">
        <f>Entrada_de_Dados_2!D380</f>
        <v>0</v>
      </c>
      <c r="E408" s="203">
        <f>Entrada_de_Dados_2!E380</f>
        <v>0</v>
      </c>
      <c r="F408" s="199">
        <f>Entrada_de_Dados_2!F380</f>
        <v>0</v>
      </c>
      <c r="G408" s="204">
        <f>Entrada_de_Dados_2!G380</f>
        <v>0</v>
      </c>
      <c r="H408" s="204">
        <f>Entrada_de_Dados_2!H380</f>
        <v>0</v>
      </c>
      <c r="I408" s="204">
        <f t="shared" si="20"/>
        <v>0</v>
      </c>
    </row>
    <row r="409" spans="1:9" ht="14.25">
      <c r="A409" s="202">
        <v>8</v>
      </c>
      <c r="B409" s="203">
        <f t="shared" si="21"/>
        <v>0</v>
      </c>
      <c r="C409" s="199">
        <v>30</v>
      </c>
      <c r="D409" s="203">
        <f>Entrada_de_Dados_2!D381</f>
        <v>0</v>
      </c>
      <c r="E409" s="203">
        <f>Entrada_de_Dados_2!E381</f>
        <v>0</v>
      </c>
      <c r="F409" s="199">
        <f>Entrada_de_Dados_2!F381</f>
        <v>0</v>
      </c>
      <c r="G409" s="204">
        <f>Entrada_de_Dados_2!G381</f>
        <v>0</v>
      </c>
      <c r="H409" s="204">
        <f>Entrada_de_Dados_2!H381</f>
        <v>0</v>
      </c>
      <c r="I409" s="204">
        <f t="shared" si="20"/>
        <v>0</v>
      </c>
    </row>
    <row r="410" spans="1:9" ht="14.25">
      <c r="A410" s="202">
        <v>8</v>
      </c>
      <c r="B410" s="203">
        <f t="shared" si="21"/>
        <v>0</v>
      </c>
      <c r="C410" s="199">
        <v>31</v>
      </c>
      <c r="D410" s="203">
        <f>Entrada_de_Dados_2!D382</f>
        <v>0</v>
      </c>
      <c r="E410" s="203">
        <f>Entrada_de_Dados_2!E382</f>
        <v>0</v>
      </c>
      <c r="F410" s="199">
        <f>Entrada_de_Dados_2!F382</f>
        <v>0</v>
      </c>
      <c r="G410" s="204">
        <f>Entrada_de_Dados_2!G382</f>
        <v>0</v>
      </c>
      <c r="H410" s="204">
        <f>Entrada_de_Dados_2!H382</f>
        <v>0</v>
      </c>
      <c r="I410" s="204">
        <f t="shared" si="20"/>
        <v>0</v>
      </c>
    </row>
    <row r="411" spans="1:9" ht="14.25">
      <c r="A411" s="202">
        <v>8</v>
      </c>
      <c r="B411" s="203">
        <f t="shared" si="21"/>
        <v>0</v>
      </c>
      <c r="C411" s="199">
        <v>32</v>
      </c>
      <c r="D411" s="203">
        <f>Entrada_de_Dados_2!D383</f>
        <v>0</v>
      </c>
      <c r="E411" s="203">
        <f>Entrada_de_Dados_2!E383</f>
        <v>0</v>
      </c>
      <c r="F411" s="199">
        <f>Entrada_de_Dados_2!F383</f>
        <v>0</v>
      </c>
      <c r="G411" s="204">
        <f>Entrada_de_Dados_2!G383</f>
        <v>0</v>
      </c>
      <c r="H411" s="204">
        <f>Entrada_de_Dados_2!H383</f>
        <v>0</v>
      </c>
      <c r="I411" s="204">
        <f t="shared" si="20"/>
        <v>0</v>
      </c>
    </row>
    <row r="412" spans="1:9" ht="14.25">
      <c r="A412" s="202">
        <v>8</v>
      </c>
      <c r="B412" s="203">
        <f t="shared" si="21"/>
        <v>0</v>
      </c>
      <c r="C412" s="199">
        <v>33</v>
      </c>
      <c r="D412" s="203">
        <f>Entrada_de_Dados_2!D384</f>
        <v>0</v>
      </c>
      <c r="E412" s="203">
        <f>Entrada_de_Dados_2!E384</f>
        <v>0</v>
      </c>
      <c r="F412" s="199">
        <f>Entrada_de_Dados_2!F384</f>
        <v>0</v>
      </c>
      <c r="G412" s="204">
        <f>Entrada_de_Dados_2!G384</f>
        <v>0</v>
      </c>
      <c r="H412" s="204">
        <f>Entrada_de_Dados_2!H384</f>
        <v>0</v>
      </c>
      <c r="I412" s="204">
        <f t="shared" si="20"/>
        <v>0</v>
      </c>
    </row>
    <row r="413" spans="1:9" ht="14.25">
      <c r="A413" s="202">
        <v>8</v>
      </c>
      <c r="B413" s="203">
        <f t="shared" si="21"/>
        <v>0</v>
      </c>
      <c r="C413" s="199">
        <v>34</v>
      </c>
      <c r="D413" s="203">
        <f>Entrada_de_Dados_2!D385</f>
        <v>0</v>
      </c>
      <c r="E413" s="203">
        <f>Entrada_de_Dados_2!E385</f>
        <v>0</v>
      </c>
      <c r="F413" s="199">
        <f>Entrada_de_Dados_2!F385</f>
        <v>0</v>
      </c>
      <c r="G413" s="204">
        <f>Entrada_de_Dados_2!G385</f>
        <v>0</v>
      </c>
      <c r="H413" s="204">
        <f>Entrada_de_Dados_2!H385</f>
        <v>0</v>
      </c>
      <c r="I413" s="204">
        <f t="shared" si="20"/>
        <v>0</v>
      </c>
    </row>
    <row r="414" spans="1:9" ht="14.25">
      <c r="A414" s="202">
        <v>8</v>
      </c>
      <c r="B414" s="203">
        <f t="shared" si="21"/>
        <v>0</v>
      </c>
      <c r="C414" s="199">
        <v>35</v>
      </c>
      <c r="D414" s="203">
        <f>Entrada_de_Dados_2!D386</f>
        <v>0</v>
      </c>
      <c r="E414" s="203">
        <f>Entrada_de_Dados_2!E386</f>
        <v>0</v>
      </c>
      <c r="F414" s="199">
        <f>Entrada_de_Dados_2!F386</f>
        <v>0</v>
      </c>
      <c r="G414" s="204">
        <f>Entrada_de_Dados_2!G386</f>
        <v>0</v>
      </c>
      <c r="H414" s="204">
        <f>Entrada_de_Dados_2!H386</f>
        <v>0</v>
      </c>
      <c r="I414" s="204">
        <f t="shared" si="20"/>
        <v>0</v>
      </c>
    </row>
    <row r="415" spans="1:9" ht="14.25">
      <c r="A415" s="202">
        <v>8</v>
      </c>
      <c r="B415" s="203">
        <f t="shared" si="21"/>
        <v>0</v>
      </c>
      <c r="C415" s="199">
        <v>36</v>
      </c>
      <c r="D415" s="203">
        <f>Entrada_de_Dados_2!D387</f>
        <v>0</v>
      </c>
      <c r="E415" s="203">
        <f>Entrada_de_Dados_2!E387</f>
        <v>0</v>
      </c>
      <c r="F415" s="199">
        <f>Entrada_de_Dados_2!F387</f>
        <v>0</v>
      </c>
      <c r="G415" s="204">
        <f>Entrada_de_Dados_2!G387</f>
        <v>0</v>
      </c>
      <c r="H415" s="204">
        <f>Entrada_de_Dados_2!H387</f>
        <v>0</v>
      </c>
      <c r="I415" s="204">
        <f t="shared" si="20"/>
        <v>0</v>
      </c>
    </row>
    <row r="416" spans="1:9" ht="14.25">
      <c r="A416" s="202">
        <v>8</v>
      </c>
      <c r="B416" s="203">
        <f t="shared" si="21"/>
        <v>0</v>
      </c>
      <c r="C416" s="199">
        <v>37</v>
      </c>
      <c r="D416" s="203">
        <f>Entrada_de_Dados_2!D388</f>
        <v>0</v>
      </c>
      <c r="E416" s="203">
        <f>Entrada_de_Dados_2!E388</f>
        <v>0</v>
      </c>
      <c r="F416" s="199">
        <f>Entrada_de_Dados_2!F388</f>
        <v>0</v>
      </c>
      <c r="G416" s="204">
        <f>Entrada_de_Dados_2!G388</f>
        <v>0</v>
      </c>
      <c r="H416" s="204">
        <f>Entrada_de_Dados_2!H388</f>
        <v>0</v>
      </c>
      <c r="I416" s="204">
        <f t="shared" si="20"/>
        <v>0</v>
      </c>
    </row>
    <row r="417" spans="1:9" ht="14.25">
      <c r="A417" s="202">
        <v>8</v>
      </c>
      <c r="B417" s="203">
        <f t="shared" si="21"/>
        <v>0</v>
      </c>
      <c r="C417" s="199">
        <v>38</v>
      </c>
      <c r="D417" s="203">
        <f>Entrada_de_Dados_2!D389</f>
        <v>0</v>
      </c>
      <c r="E417" s="203">
        <f>Entrada_de_Dados_2!E389</f>
        <v>0</v>
      </c>
      <c r="F417" s="199">
        <f>Entrada_de_Dados_2!F389</f>
        <v>0</v>
      </c>
      <c r="G417" s="204">
        <f>Entrada_de_Dados_2!G389</f>
        <v>0</v>
      </c>
      <c r="H417" s="204">
        <f>Entrada_de_Dados_2!H389</f>
        <v>0</v>
      </c>
      <c r="I417" s="204">
        <f t="shared" si="20"/>
        <v>0</v>
      </c>
    </row>
    <row r="418" spans="1:9" ht="14.25">
      <c r="A418" s="202">
        <v>8</v>
      </c>
      <c r="B418" s="203">
        <f t="shared" si="21"/>
        <v>0</v>
      </c>
      <c r="C418" s="199">
        <v>39</v>
      </c>
      <c r="D418" s="203">
        <f>Entrada_de_Dados_2!D390</f>
        <v>0</v>
      </c>
      <c r="E418" s="203">
        <f>Entrada_de_Dados_2!E390</f>
        <v>0</v>
      </c>
      <c r="F418" s="199">
        <f>Entrada_de_Dados_2!F390</f>
        <v>0</v>
      </c>
      <c r="G418" s="204">
        <f>Entrada_de_Dados_2!G390</f>
        <v>0</v>
      </c>
      <c r="H418" s="204">
        <f>Entrada_de_Dados_2!H390</f>
        <v>0</v>
      </c>
      <c r="I418" s="204">
        <f t="shared" si="20"/>
        <v>0</v>
      </c>
    </row>
    <row r="419" spans="1:9" ht="14.25">
      <c r="A419" s="202">
        <v>8</v>
      </c>
      <c r="B419" s="203">
        <f t="shared" si="21"/>
        <v>0</v>
      </c>
      <c r="C419" s="199">
        <v>40</v>
      </c>
      <c r="D419" s="203">
        <f>Entrada_de_Dados_2!D391</f>
        <v>0</v>
      </c>
      <c r="E419" s="203">
        <f>Entrada_de_Dados_2!E391</f>
        <v>0</v>
      </c>
      <c r="F419" s="199">
        <f>Entrada_de_Dados_2!F391</f>
        <v>0</v>
      </c>
      <c r="G419" s="204">
        <f>Entrada_de_Dados_2!G391</f>
        <v>0</v>
      </c>
      <c r="H419" s="204">
        <f>Entrada_de_Dados_2!H391</f>
        <v>0</v>
      </c>
      <c r="I419" s="204">
        <f t="shared" si="20"/>
        <v>0</v>
      </c>
    </row>
    <row r="420" spans="1:9" ht="14.25">
      <c r="A420" s="202">
        <v>8</v>
      </c>
      <c r="B420" s="203">
        <f t="shared" si="21"/>
        <v>0</v>
      </c>
      <c r="C420" s="199">
        <v>41</v>
      </c>
      <c r="D420" s="203">
        <f>Entrada_de_Dados_2!D392</f>
        <v>0</v>
      </c>
      <c r="E420" s="203">
        <f>Entrada_de_Dados_2!E392</f>
        <v>0</v>
      </c>
      <c r="F420" s="199">
        <f>Entrada_de_Dados_2!F392</f>
        <v>0</v>
      </c>
      <c r="G420" s="204">
        <f>Entrada_de_Dados_2!G392</f>
        <v>0</v>
      </c>
      <c r="H420" s="204">
        <f>Entrada_de_Dados_2!H392</f>
        <v>0</v>
      </c>
      <c r="I420" s="204">
        <f t="shared" si="20"/>
        <v>0</v>
      </c>
    </row>
    <row r="421" spans="1:9" ht="14.25">
      <c r="A421" s="202">
        <v>8</v>
      </c>
      <c r="B421" s="203">
        <f t="shared" si="21"/>
        <v>0</v>
      </c>
      <c r="C421" s="199">
        <v>42</v>
      </c>
      <c r="D421" s="203">
        <f>Entrada_de_Dados_2!D393</f>
        <v>0</v>
      </c>
      <c r="E421" s="203">
        <f>Entrada_de_Dados_2!E393</f>
        <v>0</v>
      </c>
      <c r="F421" s="199">
        <f>Entrada_de_Dados_2!F393</f>
        <v>0</v>
      </c>
      <c r="G421" s="204">
        <f>Entrada_de_Dados_2!G393</f>
        <v>0</v>
      </c>
      <c r="H421" s="204">
        <f>Entrada_de_Dados_2!H393</f>
        <v>0</v>
      </c>
      <c r="I421" s="204">
        <f t="shared" si="20"/>
        <v>0</v>
      </c>
    </row>
    <row r="422" spans="1:9" ht="14.25">
      <c r="A422" s="202">
        <v>8</v>
      </c>
      <c r="B422" s="203">
        <f t="shared" si="21"/>
        <v>0</v>
      </c>
      <c r="C422" s="199">
        <v>43</v>
      </c>
      <c r="D422" s="203">
        <f>Entrada_de_Dados_2!D394</f>
        <v>0</v>
      </c>
      <c r="E422" s="203">
        <f>Entrada_de_Dados_2!E394</f>
        <v>0</v>
      </c>
      <c r="F422" s="199">
        <f>Entrada_de_Dados_2!F394</f>
        <v>0</v>
      </c>
      <c r="G422" s="204">
        <f>Entrada_de_Dados_2!G394</f>
        <v>0</v>
      </c>
      <c r="H422" s="204">
        <f>Entrada_de_Dados_2!H394</f>
        <v>0</v>
      </c>
      <c r="I422" s="204">
        <f t="shared" si="20"/>
        <v>0</v>
      </c>
    </row>
    <row r="423" spans="1:9" ht="14.25">
      <c r="A423" s="202">
        <v>8</v>
      </c>
      <c r="B423" s="203">
        <f t="shared" si="21"/>
        <v>0</v>
      </c>
      <c r="C423" s="199">
        <v>44</v>
      </c>
      <c r="D423" s="203">
        <f>Entrada_de_Dados_2!D395</f>
        <v>0</v>
      </c>
      <c r="E423" s="203">
        <f>Entrada_de_Dados_2!E395</f>
        <v>0</v>
      </c>
      <c r="F423" s="199">
        <f>Entrada_de_Dados_2!F395</f>
        <v>0</v>
      </c>
      <c r="G423" s="204">
        <f>Entrada_de_Dados_2!G395</f>
        <v>0</v>
      </c>
      <c r="H423" s="204">
        <f>Entrada_de_Dados_2!H395</f>
        <v>0</v>
      </c>
      <c r="I423" s="204">
        <f t="shared" si="20"/>
        <v>0</v>
      </c>
    </row>
    <row r="424" spans="1:9" ht="14.25">
      <c r="A424" s="202">
        <v>8</v>
      </c>
      <c r="B424" s="203">
        <f t="shared" si="21"/>
        <v>0</v>
      </c>
      <c r="C424" s="199">
        <v>45</v>
      </c>
      <c r="D424" s="203">
        <f>Entrada_de_Dados_2!D396</f>
        <v>0</v>
      </c>
      <c r="E424" s="203">
        <f>Entrada_de_Dados_2!E396</f>
        <v>0</v>
      </c>
      <c r="F424" s="199">
        <f>Entrada_de_Dados_2!F396</f>
        <v>0</v>
      </c>
      <c r="G424" s="204">
        <f>Entrada_de_Dados_2!G396</f>
        <v>0</v>
      </c>
      <c r="H424" s="204">
        <f>Entrada_de_Dados_2!H396</f>
        <v>0</v>
      </c>
      <c r="I424" s="204">
        <f t="shared" si="20"/>
        <v>0</v>
      </c>
    </row>
    <row r="425" spans="1:9" ht="14.25">
      <c r="A425" s="202">
        <v>8</v>
      </c>
      <c r="B425" s="203">
        <f t="shared" si="21"/>
        <v>0</v>
      </c>
      <c r="C425" s="199">
        <v>46</v>
      </c>
      <c r="D425" s="203">
        <f>Entrada_de_Dados_2!D397</f>
        <v>0</v>
      </c>
      <c r="E425" s="203">
        <f>Entrada_de_Dados_2!E397</f>
        <v>0</v>
      </c>
      <c r="F425" s="199">
        <f>Entrada_de_Dados_2!F397</f>
        <v>0</v>
      </c>
      <c r="G425" s="204">
        <f>Entrada_de_Dados_2!G397</f>
        <v>0</v>
      </c>
      <c r="H425" s="204">
        <f>Entrada_de_Dados_2!H397</f>
        <v>0</v>
      </c>
      <c r="I425" s="204">
        <f t="shared" si="20"/>
        <v>0</v>
      </c>
    </row>
    <row r="426" spans="1:9" ht="14.25">
      <c r="A426" s="202">
        <v>8</v>
      </c>
      <c r="B426" s="203">
        <f t="shared" si="21"/>
        <v>0</v>
      </c>
      <c r="C426" s="199">
        <v>47</v>
      </c>
      <c r="D426" s="203">
        <f>Entrada_de_Dados_2!D398</f>
        <v>0</v>
      </c>
      <c r="E426" s="203">
        <f>Entrada_de_Dados_2!E398</f>
        <v>0</v>
      </c>
      <c r="F426" s="199">
        <f>Entrada_de_Dados_2!F398</f>
        <v>0</v>
      </c>
      <c r="G426" s="204">
        <f>Entrada_de_Dados_2!G398</f>
        <v>0</v>
      </c>
      <c r="H426" s="204">
        <f>Entrada_de_Dados_2!H398</f>
        <v>0</v>
      </c>
      <c r="I426" s="204">
        <f t="shared" si="20"/>
        <v>0</v>
      </c>
    </row>
    <row r="427" spans="1:9" ht="14.25">
      <c r="A427" s="202">
        <v>8</v>
      </c>
      <c r="B427" s="203">
        <f t="shared" si="21"/>
        <v>0</v>
      </c>
      <c r="C427" s="199">
        <v>48</v>
      </c>
      <c r="D427" s="203">
        <f>Entrada_de_Dados_2!D399</f>
        <v>0</v>
      </c>
      <c r="E427" s="203">
        <f>Entrada_de_Dados_2!E399</f>
        <v>0</v>
      </c>
      <c r="F427" s="199">
        <f>Entrada_de_Dados_2!F399</f>
        <v>0</v>
      </c>
      <c r="G427" s="204">
        <f>Entrada_de_Dados_2!G399</f>
        <v>0</v>
      </c>
      <c r="H427" s="204">
        <f>Entrada_de_Dados_2!H399</f>
        <v>0</v>
      </c>
      <c r="I427" s="204">
        <f t="shared" si="20"/>
        <v>0</v>
      </c>
    </row>
    <row r="428" spans="1:9" ht="14.25">
      <c r="A428" s="202">
        <v>8</v>
      </c>
      <c r="B428" s="203">
        <f t="shared" si="21"/>
        <v>0</v>
      </c>
      <c r="C428" s="199">
        <v>49</v>
      </c>
      <c r="D428" s="203">
        <f>Entrada_de_Dados_2!D400</f>
        <v>0</v>
      </c>
      <c r="E428" s="203">
        <f>Entrada_de_Dados_2!E400</f>
        <v>0</v>
      </c>
      <c r="F428" s="199">
        <f>Entrada_de_Dados_2!F400</f>
        <v>0</v>
      </c>
      <c r="G428" s="204">
        <f>Entrada_de_Dados_2!G400</f>
        <v>0</v>
      </c>
      <c r="H428" s="204">
        <f>Entrada_de_Dados_2!H400</f>
        <v>0</v>
      </c>
      <c r="I428" s="204">
        <f t="shared" si="20"/>
        <v>0</v>
      </c>
    </row>
    <row r="429" spans="1:9" ht="14.25">
      <c r="A429" s="202">
        <v>8</v>
      </c>
      <c r="B429" s="203">
        <f t="shared" si="21"/>
        <v>0</v>
      </c>
      <c r="C429" s="199">
        <v>50</v>
      </c>
      <c r="D429" s="203">
        <f>Entrada_de_Dados_2!D401</f>
        <v>0</v>
      </c>
      <c r="E429" s="203">
        <f>Entrada_de_Dados_2!E401</f>
        <v>0</v>
      </c>
      <c r="F429" s="213">
        <f>Entrada_de_Dados_2!F401</f>
        <v>0</v>
      </c>
      <c r="G429" s="219">
        <f>Entrada_de_Dados_2!G401</f>
        <v>0</v>
      </c>
      <c r="H429" s="219">
        <f>Entrada_de_Dados_2!H401</f>
        <v>0</v>
      </c>
      <c r="I429" s="219">
        <f t="shared" si="20"/>
        <v>0</v>
      </c>
    </row>
    <row r="430" spans="1:9" ht="14.25">
      <c r="A430" s="202"/>
      <c r="B430" s="203"/>
      <c r="F430" s="205" t="s">
        <v>17</v>
      </c>
      <c r="G430" s="206" t="e">
        <f>I430/I433</f>
        <v>#DIV/0!</v>
      </c>
      <c r="H430" s="205" t="s">
        <v>5</v>
      </c>
      <c r="I430" s="207">
        <f>SUMIF($F$380:$F$429,H430,$I$380:$I$429)</f>
        <v>0</v>
      </c>
    </row>
    <row r="431" spans="1:9" ht="14.25">
      <c r="A431" s="202"/>
      <c r="B431" s="203"/>
      <c r="F431" s="205" t="s">
        <v>18</v>
      </c>
      <c r="G431" s="206" t="e">
        <f>I431/I433</f>
        <v>#DIV/0!</v>
      </c>
      <c r="H431" s="205" t="s">
        <v>6</v>
      </c>
      <c r="I431" s="207">
        <f>SUMIF($F$380:$F$429,H431,$I$380:$I$429)</f>
        <v>0</v>
      </c>
    </row>
    <row r="432" spans="1:9" ht="14.25">
      <c r="A432" s="202"/>
      <c r="B432" s="203"/>
      <c r="F432" s="205" t="s">
        <v>19</v>
      </c>
      <c r="G432" s="206" t="e">
        <f>I432/I433</f>
        <v>#DIV/0!</v>
      </c>
      <c r="H432" s="205" t="s">
        <v>7</v>
      </c>
      <c r="I432" s="207">
        <f>SUMIF($F$380:$F$429,H432,$I$380:$I$429)</f>
        <v>0</v>
      </c>
    </row>
    <row r="433" spans="1:9" ht="14.25">
      <c r="A433" s="211"/>
      <c r="B433" s="212"/>
      <c r="C433" s="213"/>
      <c r="D433" s="214"/>
      <c r="E433" s="214"/>
      <c r="F433" s="215" t="s">
        <v>20</v>
      </c>
      <c r="G433" s="216" t="e">
        <f>SUM(G430:G432)</f>
        <v>#DIV/0!</v>
      </c>
      <c r="H433" s="215" t="s">
        <v>21</v>
      </c>
      <c r="I433" s="217">
        <f>SUM(I430:I432)</f>
        <v>0</v>
      </c>
    </row>
    <row r="434" spans="1:9" ht="14.25">
      <c r="A434" s="202">
        <v>9</v>
      </c>
      <c r="B434" s="203">
        <f>Entrada_de_Dados_2!B402</f>
        <v>0</v>
      </c>
      <c r="C434" s="199">
        <v>1</v>
      </c>
      <c r="D434" s="203">
        <f>Entrada_de_Dados_2!D402</f>
        <v>0</v>
      </c>
      <c r="E434" s="203">
        <f>Entrada_de_Dados_2!E402</f>
        <v>0</v>
      </c>
      <c r="F434" s="199">
        <f>Entrada_de_Dados_2!F402</f>
        <v>0</v>
      </c>
      <c r="G434" s="204">
        <f>Entrada_de_Dados_2!G402</f>
        <v>0</v>
      </c>
      <c r="H434" s="204">
        <f>Entrada_de_Dados_2!H402</f>
        <v>0</v>
      </c>
      <c r="I434" s="204">
        <f t="shared" ref="I434:I483" si="22">G434*H434</f>
        <v>0</v>
      </c>
    </row>
    <row r="435" spans="1:9" ht="14.25">
      <c r="A435" s="202">
        <v>9</v>
      </c>
      <c r="B435" s="203">
        <f>$B$434</f>
        <v>0</v>
      </c>
      <c r="C435" s="199">
        <v>2</v>
      </c>
      <c r="D435" s="203">
        <f>Entrada_de_Dados_2!D403</f>
        <v>0</v>
      </c>
      <c r="E435" s="203">
        <f>Entrada_de_Dados_2!E403</f>
        <v>0</v>
      </c>
      <c r="F435" s="199">
        <f>Entrada_de_Dados_2!F403</f>
        <v>0</v>
      </c>
      <c r="G435" s="204">
        <f>Entrada_de_Dados_2!G403</f>
        <v>0</v>
      </c>
      <c r="H435" s="204">
        <f>Entrada_de_Dados_2!H403</f>
        <v>0</v>
      </c>
      <c r="I435" s="204">
        <f t="shared" si="22"/>
        <v>0</v>
      </c>
    </row>
    <row r="436" spans="1:9" ht="14.25">
      <c r="A436" s="202">
        <v>9</v>
      </c>
      <c r="B436" s="203">
        <f t="shared" ref="B436:B483" si="23">$B$434</f>
        <v>0</v>
      </c>
      <c r="C436" s="199">
        <v>3</v>
      </c>
      <c r="D436" s="203">
        <f>Entrada_de_Dados_2!D404</f>
        <v>0</v>
      </c>
      <c r="E436" s="203">
        <f>Entrada_de_Dados_2!E404</f>
        <v>0</v>
      </c>
      <c r="F436" s="199">
        <f>Entrada_de_Dados_2!F404</f>
        <v>0</v>
      </c>
      <c r="G436" s="204">
        <f>Entrada_de_Dados_2!G404</f>
        <v>0</v>
      </c>
      <c r="H436" s="204">
        <f>Entrada_de_Dados_2!H404</f>
        <v>0</v>
      </c>
      <c r="I436" s="204">
        <f t="shared" si="22"/>
        <v>0</v>
      </c>
    </row>
    <row r="437" spans="1:9" ht="14.25">
      <c r="A437" s="202">
        <v>9</v>
      </c>
      <c r="B437" s="203">
        <f t="shared" si="23"/>
        <v>0</v>
      </c>
      <c r="C437" s="199">
        <v>4</v>
      </c>
      <c r="D437" s="203">
        <f>Entrada_de_Dados_2!D405</f>
        <v>0</v>
      </c>
      <c r="E437" s="203">
        <f>Entrada_de_Dados_2!E405</f>
        <v>0</v>
      </c>
      <c r="F437" s="199">
        <f>Entrada_de_Dados_2!F405</f>
        <v>0</v>
      </c>
      <c r="G437" s="204">
        <f>Entrada_de_Dados_2!G405</f>
        <v>0</v>
      </c>
      <c r="H437" s="204">
        <f>Entrada_de_Dados_2!H405</f>
        <v>0</v>
      </c>
      <c r="I437" s="204">
        <f t="shared" si="22"/>
        <v>0</v>
      </c>
    </row>
    <row r="438" spans="1:9" ht="14.25">
      <c r="A438" s="202">
        <v>9</v>
      </c>
      <c r="B438" s="203">
        <f t="shared" si="23"/>
        <v>0</v>
      </c>
      <c r="C438" s="199">
        <v>5</v>
      </c>
      <c r="D438" s="203">
        <f>Entrada_de_Dados_2!D406</f>
        <v>0</v>
      </c>
      <c r="E438" s="203">
        <f>Entrada_de_Dados_2!E406</f>
        <v>0</v>
      </c>
      <c r="F438" s="199">
        <f>Entrada_de_Dados_2!F406</f>
        <v>0</v>
      </c>
      <c r="G438" s="204">
        <f>Entrada_de_Dados_2!G406</f>
        <v>0</v>
      </c>
      <c r="H438" s="204">
        <f>Entrada_de_Dados_2!H406</f>
        <v>0</v>
      </c>
      <c r="I438" s="204">
        <f t="shared" si="22"/>
        <v>0</v>
      </c>
    </row>
    <row r="439" spans="1:9" ht="14.25">
      <c r="A439" s="202">
        <v>9</v>
      </c>
      <c r="B439" s="203">
        <f t="shared" si="23"/>
        <v>0</v>
      </c>
      <c r="C439" s="199">
        <v>6</v>
      </c>
      <c r="D439" s="203">
        <f>Entrada_de_Dados_2!D407</f>
        <v>0</v>
      </c>
      <c r="E439" s="203">
        <f>Entrada_de_Dados_2!E407</f>
        <v>0</v>
      </c>
      <c r="F439" s="199">
        <f>Entrada_de_Dados_2!F407</f>
        <v>0</v>
      </c>
      <c r="G439" s="204">
        <f>Entrada_de_Dados_2!G407</f>
        <v>0</v>
      </c>
      <c r="H439" s="204">
        <f>Entrada_de_Dados_2!H407</f>
        <v>0</v>
      </c>
      <c r="I439" s="204">
        <f t="shared" si="22"/>
        <v>0</v>
      </c>
    </row>
    <row r="440" spans="1:9" ht="14.25">
      <c r="A440" s="202">
        <v>9</v>
      </c>
      <c r="B440" s="203">
        <f t="shared" si="23"/>
        <v>0</v>
      </c>
      <c r="C440" s="199">
        <v>7</v>
      </c>
      <c r="D440" s="203">
        <f>Entrada_de_Dados_2!D408</f>
        <v>0</v>
      </c>
      <c r="E440" s="203">
        <f>Entrada_de_Dados_2!E408</f>
        <v>0</v>
      </c>
      <c r="F440" s="199">
        <f>Entrada_de_Dados_2!F408</f>
        <v>0</v>
      </c>
      <c r="G440" s="204">
        <f>Entrada_de_Dados_2!G408</f>
        <v>0</v>
      </c>
      <c r="H440" s="204">
        <f>Entrada_de_Dados_2!H408</f>
        <v>0</v>
      </c>
      <c r="I440" s="204">
        <f t="shared" si="22"/>
        <v>0</v>
      </c>
    </row>
    <row r="441" spans="1:9" ht="14.25">
      <c r="A441" s="202">
        <v>9</v>
      </c>
      <c r="B441" s="203">
        <f t="shared" si="23"/>
        <v>0</v>
      </c>
      <c r="C441" s="199">
        <v>8</v>
      </c>
      <c r="D441" s="203">
        <f>Entrada_de_Dados_2!D409</f>
        <v>0</v>
      </c>
      <c r="E441" s="203">
        <f>Entrada_de_Dados_2!E409</f>
        <v>0</v>
      </c>
      <c r="F441" s="199">
        <f>Entrada_de_Dados_2!F409</f>
        <v>0</v>
      </c>
      <c r="G441" s="204">
        <f>Entrada_de_Dados_2!G409</f>
        <v>0</v>
      </c>
      <c r="H441" s="204">
        <f>Entrada_de_Dados_2!H409</f>
        <v>0</v>
      </c>
      <c r="I441" s="204">
        <f t="shared" si="22"/>
        <v>0</v>
      </c>
    </row>
    <row r="442" spans="1:9" ht="14.25">
      <c r="A442" s="202">
        <v>9</v>
      </c>
      <c r="B442" s="203">
        <f t="shared" si="23"/>
        <v>0</v>
      </c>
      <c r="C442" s="199">
        <v>9</v>
      </c>
      <c r="D442" s="203">
        <f>Entrada_de_Dados_2!D410</f>
        <v>0</v>
      </c>
      <c r="E442" s="203">
        <f>Entrada_de_Dados_2!E410</f>
        <v>0</v>
      </c>
      <c r="F442" s="199">
        <f>Entrada_de_Dados_2!F410</f>
        <v>0</v>
      </c>
      <c r="G442" s="204">
        <f>Entrada_de_Dados_2!G410</f>
        <v>0</v>
      </c>
      <c r="H442" s="204">
        <f>Entrada_de_Dados_2!H410</f>
        <v>0</v>
      </c>
      <c r="I442" s="204">
        <f t="shared" si="22"/>
        <v>0</v>
      </c>
    </row>
    <row r="443" spans="1:9" ht="14.25">
      <c r="A443" s="202">
        <v>9</v>
      </c>
      <c r="B443" s="203">
        <f t="shared" si="23"/>
        <v>0</v>
      </c>
      <c r="C443" s="199">
        <v>10</v>
      </c>
      <c r="D443" s="203">
        <f>Entrada_de_Dados_2!D411</f>
        <v>0</v>
      </c>
      <c r="E443" s="203">
        <f>Entrada_de_Dados_2!E411</f>
        <v>0</v>
      </c>
      <c r="F443" s="199">
        <f>Entrada_de_Dados_2!F411</f>
        <v>0</v>
      </c>
      <c r="G443" s="204">
        <f>Entrada_de_Dados_2!G411</f>
        <v>0</v>
      </c>
      <c r="H443" s="204">
        <f>Entrada_de_Dados_2!H411</f>
        <v>0</v>
      </c>
      <c r="I443" s="204">
        <f t="shared" si="22"/>
        <v>0</v>
      </c>
    </row>
    <row r="444" spans="1:9" ht="14.25">
      <c r="A444" s="202">
        <v>9</v>
      </c>
      <c r="B444" s="203">
        <f t="shared" si="23"/>
        <v>0</v>
      </c>
      <c r="C444" s="199">
        <v>11</v>
      </c>
      <c r="D444" s="203">
        <f>Entrada_de_Dados_2!D412</f>
        <v>0</v>
      </c>
      <c r="E444" s="203">
        <f>Entrada_de_Dados_2!E412</f>
        <v>0</v>
      </c>
      <c r="F444" s="199">
        <f>Entrada_de_Dados_2!F412</f>
        <v>0</v>
      </c>
      <c r="G444" s="204">
        <f>Entrada_de_Dados_2!G412</f>
        <v>0</v>
      </c>
      <c r="H444" s="204">
        <f>Entrada_de_Dados_2!H412</f>
        <v>0</v>
      </c>
      <c r="I444" s="204">
        <f t="shared" si="22"/>
        <v>0</v>
      </c>
    </row>
    <row r="445" spans="1:9" ht="14.25">
      <c r="A445" s="202">
        <v>9</v>
      </c>
      <c r="B445" s="203">
        <f t="shared" si="23"/>
        <v>0</v>
      </c>
      <c r="C445" s="199">
        <v>12</v>
      </c>
      <c r="D445" s="203">
        <f>Entrada_de_Dados_2!D413</f>
        <v>0</v>
      </c>
      <c r="E445" s="203">
        <f>Entrada_de_Dados_2!E413</f>
        <v>0</v>
      </c>
      <c r="F445" s="199">
        <f>Entrada_de_Dados_2!F413</f>
        <v>0</v>
      </c>
      <c r="G445" s="204">
        <f>Entrada_de_Dados_2!G413</f>
        <v>0</v>
      </c>
      <c r="H445" s="204">
        <f>Entrada_de_Dados_2!H413</f>
        <v>0</v>
      </c>
      <c r="I445" s="204">
        <f t="shared" si="22"/>
        <v>0</v>
      </c>
    </row>
    <row r="446" spans="1:9" ht="14.25">
      <c r="A446" s="202">
        <v>9</v>
      </c>
      <c r="B446" s="203">
        <f t="shared" si="23"/>
        <v>0</v>
      </c>
      <c r="C446" s="199">
        <v>13</v>
      </c>
      <c r="D446" s="203">
        <f>Entrada_de_Dados_2!D414</f>
        <v>0</v>
      </c>
      <c r="E446" s="203">
        <f>Entrada_de_Dados_2!E414</f>
        <v>0</v>
      </c>
      <c r="F446" s="199">
        <f>Entrada_de_Dados_2!F414</f>
        <v>0</v>
      </c>
      <c r="G446" s="204">
        <f>Entrada_de_Dados_2!G414</f>
        <v>0</v>
      </c>
      <c r="H446" s="204">
        <f>Entrada_de_Dados_2!H414</f>
        <v>0</v>
      </c>
      <c r="I446" s="204">
        <f t="shared" si="22"/>
        <v>0</v>
      </c>
    </row>
    <row r="447" spans="1:9" ht="14.25">
      <c r="A447" s="202">
        <v>9</v>
      </c>
      <c r="B447" s="203">
        <f t="shared" si="23"/>
        <v>0</v>
      </c>
      <c r="C447" s="199">
        <v>14</v>
      </c>
      <c r="D447" s="203">
        <f>Entrada_de_Dados_2!D415</f>
        <v>0</v>
      </c>
      <c r="E447" s="203">
        <f>Entrada_de_Dados_2!E415</f>
        <v>0</v>
      </c>
      <c r="F447" s="199">
        <f>Entrada_de_Dados_2!F415</f>
        <v>0</v>
      </c>
      <c r="G447" s="204">
        <f>Entrada_de_Dados_2!G415</f>
        <v>0</v>
      </c>
      <c r="H447" s="204">
        <f>Entrada_de_Dados_2!H415</f>
        <v>0</v>
      </c>
      <c r="I447" s="204">
        <f t="shared" si="22"/>
        <v>0</v>
      </c>
    </row>
    <row r="448" spans="1:9" ht="14.25">
      <c r="A448" s="202">
        <v>9</v>
      </c>
      <c r="B448" s="203">
        <f t="shared" si="23"/>
        <v>0</v>
      </c>
      <c r="C448" s="199">
        <v>15</v>
      </c>
      <c r="D448" s="203">
        <f>Entrada_de_Dados_2!D416</f>
        <v>0</v>
      </c>
      <c r="E448" s="203">
        <f>Entrada_de_Dados_2!E416</f>
        <v>0</v>
      </c>
      <c r="F448" s="199">
        <f>Entrada_de_Dados_2!F416</f>
        <v>0</v>
      </c>
      <c r="G448" s="204">
        <f>Entrada_de_Dados_2!G416</f>
        <v>0</v>
      </c>
      <c r="H448" s="204">
        <f>Entrada_de_Dados_2!H416</f>
        <v>0</v>
      </c>
      <c r="I448" s="204">
        <f t="shared" si="22"/>
        <v>0</v>
      </c>
    </row>
    <row r="449" spans="1:9" ht="14.25">
      <c r="A449" s="202">
        <v>9</v>
      </c>
      <c r="B449" s="203">
        <f t="shared" si="23"/>
        <v>0</v>
      </c>
      <c r="C449" s="199">
        <v>16</v>
      </c>
      <c r="D449" s="203">
        <f>Entrada_de_Dados_2!D417</f>
        <v>0</v>
      </c>
      <c r="E449" s="203">
        <f>Entrada_de_Dados_2!E417</f>
        <v>0</v>
      </c>
      <c r="F449" s="199">
        <f>Entrada_de_Dados_2!F417</f>
        <v>0</v>
      </c>
      <c r="G449" s="204">
        <f>Entrada_de_Dados_2!G417</f>
        <v>0</v>
      </c>
      <c r="H449" s="204">
        <f>Entrada_de_Dados_2!H417</f>
        <v>0</v>
      </c>
      <c r="I449" s="204">
        <f t="shared" si="22"/>
        <v>0</v>
      </c>
    </row>
    <row r="450" spans="1:9" ht="14.25">
      <c r="A450" s="202">
        <v>9</v>
      </c>
      <c r="B450" s="203">
        <f t="shared" si="23"/>
        <v>0</v>
      </c>
      <c r="C450" s="199">
        <v>17</v>
      </c>
      <c r="D450" s="203">
        <f>Entrada_de_Dados_2!D418</f>
        <v>0</v>
      </c>
      <c r="E450" s="203">
        <f>Entrada_de_Dados_2!E418</f>
        <v>0</v>
      </c>
      <c r="F450" s="199">
        <f>Entrada_de_Dados_2!F418</f>
        <v>0</v>
      </c>
      <c r="G450" s="204">
        <f>Entrada_de_Dados_2!G418</f>
        <v>0</v>
      </c>
      <c r="H450" s="204">
        <f>Entrada_de_Dados_2!H418</f>
        <v>0</v>
      </c>
      <c r="I450" s="204">
        <f t="shared" si="22"/>
        <v>0</v>
      </c>
    </row>
    <row r="451" spans="1:9" ht="14.25">
      <c r="A451" s="202">
        <v>9</v>
      </c>
      <c r="B451" s="203">
        <f t="shared" si="23"/>
        <v>0</v>
      </c>
      <c r="C451" s="199">
        <v>18</v>
      </c>
      <c r="D451" s="203">
        <f>Entrada_de_Dados_2!D419</f>
        <v>0</v>
      </c>
      <c r="E451" s="203">
        <f>Entrada_de_Dados_2!E419</f>
        <v>0</v>
      </c>
      <c r="F451" s="199">
        <f>Entrada_de_Dados_2!F419</f>
        <v>0</v>
      </c>
      <c r="G451" s="204">
        <f>Entrada_de_Dados_2!G419</f>
        <v>0</v>
      </c>
      <c r="H451" s="204">
        <f>Entrada_de_Dados_2!H419</f>
        <v>0</v>
      </c>
      <c r="I451" s="204">
        <f t="shared" si="22"/>
        <v>0</v>
      </c>
    </row>
    <row r="452" spans="1:9" ht="14.25">
      <c r="A452" s="202">
        <v>9</v>
      </c>
      <c r="B452" s="203">
        <f t="shared" si="23"/>
        <v>0</v>
      </c>
      <c r="C452" s="199">
        <v>19</v>
      </c>
      <c r="D452" s="203">
        <f>Entrada_de_Dados_2!D420</f>
        <v>0</v>
      </c>
      <c r="E452" s="203">
        <f>Entrada_de_Dados_2!E420</f>
        <v>0</v>
      </c>
      <c r="F452" s="199">
        <f>Entrada_de_Dados_2!F420</f>
        <v>0</v>
      </c>
      <c r="G452" s="204">
        <f>Entrada_de_Dados_2!G420</f>
        <v>0</v>
      </c>
      <c r="H452" s="204">
        <f>Entrada_de_Dados_2!H420</f>
        <v>0</v>
      </c>
      <c r="I452" s="204">
        <f t="shared" si="22"/>
        <v>0</v>
      </c>
    </row>
    <row r="453" spans="1:9" ht="14.25">
      <c r="A453" s="202">
        <v>9</v>
      </c>
      <c r="B453" s="203">
        <f t="shared" si="23"/>
        <v>0</v>
      </c>
      <c r="C453" s="199">
        <v>20</v>
      </c>
      <c r="D453" s="203">
        <f>Entrada_de_Dados_2!D421</f>
        <v>0</v>
      </c>
      <c r="E453" s="203">
        <f>Entrada_de_Dados_2!E421</f>
        <v>0</v>
      </c>
      <c r="F453" s="199">
        <f>Entrada_de_Dados_2!F421</f>
        <v>0</v>
      </c>
      <c r="G453" s="204">
        <f>Entrada_de_Dados_2!G421</f>
        <v>0</v>
      </c>
      <c r="H453" s="204">
        <f>Entrada_de_Dados_2!H421</f>
        <v>0</v>
      </c>
      <c r="I453" s="204">
        <f t="shared" si="22"/>
        <v>0</v>
      </c>
    </row>
    <row r="454" spans="1:9" ht="14.25">
      <c r="A454" s="202">
        <v>9</v>
      </c>
      <c r="B454" s="203">
        <f t="shared" si="23"/>
        <v>0</v>
      </c>
      <c r="C454" s="199">
        <v>21</v>
      </c>
      <c r="D454" s="203">
        <f>Entrada_de_Dados_2!D422</f>
        <v>0</v>
      </c>
      <c r="E454" s="203">
        <f>Entrada_de_Dados_2!E422</f>
        <v>0</v>
      </c>
      <c r="F454" s="199">
        <f>Entrada_de_Dados_2!F422</f>
        <v>0</v>
      </c>
      <c r="G454" s="204">
        <f>Entrada_de_Dados_2!G422</f>
        <v>0</v>
      </c>
      <c r="H454" s="204">
        <f>Entrada_de_Dados_2!H422</f>
        <v>0</v>
      </c>
      <c r="I454" s="204">
        <f t="shared" si="22"/>
        <v>0</v>
      </c>
    </row>
    <row r="455" spans="1:9" ht="14.25">
      <c r="A455" s="202">
        <v>9</v>
      </c>
      <c r="B455" s="203">
        <f t="shared" si="23"/>
        <v>0</v>
      </c>
      <c r="C455" s="199">
        <v>22</v>
      </c>
      <c r="D455" s="203">
        <f>Entrada_de_Dados_2!D423</f>
        <v>0</v>
      </c>
      <c r="E455" s="203">
        <f>Entrada_de_Dados_2!E423</f>
        <v>0</v>
      </c>
      <c r="F455" s="199">
        <f>Entrada_de_Dados_2!F423</f>
        <v>0</v>
      </c>
      <c r="G455" s="204">
        <f>Entrada_de_Dados_2!G423</f>
        <v>0</v>
      </c>
      <c r="H455" s="204">
        <f>Entrada_de_Dados_2!H423</f>
        <v>0</v>
      </c>
      <c r="I455" s="204">
        <f t="shared" si="22"/>
        <v>0</v>
      </c>
    </row>
    <row r="456" spans="1:9" ht="14.25">
      <c r="A456" s="202">
        <v>9</v>
      </c>
      <c r="B456" s="203">
        <f t="shared" si="23"/>
        <v>0</v>
      </c>
      <c r="C456" s="199">
        <v>23</v>
      </c>
      <c r="D456" s="203">
        <f>Entrada_de_Dados_2!D424</f>
        <v>0</v>
      </c>
      <c r="E456" s="203">
        <f>Entrada_de_Dados_2!E424</f>
        <v>0</v>
      </c>
      <c r="F456" s="199">
        <f>Entrada_de_Dados_2!F424</f>
        <v>0</v>
      </c>
      <c r="G456" s="204">
        <f>Entrada_de_Dados_2!G424</f>
        <v>0</v>
      </c>
      <c r="H456" s="204">
        <f>Entrada_de_Dados_2!H424</f>
        <v>0</v>
      </c>
      <c r="I456" s="204">
        <f t="shared" si="22"/>
        <v>0</v>
      </c>
    </row>
    <row r="457" spans="1:9" ht="14.25">
      <c r="A457" s="202">
        <v>9</v>
      </c>
      <c r="B457" s="203">
        <f t="shared" si="23"/>
        <v>0</v>
      </c>
      <c r="C457" s="199">
        <v>24</v>
      </c>
      <c r="D457" s="203">
        <f>Entrada_de_Dados_2!D425</f>
        <v>0</v>
      </c>
      <c r="E457" s="203">
        <f>Entrada_de_Dados_2!E425</f>
        <v>0</v>
      </c>
      <c r="F457" s="199">
        <f>Entrada_de_Dados_2!F425</f>
        <v>0</v>
      </c>
      <c r="G457" s="204">
        <f>Entrada_de_Dados_2!G425</f>
        <v>0</v>
      </c>
      <c r="H457" s="204">
        <f>Entrada_de_Dados_2!H425</f>
        <v>0</v>
      </c>
      <c r="I457" s="204">
        <f t="shared" si="22"/>
        <v>0</v>
      </c>
    </row>
    <row r="458" spans="1:9" ht="14.25">
      <c r="A458" s="202">
        <v>9</v>
      </c>
      <c r="B458" s="203">
        <f t="shared" si="23"/>
        <v>0</v>
      </c>
      <c r="C458" s="199">
        <v>25</v>
      </c>
      <c r="D458" s="203">
        <f>Entrada_de_Dados_2!D426</f>
        <v>0</v>
      </c>
      <c r="E458" s="203">
        <f>Entrada_de_Dados_2!E426</f>
        <v>0</v>
      </c>
      <c r="F458" s="199">
        <f>Entrada_de_Dados_2!F426</f>
        <v>0</v>
      </c>
      <c r="G458" s="204">
        <f>Entrada_de_Dados_2!G426</f>
        <v>0</v>
      </c>
      <c r="H458" s="204">
        <f>Entrada_de_Dados_2!H426</f>
        <v>0</v>
      </c>
      <c r="I458" s="204">
        <f t="shared" si="22"/>
        <v>0</v>
      </c>
    </row>
    <row r="459" spans="1:9" ht="14.25">
      <c r="A459" s="202">
        <v>9</v>
      </c>
      <c r="B459" s="203">
        <f t="shared" si="23"/>
        <v>0</v>
      </c>
      <c r="C459" s="199">
        <v>26</v>
      </c>
      <c r="D459" s="203">
        <f>Entrada_de_Dados_2!D427</f>
        <v>0</v>
      </c>
      <c r="E459" s="203">
        <f>Entrada_de_Dados_2!E427</f>
        <v>0</v>
      </c>
      <c r="F459" s="199">
        <f>Entrada_de_Dados_2!F427</f>
        <v>0</v>
      </c>
      <c r="G459" s="204">
        <f>Entrada_de_Dados_2!G427</f>
        <v>0</v>
      </c>
      <c r="H459" s="204">
        <f>Entrada_de_Dados_2!H427</f>
        <v>0</v>
      </c>
      <c r="I459" s="204">
        <f t="shared" si="22"/>
        <v>0</v>
      </c>
    </row>
    <row r="460" spans="1:9" ht="14.25">
      <c r="A460" s="202">
        <v>9</v>
      </c>
      <c r="B460" s="203">
        <f t="shared" si="23"/>
        <v>0</v>
      </c>
      <c r="C460" s="199">
        <v>27</v>
      </c>
      <c r="D460" s="203">
        <f>Entrada_de_Dados_2!D428</f>
        <v>0</v>
      </c>
      <c r="E460" s="203">
        <f>Entrada_de_Dados_2!E428</f>
        <v>0</v>
      </c>
      <c r="F460" s="199">
        <f>Entrada_de_Dados_2!F428</f>
        <v>0</v>
      </c>
      <c r="G460" s="204">
        <f>Entrada_de_Dados_2!G428</f>
        <v>0</v>
      </c>
      <c r="H460" s="204">
        <f>Entrada_de_Dados_2!H428</f>
        <v>0</v>
      </c>
      <c r="I460" s="204">
        <f t="shared" si="22"/>
        <v>0</v>
      </c>
    </row>
    <row r="461" spans="1:9" ht="14.25">
      <c r="A461" s="202">
        <v>9</v>
      </c>
      <c r="B461" s="203">
        <f t="shared" si="23"/>
        <v>0</v>
      </c>
      <c r="C461" s="199">
        <v>28</v>
      </c>
      <c r="D461" s="203">
        <f>Entrada_de_Dados_2!D429</f>
        <v>0</v>
      </c>
      <c r="E461" s="203">
        <f>Entrada_de_Dados_2!E429</f>
        <v>0</v>
      </c>
      <c r="F461" s="199">
        <f>Entrada_de_Dados_2!F429</f>
        <v>0</v>
      </c>
      <c r="G461" s="204">
        <f>Entrada_de_Dados_2!G429</f>
        <v>0</v>
      </c>
      <c r="H461" s="204">
        <f>Entrada_de_Dados_2!H429</f>
        <v>0</v>
      </c>
      <c r="I461" s="204">
        <f t="shared" si="22"/>
        <v>0</v>
      </c>
    </row>
    <row r="462" spans="1:9" ht="14.25">
      <c r="A462" s="202">
        <v>9</v>
      </c>
      <c r="B462" s="203">
        <f t="shared" si="23"/>
        <v>0</v>
      </c>
      <c r="C462" s="199">
        <v>29</v>
      </c>
      <c r="D462" s="203">
        <f>Entrada_de_Dados_2!D430</f>
        <v>0</v>
      </c>
      <c r="E462" s="203">
        <f>Entrada_de_Dados_2!E430</f>
        <v>0</v>
      </c>
      <c r="F462" s="199">
        <f>Entrada_de_Dados_2!F430</f>
        <v>0</v>
      </c>
      <c r="G462" s="204">
        <f>Entrada_de_Dados_2!G430</f>
        <v>0</v>
      </c>
      <c r="H462" s="204">
        <f>Entrada_de_Dados_2!H430</f>
        <v>0</v>
      </c>
      <c r="I462" s="204">
        <f t="shared" si="22"/>
        <v>0</v>
      </c>
    </row>
    <row r="463" spans="1:9" ht="14.25">
      <c r="A463" s="202">
        <v>9</v>
      </c>
      <c r="B463" s="203">
        <f t="shared" si="23"/>
        <v>0</v>
      </c>
      <c r="C463" s="199">
        <v>30</v>
      </c>
      <c r="D463" s="203">
        <f>Entrada_de_Dados_2!D431</f>
        <v>0</v>
      </c>
      <c r="E463" s="203">
        <f>Entrada_de_Dados_2!E431</f>
        <v>0</v>
      </c>
      <c r="F463" s="199">
        <f>Entrada_de_Dados_2!F431</f>
        <v>0</v>
      </c>
      <c r="G463" s="204">
        <f>Entrada_de_Dados_2!G431</f>
        <v>0</v>
      </c>
      <c r="H463" s="204">
        <f>Entrada_de_Dados_2!H431</f>
        <v>0</v>
      </c>
      <c r="I463" s="204">
        <f t="shared" si="22"/>
        <v>0</v>
      </c>
    </row>
    <row r="464" spans="1:9" ht="14.25">
      <c r="A464" s="202">
        <v>9</v>
      </c>
      <c r="B464" s="203">
        <f t="shared" si="23"/>
        <v>0</v>
      </c>
      <c r="C464" s="199">
        <v>31</v>
      </c>
      <c r="D464" s="203">
        <f>Entrada_de_Dados_2!D432</f>
        <v>0</v>
      </c>
      <c r="E464" s="203">
        <f>Entrada_de_Dados_2!E432</f>
        <v>0</v>
      </c>
      <c r="F464" s="199">
        <f>Entrada_de_Dados_2!F432</f>
        <v>0</v>
      </c>
      <c r="G464" s="204">
        <f>Entrada_de_Dados_2!G432</f>
        <v>0</v>
      </c>
      <c r="H464" s="204">
        <f>Entrada_de_Dados_2!H432</f>
        <v>0</v>
      </c>
      <c r="I464" s="204">
        <f t="shared" si="22"/>
        <v>0</v>
      </c>
    </row>
    <row r="465" spans="1:9" ht="14.25">
      <c r="A465" s="202">
        <v>9</v>
      </c>
      <c r="B465" s="203">
        <f t="shared" si="23"/>
        <v>0</v>
      </c>
      <c r="C465" s="199">
        <v>32</v>
      </c>
      <c r="D465" s="203">
        <f>Entrada_de_Dados_2!D433</f>
        <v>0</v>
      </c>
      <c r="E465" s="203">
        <f>Entrada_de_Dados_2!E433</f>
        <v>0</v>
      </c>
      <c r="F465" s="199">
        <f>Entrada_de_Dados_2!F433</f>
        <v>0</v>
      </c>
      <c r="G465" s="204">
        <f>Entrada_de_Dados_2!G433</f>
        <v>0</v>
      </c>
      <c r="H465" s="204">
        <f>Entrada_de_Dados_2!H433</f>
        <v>0</v>
      </c>
      <c r="I465" s="204">
        <f t="shared" si="22"/>
        <v>0</v>
      </c>
    </row>
    <row r="466" spans="1:9" ht="14.25">
      <c r="A466" s="202">
        <v>9</v>
      </c>
      <c r="B466" s="203">
        <f t="shared" si="23"/>
        <v>0</v>
      </c>
      <c r="C466" s="199">
        <v>33</v>
      </c>
      <c r="D466" s="203">
        <f>Entrada_de_Dados_2!D434</f>
        <v>0</v>
      </c>
      <c r="E466" s="203">
        <f>Entrada_de_Dados_2!E434</f>
        <v>0</v>
      </c>
      <c r="F466" s="199">
        <f>Entrada_de_Dados_2!F434</f>
        <v>0</v>
      </c>
      <c r="G466" s="204">
        <f>Entrada_de_Dados_2!G434</f>
        <v>0</v>
      </c>
      <c r="H466" s="204">
        <f>Entrada_de_Dados_2!H434</f>
        <v>0</v>
      </c>
      <c r="I466" s="204">
        <f t="shared" si="22"/>
        <v>0</v>
      </c>
    </row>
    <row r="467" spans="1:9" ht="14.25">
      <c r="A467" s="202">
        <v>9</v>
      </c>
      <c r="B467" s="203">
        <f t="shared" si="23"/>
        <v>0</v>
      </c>
      <c r="C467" s="199">
        <v>34</v>
      </c>
      <c r="D467" s="203">
        <f>Entrada_de_Dados_2!D435</f>
        <v>0</v>
      </c>
      <c r="E467" s="203">
        <f>Entrada_de_Dados_2!E435</f>
        <v>0</v>
      </c>
      <c r="F467" s="199">
        <f>Entrada_de_Dados_2!F435</f>
        <v>0</v>
      </c>
      <c r="G467" s="204">
        <f>Entrada_de_Dados_2!G435</f>
        <v>0</v>
      </c>
      <c r="H467" s="204">
        <f>Entrada_de_Dados_2!H435</f>
        <v>0</v>
      </c>
      <c r="I467" s="204">
        <f t="shared" si="22"/>
        <v>0</v>
      </c>
    </row>
    <row r="468" spans="1:9" ht="14.25">
      <c r="A468" s="202">
        <v>9</v>
      </c>
      <c r="B468" s="203">
        <f t="shared" si="23"/>
        <v>0</v>
      </c>
      <c r="C468" s="199">
        <v>35</v>
      </c>
      <c r="D468" s="203">
        <f>Entrada_de_Dados_2!D436</f>
        <v>0</v>
      </c>
      <c r="E468" s="203">
        <f>Entrada_de_Dados_2!E436</f>
        <v>0</v>
      </c>
      <c r="F468" s="199">
        <f>Entrada_de_Dados_2!F436</f>
        <v>0</v>
      </c>
      <c r="G468" s="204">
        <f>Entrada_de_Dados_2!G436</f>
        <v>0</v>
      </c>
      <c r="H468" s="204">
        <f>Entrada_de_Dados_2!H436</f>
        <v>0</v>
      </c>
      <c r="I468" s="204">
        <f t="shared" si="22"/>
        <v>0</v>
      </c>
    </row>
    <row r="469" spans="1:9" ht="14.25">
      <c r="A469" s="202">
        <v>9</v>
      </c>
      <c r="B469" s="203">
        <f t="shared" si="23"/>
        <v>0</v>
      </c>
      <c r="C469" s="199">
        <v>36</v>
      </c>
      <c r="D469" s="203">
        <f>Entrada_de_Dados_2!D437</f>
        <v>0</v>
      </c>
      <c r="E469" s="203">
        <f>Entrada_de_Dados_2!E437</f>
        <v>0</v>
      </c>
      <c r="F469" s="199">
        <f>Entrada_de_Dados_2!F437</f>
        <v>0</v>
      </c>
      <c r="G469" s="204">
        <f>Entrada_de_Dados_2!G437</f>
        <v>0</v>
      </c>
      <c r="H469" s="204">
        <f>Entrada_de_Dados_2!H437</f>
        <v>0</v>
      </c>
      <c r="I469" s="204">
        <f t="shared" si="22"/>
        <v>0</v>
      </c>
    </row>
    <row r="470" spans="1:9" ht="14.25">
      <c r="A470" s="202">
        <v>9</v>
      </c>
      <c r="B470" s="203">
        <f t="shared" si="23"/>
        <v>0</v>
      </c>
      <c r="C470" s="199">
        <v>37</v>
      </c>
      <c r="D470" s="203">
        <f>Entrada_de_Dados_2!D438</f>
        <v>0</v>
      </c>
      <c r="E470" s="203">
        <f>Entrada_de_Dados_2!E438</f>
        <v>0</v>
      </c>
      <c r="F470" s="199">
        <f>Entrada_de_Dados_2!F438</f>
        <v>0</v>
      </c>
      <c r="G470" s="204">
        <f>Entrada_de_Dados_2!G438</f>
        <v>0</v>
      </c>
      <c r="H470" s="204">
        <f>Entrada_de_Dados_2!H438</f>
        <v>0</v>
      </c>
      <c r="I470" s="204">
        <f t="shared" si="22"/>
        <v>0</v>
      </c>
    </row>
    <row r="471" spans="1:9" ht="14.25">
      <c r="A471" s="202">
        <v>9</v>
      </c>
      <c r="B471" s="203">
        <f t="shared" si="23"/>
        <v>0</v>
      </c>
      <c r="C471" s="199">
        <v>38</v>
      </c>
      <c r="D471" s="203">
        <f>Entrada_de_Dados_2!D439</f>
        <v>0</v>
      </c>
      <c r="E471" s="203">
        <f>Entrada_de_Dados_2!E439</f>
        <v>0</v>
      </c>
      <c r="F471" s="199">
        <f>Entrada_de_Dados_2!F439</f>
        <v>0</v>
      </c>
      <c r="G471" s="204">
        <f>Entrada_de_Dados_2!G439</f>
        <v>0</v>
      </c>
      <c r="H471" s="204">
        <f>Entrada_de_Dados_2!H439</f>
        <v>0</v>
      </c>
      <c r="I471" s="204">
        <f t="shared" si="22"/>
        <v>0</v>
      </c>
    </row>
    <row r="472" spans="1:9" ht="14.25">
      <c r="A472" s="202">
        <v>9</v>
      </c>
      <c r="B472" s="203">
        <f t="shared" si="23"/>
        <v>0</v>
      </c>
      <c r="C472" s="199">
        <v>39</v>
      </c>
      <c r="D472" s="203">
        <f>Entrada_de_Dados_2!D440</f>
        <v>0</v>
      </c>
      <c r="E472" s="203">
        <f>Entrada_de_Dados_2!E440</f>
        <v>0</v>
      </c>
      <c r="F472" s="199">
        <f>Entrada_de_Dados_2!F440</f>
        <v>0</v>
      </c>
      <c r="G472" s="204">
        <f>Entrada_de_Dados_2!G440</f>
        <v>0</v>
      </c>
      <c r="H472" s="204">
        <f>Entrada_de_Dados_2!H440</f>
        <v>0</v>
      </c>
      <c r="I472" s="204">
        <f t="shared" si="22"/>
        <v>0</v>
      </c>
    </row>
    <row r="473" spans="1:9" ht="14.25">
      <c r="A473" s="202">
        <v>9</v>
      </c>
      <c r="B473" s="203">
        <f t="shared" si="23"/>
        <v>0</v>
      </c>
      <c r="C473" s="199">
        <v>40</v>
      </c>
      <c r="D473" s="203">
        <f>Entrada_de_Dados_2!D441</f>
        <v>0</v>
      </c>
      <c r="E473" s="203">
        <f>Entrada_de_Dados_2!E441</f>
        <v>0</v>
      </c>
      <c r="F473" s="199">
        <f>Entrada_de_Dados_2!F441</f>
        <v>0</v>
      </c>
      <c r="G473" s="204">
        <f>Entrada_de_Dados_2!G441</f>
        <v>0</v>
      </c>
      <c r="H473" s="204">
        <f>Entrada_de_Dados_2!H441</f>
        <v>0</v>
      </c>
      <c r="I473" s="204">
        <f t="shared" si="22"/>
        <v>0</v>
      </c>
    </row>
    <row r="474" spans="1:9" ht="14.25">
      <c r="A474" s="202">
        <v>9</v>
      </c>
      <c r="B474" s="203">
        <f t="shared" si="23"/>
        <v>0</v>
      </c>
      <c r="C474" s="199">
        <v>41</v>
      </c>
      <c r="D474" s="203">
        <f>Entrada_de_Dados_2!D442</f>
        <v>0</v>
      </c>
      <c r="E474" s="203">
        <f>Entrada_de_Dados_2!E442</f>
        <v>0</v>
      </c>
      <c r="F474" s="199">
        <f>Entrada_de_Dados_2!F442</f>
        <v>0</v>
      </c>
      <c r="G474" s="204">
        <f>Entrada_de_Dados_2!G442</f>
        <v>0</v>
      </c>
      <c r="H474" s="204">
        <f>Entrada_de_Dados_2!H442</f>
        <v>0</v>
      </c>
      <c r="I474" s="204">
        <f t="shared" si="22"/>
        <v>0</v>
      </c>
    </row>
    <row r="475" spans="1:9" ht="14.25">
      <c r="A475" s="202">
        <v>9</v>
      </c>
      <c r="B475" s="203">
        <f t="shared" si="23"/>
        <v>0</v>
      </c>
      <c r="C475" s="199">
        <v>42</v>
      </c>
      <c r="D475" s="203">
        <f>Entrada_de_Dados_2!D443</f>
        <v>0</v>
      </c>
      <c r="E475" s="203">
        <f>Entrada_de_Dados_2!E443</f>
        <v>0</v>
      </c>
      <c r="F475" s="199">
        <f>Entrada_de_Dados_2!F443</f>
        <v>0</v>
      </c>
      <c r="G475" s="204">
        <f>Entrada_de_Dados_2!G443</f>
        <v>0</v>
      </c>
      <c r="H475" s="204">
        <f>Entrada_de_Dados_2!H443</f>
        <v>0</v>
      </c>
      <c r="I475" s="204">
        <f t="shared" si="22"/>
        <v>0</v>
      </c>
    </row>
    <row r="476" spans="1:9" ht="14.25">
      <c r="A476" s="202">
        <v>9</v>
      </c>
      <c r="B476" s="203">
        <f t="shared" si="23"/>
        <v>0</v>
      </c>
      <c r="C476" s="199">
        <v>43</v>
      </c>
      <c r="D476" s="203">
        <f>Entrada_de_Dados_2!D444</f>
        <v>0</v>
      </c>
      <c r="E476" s="203">
        <f>Entrada_de_Dados_2!E444</f>
        <v>0</v>
      </c>
      <c r="F476" s="199">
        <f>Entrada_de_Dados_2!F444</f>
        <v>0</v>
      </c>
      <c r="G476" s="204">
        <f>Entrada_de_Dados_2!G444</f>
        <v>0</v>
      </c>
      <c r="H476" s="204">
        <f>Entrada_de_Dados_2!H444</f>
        <v>0</v>
      </c>
      <c r="I476" s="204">
        <f t="shared" si="22"/>
        <v>0</v>
      </c>
    </row>
    <row r="477" spans="1:9" ht="14.25">
      <c r="A477" s="202">
        <v>9</v>
      </c>
      <c r="B477" s="203">
        <f t="shared" si="23"/>
        <v>0</v>
      </c>
      <c r="C477" s="199">
        <v>44</v>
      </c>
      <c r="D477" s="203">
        <f>Entrada_de_Dados_2!D445</f>
        <v>0</v>
      </c>
      <c r="E477" s="203">
        <f>Entrada_de_Dados_2!E445</f>
        <v>0</v>
      </c>
      <c r="F477" s="199">
        <f>Entrada_de_Dados_2!F445</f>
        <v>0</v>
      </c>
      <c r="G477" s="204">
        <f>Entrada_de_Dados_2!G445</f>
        <v>0</v>
      </c>
      <c r="H477" s="204">
        <f>Entrada_de_Dados_2!H445</f>
        <v>0</v>
      </c>
      <c r="I477" s="204">
        <f t="shared" si="22"/>
        <v>0</v>
      </c>
    </row>
    <row r="478" spans="1:9" ht="14.25">
      <c r="A478" s="202">
        <v>9</v>
      </c>
      <c r="B478" s="203">
        <f t="shared" si="23"/>
        <v>0</v>
      </c>
      <c r="C478" s="199">
        <v>45</v>
      </c>
      <c r="D478" s="203">
        <f>Entrada_de_Dados_2!D446</f>
        <v>0</v>
      </c>
      <c r="E478" s="203">
        <f>Entrada_de_Dados_2!E446</f>
        <v>0</v>
      </c>
      <c r="F478" s="199">
        <f>Entrada_de_Dados_2!F446</f>
        <v>0</v>
      </c>
      <c r="G478" s="204">
        <f>Entrada_de_Dados_2!G446</f>
        <v>0</v>
      </c>
      <c r="H478" s="204">
        <f>Entrada_de_Dados_2!H446</f>
        <v>0</v>
      </c>
      <c r="I478" s="204">
        <f t="shared" si="22"/>
        <v>0</v>
      </c>
    </row>
    <row r="479" spans="1:9" ht="14.25">
      <c r="A479" s="202">
        <v>9</v>
      </c>
      <c r="B479" s="203">
        <f t="shared" si="23"/>
        <v>0</v>
      </c>
      <c r="C479" s="199">
        <v>46</v>
      </c>
      <c r="D479" s="203">
        <f>Entrada_de_Dados_2!D447</f>
        <v>0</v>
      </c>
      <c r="E479" s="203">
        <f>Entrada_de_Dados_2!E447</f>
        <v>0</v>
      </c>
      <c r="F479" s="199">
        <f>Entrada_de_Dados_2!F447</f>
        <v>0</v>
      </c>
      <c r="G479" s="204">
        <f>Entrada_de_Dados_2!G447</f>
        <v>0</v>
      </c>
      <c r="H479" s="204">
        <f>Entrada_de_Dados_2!H447</f>
        <v>0</v>
      </c>
      <c r="I479" s="204">
        <f t="shared" si="22"/>
        <v>0</v>
      </c>
    </row>
    <row r="480" spans="1:9" ht="14.25">
      <c r="A480" s="202">
        <v>9</v>
      </c>
      <c r="B480" s="203">
        <f t="shared" si="23"/>
        <v>0</v>
      </c>
      <c r="C480" s="199">
        <v>47</v>
      </c>
      <c r="D480" s="203">
        <f>Entrada_de_Dados_2!D448</f>
        <v>0</v>
      </c>
      <c r="E480" s="203">
        <f>Entrada_de_Dados_2!E448</f>
        <v>0</v>
      </c>
      <c r="F480" s="199">
        <f>Entrada_de_Dados_2!F448</f>
        <v>0</v>
      </c>
      <c r="G480" s="204">
        <f>Entrada_de_Dados_2!G448</f>
        <v>0</v>
      </c>
      <c r="H480" s="204">
        <f>Entrada_de_Dados_2!H448</f>
        <v>0</v>
      </c>
      <c r="I480" s="204">
        <f t="shared" si="22"/>
        <v>0</v>
      </c>
    </row>
    <row r="481" spans="1:9" ht="14.25">
      <c r="A481" s="202">
        <v>9</v>
      </c>
      <c r="B481" s="203">
        <f t="shared" si="23"/>
        <v>0</v>
      </c>
      <c r="C481" s="199">
        <v>48</v>
      </c>
      <c r="D481" s="203">
        <f>Entrada_de_Dados_2!D449</f>
        <v>0</v>
      </c>
      <c r="E481" s="203">
        <f>Entrada_de_Dados_2!E449</f>
        <v>0</v>
      </c>
      <c r="F481" s="199">
        <f>Entrada_de_Dados_2!F449</f>
        <v>0</v>
      </c>
      <c r="G481" s="204">
        <f>Entrada_de_Dados_2!G449</f>
        <v>0</v>
      </c>
      <c r="H481" s="204">
        <f>Entrada_de_Dados_2!H449</f>
        <v>0</v>
      </c>
      <c r="I481" s="204">
        <f t="shared" si="22"/>
        <v>0</v>
      </c>
    </row>
    <row r="482" spans="1:9" ht="14.25">
      <c r="A482" s="202">
        <v>9</v>
      </c>
      <c r="B482" s="203">
        <f t="shared" si="23"/>
        <v>0</v>
      </c>
      <c r="C482" s="199">
        <v>49</v>
      </c>
      <c r="D482" s="203">
        <f>Entrada_de_Dados_2!D450</f>
        <v>0</v>
      </c>
      <c r="E482" s="203">
        <f>Entrada_de_Dados_2!E450</f>
        <v>0</v>
      </c>
      <c r="F482" s="199">
        <f>Entrada_de_Dados_2!F450</f>
        <v>0</v>
      </c>
      <c r="G482" s="204">
        <f>Entrada_de_Dados_2!G450</f>
        <v>0</v>
      </c>
      <c r="H482" s="204">
        <f>Entrada_de_Dados_2!H450</f>
        <v>0</v>
      </c>
      <c r="I482" s="204">
        <f t="shared" si="22"/>
        <v>0</v>
      </c>
    </row>
    <row r="483" spans="1:9" ht="14.25">
      <c r="A483" s="202">
        <v>9</v>
      </c>
      <c r="B483" s="203">
        <f t="shared" si="23"/>
        <v>0</v>
      </c>
      <c r="C483" s="199">
        <v>50</v>
      </c>
      <c r="D483" s="203">
        <f>Entrada_de_Dados_2!D451</f>
        <v>0</v>
      </c>
      <c r="E483" s="203">
        <f>Entrada_de_Dados_2!E451</f>
        <v>0</v>
      </c>
      <c r="F483" s="213">
        <f>Entrada_de_Dados_2!F451</f>
        <v>0</v>
      </c>
      <c r="G483" s="219">
        <f>Entrada_de_Dados_2!G451</f>
        <v>0</v>
      </c>
      <c r="H483" s="219">
        <f>Entrada_de_Dados_2!H451</f>
        <v>0</v>
      </c>
      <c r="I483" s="219">
        <f t="shared" si="22"/>
        <v>0</v>
      </c>
    </row>
    <row r="484" spans="1:9" ht="14.25">
      <c r="A484" s="202"/>
      <c r="B484" s="203"/>
      <c r="F484" s="205" t="s">
        <v>17</v>
      </c>
      <c r="G484" s="206" t="e">
        <f>I484/I487</f>
        <v>#DIV/0!</v>
      </c>
      <c r="H484" s="205" t="s">
        <v>5</v>
      </c>
      <c r="I484" s="207">
        <f>SUMIF($F$434:$F$483,H484,$I$434:$I$483)</f>
        <v>0</v>
      </c>
    </row>
    <row r="485" spans="1:9" ht="14.25">
      <c r="A485" s="202"/>
      <c r="B485" s="203"/>
      <c r="F485" s="205" t="s">
        <v>18</v>
      </c>
      <c r="G485" s="206" t="e">
        <f>I485/I487</f>
        <v>#DIV/0!</v>
      </c>
      <c r="H485" s="205" t="s">
        <v>6</v>
      </c>
      <c r="I485" s="207">
        <f>SUMIF($F$434:$F$483,H485,$I$434:$I$483)</f>
        <v>0</v>
      </c>
    </row>
    <row r="486" spans="1:9" ht="14.25">
      <c r="A486" s="202"/>
      <c r="B486" s="203"/>
      <c r="F486" s="205" t="s">
        <v>19</v>
      </c>
      <c r="G486" s="206" t="e">
        <f>I486/I487</f>
        <v>#DIV/0!</v>
      </c>
      <c r="H486" s="205" t="s">
        <v>7</v>
      </c>
      <c r="I486" s="207">
        <f>SUMIF($F$434:$F$483,H486,$I$434:$I$483)</f>
        <v>0</v>
      </c>
    </row>
    <row r="487" spans="1:9" ht="14.25">
      <c r="A487" s="211"/>
      <c r="B487" s="212"/>
      <c r="C487" s="213"/>
      <c r="D487" s="214"/>
      <c r="E487" s="214"/>
      <c r="F487" s="215" t="s">
        <v>20</v>
      </c>
      <c r="G487" s="216" t="e">
        <f>SUM(G484:G486)</f>
        <v>#DIV/0!</v>
      </c>
      <c r="H487" s="215" t="s">
        <v>21</v>
      </c>
      <c r="I487" s="217">
        <f>SUM(I484:I486)</f>
        <v>0</v>
      </c>
    </row>
    <row r="488" spans="1:9" ht="14.25">
      <c r="A488" s="202">
        <v>10</v>
      </c>
      <c r="B488" s="203">
        <f>Entrada_de_Dados_2!B452</f>
        <v>0</v>
      </c>
      <c r="C488" s="199">
        <v>1</v>
      </c>
      <c r="D488" s="203">
        <f>Entrada_de_Dados_2!D452</f>
        <v>0</v>
      </c>
      <c r="E488" s="203">
        <f>Entrada_de_Dados_2!E452</f>
        <v>0</v>
      </c>
      <c r="F488" s="199">
        <f>Entrada_de_Dados_2!F452</f>
        <v>0</v>
      </c>
      <c r="G488" s="204">
        <f>Entrada_de_Dados_2!G452</f>
        <v>0</v>
      </c>
      <c r="H488" s="204">
        <f>Entrada_de_Dados_2!H452</f>
        <v>0</v>
      </c>
      <c r="I488" s="204">
        <f t="shared" ref="I488:I537" si="24">G488*H488</f>
        <v>0</v>
      </c>
    </row>
    <row r="489" spans="1:9" ht="14.25">
      <c r="A489" s="202">
        <v>10</v>
      </c>
      <c r="B489" s="203">
        <f>$B$488</f>
        <v>0</v>
      </c>
      <c r="C489" s="199">
        <v>2</v>
      </c>
      <c r="D489" s="203">
        <f>Entrada_de_Dados_2!D453</f>
        <v>0</v>
      </c>
      <c r="E489" s="203">
        <f>Entrada_de_Dados_2!E453</f>
        <v>0</v>
      </c>
      <c r="F489" s="199">
        <f>Entrada_de_Dados_2!F453</f>
        <v>0</v>
      </c>
      <c r="G489" s="204">
        <f>Entrada_de_Dados_2!G453</f>
        <v>0</v>
      </c>
      <c r="H489" s="204" t="e">
        <f>Entrada_de_Dados_2!H453</f>
        <v>#REF!</v>
      </c>
      <c r="I489" s="204" t="e">
        <f t="shared" si="24"/>
        <v>#REF!</v>
      </c>
    </row>
    <row r="490" spans="1:9" ht="14.25">
      <c r="A490" s="202">
        <v>10</v>
      </c>
      <c r="B490" s="203">
        <f t="shared" ref="B490:B537" si="25">$B$488</f>
        <v>0</v>
      </c>
      <c r="C490" s="199">
        <v>3</v>
      </c>
      <c r="D490" s="203">
        <f>Entrada_de_Dados_2!D454</f>
        <v>0</v>
      </c>
      <c r="E490" s="203">
        <f>Entrada_de_Dados_2!E454</f>
        <v>0</v>
      </c>
      <c r="F490" s="199">
        <f>Entrada_de_Dados_2!F454</f>
        <v>0</v>
      </c>
      <c r="G490" s="204">
        <f>Entrada_de_Dados_2!G454</f>
        <v>0</v>
      </c>
      <c r="H490" s="204" t="e">
        <f>Entrada_de_Dados_2!H454</f>
        <v>#REF!</v>
      </c>
      <c r="I490" s="204" t="e">
        <f t="shared" si="24"/>
        <v>#REF!</v>
      </c>
    </row>
    <row r="491" spans="1:9" ht="14.25">
      <c r="A491" s="202">
        <v>10</v>
      </c>
      <c r="B491" s="203">
        <f t="shared" si="25"/>
        <v>0</v>
      </c>
      <c r="C491" s="199">
        <v>4</v>
      </c>
      <c r="D491" s="203">
        <f>Entrada_de_Dados_2!D455</f>
        <v>0</v>
      </c>
      <c r="E491" s="203">
        <f>Entrada_de_Dados_2!E455</f>
        <v>0</v>
      </c>
      <c r="F491" s="199">
        <f>Entrada_de_Dados_2!F455</f>
        <v>0</v>
      </c>
      <c r="G491" s="204">
        <f>Entrada_de_Dados_2!G455</f>
        <v>0</v>
      </c>
      <c r="H491" s="204" t="e">
        <f>Entrada_de_Dados_2!H455</f>
        <v>#REF!</v>
      </c>
      <c r="I491" s="204" t="e">
        <f t="shared" si="24"/>
        <v>#REF!</v>
      </c>
    </row>
    <row r="492" spans="1:9" ht="14.25">
      <c r="A492" s="202">
        <v>10</v>
      </c>
      <c r="B492" s="203">
        <f t="shared" si="25"/>
        <v>0</v>
      </c>
      <c r="C492" s="199">
        <v>5</v>
      </c>
      <c r="D492" s="203">
        <f>Entrada_de_Dados_2!D456</f>
        <v>0</v>
      </c>
      <c r="E492" s="203">
        <f>Entrada_de_Dados_2!E456</f>
        <v>0</v>
      </c>
      <c r="F492" s="199">
        <f>Entrada_de_Dados_2!F456</f>
        <v>0</v>
      </c>
      <c r="G492" s="204">
        <f>Entrada_de_Dados_2!G456</f>
        <v>0</v>
      </c>
      <c r="H492" s="204" t="e">
        <f>Entrada_de_Dados_2!H456</f>
        <v>#REF!</v>
      </c>
      <c r="I492" s="204" t="e">
        <f t="shared" si="24"/>
        <v>#REF!</v>
      </c>
    </row>
    <row r="493" spans="1:9" ht="14.25">
      <c r="A493" s="202">
        <v>10</v>
      </c>
      <c r="B493" s="203">
        <f t="shared" si="25"/>
        <v>0</v>
      </c>
      <c r="C493" s="199">
        <v>6</v>
      </c>
      <c r="D493" s="203">
        <f>Entrada_de_Dados_2!D457</f>
        <v>0</v>
      </c>
      <c r="E493" s="203">
        <f>Entrada_de_Dados_2!E457</f>
        <v>0</v>
      </c>
      <c r="F493" s="199">
        <f>Entrada_de_Dados_2!F457</f>
        <v>0</v>
      </c>
      <c r="G493" s="204">
        <f>Entrada_de_Dados_2!G457</f>
        <v>0</v>
      </c>
      <c r="H493" s="204" t="e">
        <f>Entrada_de_Dados_2!H457</f>
        <v>#REF!</v>
      </c>
      <c r="I493" s="204" t="e">
        <f t="shared" si="24"/>
        <v>#REF!</v>
      </c>
    </row>
    <row r="494" spans="1:9" ht="14.25">
      <c r="A494" s="202">
        <v>10</v>
      </c>
      <c r="B494" s="203">
        <f t="shared" si="25"/>
        <v>0</v>
      </c>
      <c r="C494" s="199">
        <v>7</v>
      </c>
      <c r="D494" s="203">
        <f>Entrada_de_Dados_2!D458</f>
        <v>0</v>
      </c>
      <c r="E494" s="203">
        <f>Entrada_de_Dados_2!E458</f>
        <v>0</v>
      </c>
      <c r="F494" s="199">
        <f>Entrada_de_Dados_2!F458</f>
        <v>0</v>
      </c>
      <c r="G494" s="204">
        <f>Entrada_de_Dados_2!G458</f>
        <v>0</v>
      </c>
      <c r="H494" s="204" t="e">
        <f>Entrada_de_Dados_2!H458</f>
        <v>#REF!</v>
      </c>
      <c r="I494" s="204" t="e">
        <f t="shared" si="24"/>
        <v>#REF!</v>
      </c>
    </row>
    <row r="495" spans="1:9" ht="14.25">
      <c r="A495" s="202">
        <v>10</v>
      </c>
      <c r="B495" s="203">
        <f t="shared" si="25"/>
        <v>0</v>
      </c>
      <c r="C495" s="199">
        <v>8</v>
      </c>
      <c r="D495" s="203">
        <f>Entrada_de_Dados_2!D459</f>
        <v>0</v>
      </c>
      <c r="E495" s="203">
        <f>Entrada_de_Dados_2!E459</f>
        <v>0</v>
      </c>
      <c r="F495" s="199">
        <f>Entrada_de_Dados_2!F459</f>
        <v>0</v>
      </c>
      <c r="G495" s="204">
        <f>Entrada_de_Dados_2!G459</f>
        <v>0</v>
      </c>
      <c r="H495" s="204" t="e">
        <f>Entrada_de_Dados_2!H459</f>
        <v>#REF!</v>
      </c>
      <c r="I495" s="204" t="e">
        <f t="shared" si="24"/>
        <v>#REF!</v>
      </c>
    </row>
    <row r="496" spans="1:9" ht="14.25">
      <c r="A496" s="202">
        <v>10</v>
      </c>
      <c r="B496" s="203">
        <f t="shared" si="25"/>
        <v>0</v>
      </c>
      <c r="C496" s="199">
        <v>9</v>
      </c>
      <c r="D496" s="203">
        <f>Entrada_de_Dados_2!D460</f>
        <v>0</v>
      </c>
      <c r="E496" s="203">
        <f>Entrada_de_Dados_2!E460</f>
        <v>0</v>
      </c>
      <c r="F496" s="199">
        <f>Entrada_de_Dados_2!F460</f>
        <v>0</v>
      </c>
      <c r="G496" s="204">
        <f>Entrada_de_Dados_2!G460</f>
        <v>0</v>
      </c>
      <c r="H496" s="204" t="e">
        <f>Entrada_de_Dados_2!H460</f>
        <v>#REF!</v>
      </c>
      <c r="I496" s="204" t="e">
        <f t="shared" si="24"/>
        <v>#REF!</v>
      </c>
    </row>
    <row r="497" spans="1:9" ht="14.25">
      <c r="A497" s="202">
        <v>10</v>
      </c>
      <c r="B497" s="203">
        <f t="shared" si="25"/>
        <v>0</v>
      </c>
      <c r="C497" s="199">
        <v>10</v>
      </c>
      <c r="D497" s="203">
        <f>Entrada_de_Dados_2!D461</f>
        <v>0</v>
      </c>
      <c r="E497" s="203">
        <f>Entrada_de_Dados_2!E461</f>
        <v>0</v>
      </c>
      <c r="F497" s="199">
        <f>Entrada_de_Dados_2!F461</f>
        <v>0</v>
      </c>
      <c r="G497" s="204">
        <f>Entrada_de_Dados_2!G461</f>
        <v>0</v>
      </c>
      <c r="H497" s="204" t="e">
        <f>Entrada_de_Dados_2!H461</f>
        <v>#REF!</v>
      </c>
      <c r="I497" s="204" t="e">
        <f t="shared" si="24"/>
        <v>#REF!</v>
      </c>
    </row>
    <row r="498" spans="1:9" ht="14.25">
      <c r="A498" s="202">
        <v>10</v>
      </c>
      <c r="B498" s="203">
        <f t="shared" si="25"/>
        <v>0</v>
      </c>
      <c r="C498" s="199">
        <v>11</v>
      </c>
      <c r="D498" s="203">
        <f>Entrada_de_Dados_2!D462</f>
        <v>0</v>
      </c>
      <c r="E498" s="203">
        <f>Entrada_de_Dados_2!E462</f>
        <v>0</v>
      </c>
      <c r="F498" s="199">
        <f>Entrada_de_Dados_2!F462</f>
        <v>0</v>
      </c>
      <c r="G498" s="204">
        <f>Entrada_de_Dados_2!G462</f>
        <v>0</v>
      </c>
      <c r="H498" s="204" t="e">
        <f>Entrada_de_Dados_2!H462</f>
        <v>#REF!</v>
      </c>
      <c r="I498" s="204" t="e">
        <f t="shared" si="24"/>
        <v>#REF!</v>
      </c>
    </row>
    <row r="499" spans="1:9" ht="14.25">
      <c r="A499" s="202">
        <v>10</v>
      </c>
      <c r="B499" s="203">
        <f t="shared" si="25"/>
        <v>0</v>
      </c>
      <c r="C499" s="199">
        <v>12</v>
      </c>
      <c r="D499" s="203">
        <f>Entrada_de_Dados_2!D463</f>
        <v>0</v>
      </c>
      <c r="E499" s="203">
        <f>Entrada_de_Dados_2!E463</f>
        <v>0</v>
      </c>
      <c r="F499" s="199">
        <f>Entrada_de_Dados_2!F463</f>
        <v>0</v>
      </c>
      <c r="G499" s="204">
        <f>Entrada_de_Dados_2!G463</f>
        <v>0</v>
      </c>
      <c r="H499" s="204" t="e">
        <f>Entrada_de_Dados_2!H463</f>
        <v>#REF!</v>
      </c>
      <c r="I499" s="204" t="e">
        <f t="shared" si="24"/>
        <v>#REF!</v>
      </c>
    </row>
    <row r="500" spans="1:9" ht="14.25">
      <c r="A500" s="202">
        <v>10</v>
      </c>
      <c r="B500" s="203">
        <f t="shared" si="25"/>
        <v>0</v>
      </c>
      <c r="C500" s="199">
        <v>13</v>
      </c>
      <c r="D500" s="203">
        <f>Entrada_de_Dados_2!D464</f>
        <v>0</v>
      </c>
      <c r="E500" s="203">
        <f>Entrada_de_Dados_2!E464</f>
        <v>0</v>
      </c>
      <c r="F500" s="199">
        <f>Entrada_de_Dados_2!F464</f>
        <v>0</v>
      </c>
      <c r="G500" s="204">
        <f>Entrada_de_Dados_2!G464</f>
        <v>0</v>
      </c>
      <c r="H500" s="204" t="e">
        <f>Entrada_de_Dados_2!H464</f>
        <v>#REF!</v>
      </c>
      <c r="I500" s="204" t="e">
        <f t="shared" si="24"/>
        <v>#REF!</v>
      </c>
    </row>
    <row r="501" spans="1:9" ht="14.25">
      <c r="A501" s="202">
        <v>10</v>
      </c>
      <c r="B501" s="203">
        <f t="shared" si="25"/>
        <v>0</v>
      </c>
      <c r="C501" s="199">
        <v>14</v>
      </c>
      <c r="D501" s="203">
        <f>Entrada_de_Dados_2!D465</f>
        <v>0</v>
      </c>
      <c r="E501" s="203">
        <f>Entrada_de_Dados_2!E465</f>
        <v>0</v>
      </c>
      <c r="F501" s="199">
        <f>Entrada_de_Dados_2!F465</f>
        <v>0</v>
      </c>
      <c r="G501" s="204">
        <f>Entrada_de_Dados_2!G465</f>
        <v>0</v>
      </c>
      <c r="H501" s="204" t="e">
        <f>Entrada_de_Dados_2!H465</f>
        <v>#REF!</v>
      </c>
      <c r="I501" s="204" t="e">
        <f t="shared" si="24"/>
        <v>#REF!</v>
      </c>
    </row>
    <row r="502" spans="1:9" ht="14.25">
      <c r="A502" s="202">
        <v>10</v>
      </c>
      <c r="B502" s="203">
        <f t="shared" si="25"/>
        <v>0</v>
      </c>
      <c r="C502" s="199">
        <v>15</v>
      </c>
      <c r="D502" s="203">
        <f>Entrada_de_Dados_2!D466</f>
        <v>0</v>
      </c>
      <c r="E502" s="203">
        <f>Entrada_de_Dados_2!E466</f>
        <v>0</v>
      </c>
      <c r="F502" s="199">
        <f>Entrada_de_Dados_2!F466</f>
        <v>0</v>
      </c>
      <c r="G502" s="204">
        <f>Entrada_de_Dados_2!G466</f>
        <v>0</v>
      </c>
      <c r="H502" s="204" t="e">
        <f>Entrada_de_Dados_2!H466</f>
        <v>#REF!</v>
      </c>
      <c r="I502" s="204" t="e">
        <f t="shared" si="24"/>
        <v>#REF!</v>
      </c>
    </row>
    <row r="503" spans="1:9" ht="14.25">
      <c r="A503" s="202">
        <v>10</v>
      </c>
      <c r="B503" s="203">
        <f t="shared" si="25"/>
        <v>0</v>
      </c>
      <c r="C503" s="199">
        <v>16</v>
      </c>
      <c r="D503" s="203">
        <f>Entrada_de_Dados_2!D467</f>
        <v>0</v>
      </c>
      <c r="E503" s="203">
        <f>Entrada_de_Dados_2!E467</f>
        <v>0</v>
      </c>
      <c r="F503" s="199">
        <f>Entrada_de_Dados_2!F467</f>
        <v>0</v>
      </c>
      <c r="G503" s="204">
        <f>Entrada_de_Dados_2!G467</f>
        <v>0</v>
      </c>
      <c r="H503" s="204" t="e">
        <f>Entrada_de_Dados_2!H467</f>
        <v>#REF!</v>
      </c>
      <c r="I503" s="204" t="e">
        <f t="shared" si="24"/>
        <v>#REF!</v>
      </c>
    </row>
    <row r="504" spans="1:9" ht="14.25">
      <c r="A504" s="202">
        <v>10</v>
      </c>
      <c r="B504" s="203">
        <f t="shared" si="25"/>
        <v>0</v>
      </c>
      <c r="C504" s="199">
        <v>17</v>
      </c>
      <c r="D504" s="203">
        <f>Entrada_de_Dados_2!D468</f>
        <v>0</v>
      </c>
      <c r="E504" s="203">
        <f>Entrada_de_Dados_2!E468</f>
        <v>0</v>
      </c>
      <c r="F504" s="199">
        <f>Entrada_de_Dados_2!F468</f>
        <v>0</v>
      </c>
      <c r="G504" s="204">
        <f>Entrada_de_Dados_2!G468</f>
        <v>0</v>
      </c>
      <c r="H504" s="204" t="e">
        <f>Entrada_de_Dados_2!H468</f>
        <v>#REF!</v>
      </c>
      <c r="I504" s="204" t="e">
        <f t="shared" si="24"/>
        <v>#REF!</v>
      </c>
    </row>
    <row r="505" spans="1:9" ht="14.25">
      <c r="A505" s="202">
        <v>10</v>
      </c>
      <c r="B505" s="203">
        <f t="shared" si="25"/>
        <v>0</v>
      </c>
      <c r="C505" s="199">
        <v>18</v>
      </c>
      <c r="D505" s="203">
        <f>Entrada_de_Dados_2!D469</f>
        <v>0</v>
      </c>
      <c r="E505" s="203">
        <f>Entrada_de_Dados_2!E469</f>
        <v>0</v>
      </c>
      <c r="F505" s="199">
        <f>Entrada_de_Dados_2!F469</f>
        <v>0</v>
      </c>
      <c r="G505" s="204">
        <f>Entrada_de_Dados_2!G469</f>
        <v>0</v>
      </c>
      <c r="H505" s="204" t="e">
        <f>Entrada_de_Dados_2!H469</f>
        <v>#REF!</v>
      </c>
      <c r="I505" s="204" t="e">
        <f t="shared" si="24"/>
        <v>#REF!</v>
      </c>
    </row>
    <row r="506" spans="1:9" ht="14.25">
      <c r="A506" s="202">
        <v>10</v>
      </c>
      <c r="B506" s="203">
        <f t="shared" si="25"/>
        <v>0</v>
      </c>
      <c r="C506" s="199">
        <v>19</v>
      </c>
      <c r="D506" s="203">
        <f>Entrada_de_Dados_2!D470</f>
        <v>0</v>
      </c>
      <c r="E506" s="203">
        <f>Entrada_de_Dados_2!E470</f>
        <v>0</v>
      </c>
      <c r="F506" s="199">
        <f>Entrada_de_Dados_2!F470</f>
        <v>0</v>
      </c>
      <c r="G506" s="204">
        <f>Entrada_de_Dados_2!G470</f>
        <v>0</v>
      </c>
      <c r="H506" s="204" t="e">
        <f>Entrada_de_Dados_2!H470</f>
        <v>#REF!</v>
      </c>
      <c r="I506" s="204" t="e">
        <f t="shared" si="24"/>
        <v>#REF!</v>
      </c>
    </row>
    <row r="507" spans="1:9" ht="14.25">
      <c r="A507" s="202">
        <v>10</v>
      </c>
      <c r="B507" s="203">
        <f t="shared" si="25"/>
        <v>0</v>
      </c>
      <c r="C507" s="199">
        <v>20</v>
      </c>
      <c r="D507" s="203">
        <f>Entrada_de_Dados_2!D471</f>
        <v>0</v>
      </c>
      <c r="E507" s="203">
        <f>Entrada_de_Dados_2!E471</f>
        <v>0</v>
      </c>
      <c r="F507" s="199">
        <f>Entrada_de_Dados_2!F471</f>
        <v>0</v>
      </c>
      <c r="G507" s="204">
        <f>Entrada_de_Dados_2!G471</f>
        <v>0</v>
      </c>
      <c r="H507" s="204" t="e">
        <f>Entrada_de_Dados_2!H471</f>
        <v>#REF!</v>
      </c>
      <c r="I507" s="204" t="e">
        <f t="shared" si="24"/>
        <v>#REF!</v>
      </c>
    </row>
    <row r="508" spans="1:9" ht="14.25">
      <c r="A508" s="202">
        <v>10</v>
      </c>
      <c r="B508" s="203">
        <f t="shared" si="25"/>
        <v>0</v>
      </c>
      <c r="C508" s="199">
        <v>21</v>
      </c>
      <c r="D508" s="203">
        <f>Entrada_de_Dados_2!D472</f>
        <v>0</v>
      </c>
      <c r="E508" s="203">
        <f>Entrada_de_Dados_2!E472</f>
        <v>0</v>
      </c>
      <c r="F508" s="199">
        <f>Entrada_de_Dados_2!F472</f>
        <v>0</v>
      </c>
      <c r="G508" s="204">
        <f>Entrada_de_Dados_2!G472</f>
        <v>0</v>
      </c>
      <c r="H508" s="204" t="e">
        <f>Entrada_de_Dados_2!H472</f>
        <v>#REF!</v>
      </c>
      <c r="I508" s="204" t="e">
        <f t="shared" si="24"/>
        <v>#REF!</v>
      </c>
    </row>
    <row r="509" spans="1:9" ht="14.25">
      <c r="A509" s="202">
        <v>10</v>
      </c>
      <c r="B509" s="203">
        <f t="shared" si="25"/>
        <v>0</v>
      </c>
      <c r="C509" s="199">
        <v>22</v>
      </c>
      <c r="D509" s="203">
        <f>Entrada_de_Dados_2!D473</f>
        <v>0</v>
      </c>
      <c r="E509" s="203">
        <f>Entrada_de_Dados_2!E473</f>
        <v>0</v>
      </c>
      <c r="F509" s="199">
        <f>Entrada_de_Dados_2!F473</f>
        <v>0</v>
      </c>
      <c r="G509" s="204">
        <f>Entrada_de_Dados_2!G473</f>
        <v>0</v>
      </c>
      <c r="H509" s="204" t="e">
        <f>Entrada_de_Dados_2!H473</f>
        <v>#REF!</v>
      </c>
      <c r="I509" s="204" t="e">
        <f t="shared" si="24"/>
        <v>#REF!</v>
      </c>
    </row>
    <row r="510" spans="1:9" ht="14.25">
      <c r="A510" s="202">
        <v>10</v>
      </c>
      <c r="B510" s="203">
        <f t="shared" si="25"/>
        <v>0</v>
      </c>
      <c r="C510" s="199">
        <v>23</v>
      </c>
      <c r="D510" s="203">
        <f>Entrada_de_Dados_2!D474</f>
        <v>0</v>
      </c>
      <c r="E510" s="203">
        <f>Entrada_de_Dados_2!E474</f>
        <v>0</v>
      </c>
      <c r="F510" s="199">
        <f>Entrada_de_Dados_2!F474</f>
        <v>0</v>
      </c>
      <c r="G510" s="204">
        <f>Entrada_de_Dados_2!G474</f>
        <v>0</v>
      </c>
      <c r="H510" s="204" t="e">
        <f>Entrada_de_Dados_2!H474</f>
        <v>#REF!</v>
      </c>
      <c r="I510" s="204" t="e">
        <f t="shared" si="24"/>
        <v>#REF!</v>
      </c>
    </row>
    <row r="511" spans="1:9" ht="14.25">
      <c r="A511" s="202">
        <v>10</v>
      </c>
      <c r="B511" s="203">
        <f t="shared" si="25"/>
        <v>0</v>
      </c>
      <c r="C511" s="199">
        <v>24</v>
      </c>
      <c r="D511" s="203">
        <f>Entrada_de_Dados_2!D475</f>
        <v>0</v>
      </c>
      <c r="E511" s="203">
        <f>Entrada_de_Dados_2!E475</f>
        <v>0</v>
      </c>
      <c r="F511" s="199">
        <f>Entrada_de_Dados_2!F475</f>
        <v>0</v>
      </c>
      <c r="G511" s="204">
        <f>Entrada_de_Dados_2!G475</f>
        <v>0</v>
      </c>
      <c r="H511" s="204" t="e">
        <f>Entrada_de_Dados_2!H475</f>
        <v>#REF!</v>
      </c>
      <c r="I511" s="204" t="e">
        <f t="shared" si="24"/>
        <v>#REF!</v>
      </c>
    </row>
    <row r="512" spans="1:9" ht="14.25">
      <c r="A512" s="202">
        <v>10</v>
      </c>
      <c r="B512" s="203">
        <f t="shared" si="25"/>
        <v>0</v>
      </c>
      <c r="C512" s="199">
        <v>25</v>
      </c>
      <c r="D512" s="203">
        <f>Entrada_de_Dados_2!D476</f>
        <v>0</v>
      </c>
      <c r="E512" s="203">
        <f>Entrada_de_Dados_2!E476</f>
        <v>0</v>
      </c>
      <c r="F512" s="199">
        <f>Entrada_de_Dados_2!F476</f>
        <v>0</v>
      </c>
      <c r="G512" s="204">
        <f>Entrada_de_Dados_2!G476</f>
        <v>0</v>
      </c>
      <c r="H512" s="204" t="e">
        <f>Entrada_de_Dados_2!H476</f>
        <v>#REF!</v>
      </c>
      <c r="I512" s="204" t="e">
        <f t="shared" si="24"/>
        <v>#REF!</v>
      </c>
    </row>
    <row r="513" spans="1:9" ht="14.25">
      <c r="A513" s="202">
        <v>10</v>
      </c>
      <c r="B513" s="203">
        <f t="shared" si="25"/>
        <v>0</v>
      </c>
      <c r="C513" s="199">
        <v>26</v>
      </c>
      <c r="D513" s="203">
        <f>Entrada_de_Dados_2!D477</f>
        <v>0</v>
      </c>
      <c r="E513" s="203">
        <f>Entrada_de_Dados_2!E477</f>
        <v>0</v>
      </c>
      <c r="F513" s="199">
        <f>Entrada_de_Dados_2!F477</f>
        <v>0</v>
      </c>
      <c r="G513" s="204">
        <f>Entrada_de_Dados_2!G477</f>
        <v>0</v>
      </c>
      <c r="H513" s="204" t="e">
        <f>Entrada_de_Dados_2!H477</f>
        <v>#REF!</v>
      </c>
      <c r="I513" s="204" t="e">
        <f t="shared" si="24"/>
        <v>#REF!</v>
      </c>
    </row>
    <row r="514" spans="1:9" ht="14.25">
      <c r="A514" s="202">
        <v>10</v>
      </c>
      <c r="B514" s="203">
        <f t="shared" si="25"/>
        <v>0</v>
      </c>
      <c r="C514" s="199">
        <v>27</v>
      </c>
      <c r="D514" s="203">
        <f>Entrada_de_Dados_2!D478</f>
        <v>0</v>
      </c>
      <c r="E514" s="203">
        <f>Entrada_de_Dados_2!E478</f>
        <v>0</v>
      </c>
      <c r="F514" s="199">
        <f>Entrada_de_Dados_2!F478</f>
        <v>0</v>
      </c>
      <c r="G514" s="204">
        <f>Entrada_de_Dados_2!G478</f>
        <v>0</v>
      </c>
      <c r="H514" s="204" t="e">
        <f>Entrada_de_Dados_2!H478</f>
        <v>#REF!</v>
      </c>
      <c r="I514" s="204" t="e">
        <f t="shared" si="24"/>
        <v>#REF!</v>
      </c>
    </row>
    <row r="515" spans="1:9" ht="14.25">
      <c r="A515" s="202">
        <v>10</v>
      </c>
      <c r="B515" s="203">
        <f t="shared" si="25"/>
        <v>0</v>
      </c>
      <c r="C515" s="199">
        <v>28</v>
      </c>
      <c r="D515" s="203">
        <f>Entrada_de_Dados_2!D479</f>
        <v>0</v>
      </c>
      <c r="E515" s="203">
        <f>Entrada_de_Dados_2!E479</f>
        <v>0</v>
      </c>
      <c r="F515" s="199">
        <f>Entrada_de_Dados_2!F479</f>
        <v>0</v>
      </c>
      <c r="G515" s="204">
        <f>Entrada_de_Dados_2!G479</f>
        <v>0</v>
      </c>
      <c r="H515" s="204" t="e">
        <f>Entrada_de_Dados_2!H479</f>
        <v>#REF!</v>
      </c>
      <c r="I515" s="204" t="e">
        <f t="shared" si="24"/>
        <v>#REF!</v>
      </c>
    </row>
    <row r="516" spans="1:9" ht="14.25">
      <c r="A516" s="202">
        <v>10</v>
      </c>
      <c r="B516" s="203">
        <f t="shared" si="25"/>
        <v>0</v>
      </c>
      <c r="C516" s="199">
        <v>29</v>
      </c>
      <c r="D516" s="203">
        <f>Entrada_de_Dados_2!D480</f>
        <v>0</v>
      </c>
      <c r="E516" s="203">
        <f>Entrada_de_Dados_2!E480</f>
        <v>0</v>
      </c>
      <c r="F516" s="199">
        <f>Entrada_de_Dados_2!F480</f>
        <v>0</v>
      </c>
      <c r="G516" s="204">
        <f>Entrada_de_Dados_2!G480</f>
        <v>0</v>
      </c>
      <c r="H516" s="204" t="e">
        <f>Entrada_de_Dados_2!H480</f>
        <v>#REF!</v>
      </c>
      <c r="I516" s="204" t="e">
        <f t="shared" si="24"/>
        <v>#REF!</v>
      </c>
    </row>
    <row r="517" spans="1:9" ht="14.25">
      <c r="A517" s="202">
        <v>10</v>
      </c>
      <c r="B517" s="203">
        <f t="shared" si="25"/>
        <v>0</v>
      </c>
      <c r="C517" s="199">
        <v>30</v>
      </c>
      <c r="D517" s="203">
        <f>Entrada_de_Dados_2!D481</f>
        <v>0</v>
      </c>
      <c r="E517" s="203">
        <f>Entrada_de_Dados_2!E481</f>
        <v>0</v>
      </c>
      <c r="F517" s="199">
        <f>Entrada_de_Dados_2!F481</f>
        <v>0</v>
      </c>
      <c r="G517" s="204">
        <f>Entrada_de_Dados_2!G481</f>
        <v>0</v>
      </c>
      <c r="H517" s="204" t="e">
        <f>Entrada_de_Dados_2!H481</f>
        <v>#REF!</v>
      </c>
      <c r="I517" s="204" t="e">
        <f t="shared" si="24"/>
        <v>#REF!</v>
      </c>
    </row>
    <row r="518" spans="1:9" ht="14.25">
      <c r="A518" s="202">
        <v>10</v>
      </c>
      <c r="B518" s="203">
        <f t="shared" si="25"/>
        <v>0</v>
      </c>
      <c r="C518" s="199">
        <v>31</v>
      </c>
      <c r="D518" s="203">
        <f>Entrada_de_Dados_2!D482</f>
        <v>0</v>
      </c>
      <c r="E518" s="203">
        <f>Entrada_de_Dados_2!E482</f>
        <v>0</v>
      </c>
      <c r="F518" s="199">
        <f>Entrada_de_Dados_2!F482</f>
        <v>0</v>
      </c>
      <c r="G518" s="204">
        <f>Entrada_de_Dados_2!G482</f>
        <v>0</v>
      </c>
      <c r="H518" s="204" t="e">
        <f>Entrada_de_Dados_2!H482</f>
        <v>#REF!</v>
      </c>
      <c r="I518" s="204" t="e">
        <f t="shared" si="24"/>
        <v>#REF!</v>
      </c>
    </row>
    <row r="519" spans="1:9" ht="14.25">
      <c r="A519" s="202">
        <v>10</v>
      </c>
      <c r="B519" s="203">
        <f t="shared" si="25"/>
        <v>0</v>
      </c>
      <c r="C519" s="199">
        <v>32</v>
      </c>
      <c r="D519" s="203">
        <f>Entrada_de_Dados_2!D483</f>
        <v>0</v>
      </c>
      <c r="E519" s="203">
        <f>Entrada_de_Dados_2!E483</f>
        <v>0</v>
      </c>
      <c r="F519" s="199">
        <f>Entrada_de_Dados_2!F483</f>
        <v>0</v>
      </c>
      <c r="G519" s="204">
        <f>Entrada_de_Dados_2!G483</f>
        <v>0</v>
      </c>
      <c r="H519" s="204" t="e">
        <f>Entrada_de_Dados_2!H483</f>
        <v>#REF!</v>
      </c>
      <c r="I519" s="204" t="e">
        <f t="shared" si="24"/>
        <v>#REF!</v>
      </c>
    </row>
    <row r="520" spans="1:9" ht="14.25">
      <c r="A520" s="202">
        <v>10</v>
      </c>
      <c r="B520" s="203">
        <f t="shared" si="25"/>
        <v>0</v>
      </c>
      <c r="C520" s="199">
        <v>33</v>
      </c>
      <c r="D520" s="203">
        <f>Entrada_de_Dados_2!D484</f>
        <v>0</v>
      </c>
      <c r="E520" s="203">
        <f>Entrada_de_Dados_2!E484</f>
        <v>0</v>
      </c>
      <c r="F520" s="199">
        <f>Entrada_de_Dados_2!F484</f>
        <v>0</v>
      </c>
      <c r="G520" s="204">
        <f>Entrada_de_Dados_2!G484</f>
        <v>0</v>
      </c>
      <c r="H520" s="204" t="e">
        <f>Entrada_de_Dados_2!H484</f>
        <v>#REF!</v>
      </c>
      <c r="I520" s="204" t="e">
        <f t="shared" si="24"/>
        <v>#REF!</v>
      </c>
    </row>
    <row r="521" spans="1:9" ht="14.25">
      <c r="A521" s="202">
        <v>10</v>
      </c>
      <c r="B521" s="203">
        <f t="shared" si="25"/>
        <v>0</v>
      </c>
      <c r="C521" s="199">
        <v>34</v>
      </c>
      <c r="D521" s="203">
        <f>Entrada_de_Dados_2!D485</f>
        <v>0</v>
      </c>
      <c r="E521" s="203">
        <f>Entrada_de_Dados_2!E485</f>
        <v>0</v>
      </c>
      <c r="F521" s="199">
        <f>Entrada_de_Dados_2!F485</f>
        <v>0</v>
      </c>
      <c r="G521" s="204">
        <f>Entrada_de_Dados_2!G485</f>
        <v>0</v>
      </c>
      <c r="H521" s="204" t="e">
        <f>Entrada_de_Dados_2!H485</f>
        <v>#REF!</v>
      </c>
      <c r="I521" s="204" t="e">
        <f t="shared" si="24"/>
        <v>#REF!</v>
      </c>
    </row>
    <row r="522" spans="1:9" ht="14.25">
      <c r="A522" s="202">
        <v>10</v>
      </c>
      <c r="B522" s="203">
        <f t="shared" si="25"/>
        <v>0</v>
      </c>
      <c r="C522" s="199">
        <v>35</v>
      </c>
      <c r="D522" s="203">
        <f>Entrada_de_Dados_2!D486</f>
        <v>0</v>
      </c>
      <c r="E522" s="203">
        <f>Entrada_de_Dados_2!E486</f>
        <v>0</v>
      </c>
      <c r="F522" s="199">
        <f>Entrada_de_Dados_2!F486</f>
        <v>0</v>
      </c>
      <c r="G522" s="204">
        <f>Entrada_de_Dados_2!G486</f>
        <v>0</v>
      </c>
      <c r="H522" s="204" t="e">
        <f>Entrada_de_Dados_2!H486</f>
        <v>#REF!</v>
      </c>
      <c r="I522" s="204" t="e">
        <f t="shared" si="24"/>
        <v>#REF!</v>
      </c>
    </row>
    <row r="523" spans="1:9" ht="14.25">
      <c r="A523" s="202">
        <v>10</v>
      </c>
      <c r="B523" s="203">
        <f t="shared" si="25"/>
        <v>0</v>
      </c>
      <c r="C523" s="199">
        <v>36</v>
      </c>
      <c r="D523" s="203">
        <f>Entrada_de_Dados_2!D487</f>
        <v>0</v>
      </c>
      <c r="E523" s="203">
        <f>Entrada_de_Dados_2!E487</f>
        <v>0</v>
      </c>
      <c r="F523" s="199">
        <f>Entrada_de_Dados_2!F487</f>
        <v>0</v>
      </c>
      <c r="G523" s="204">
        <f>Entrada_de_Dados_2!G487</f>
        <v>0</v>
      </c>
      <c r="H523" s="204" t="e">
        <f>Entrada_de_Dados_2!H487</f>
        <v>#REF!</v>
      </c>
      <c r="I523" s="204" t="e">
        <f t="shared" si="24"/>
        <v>#REF!</v>
      </c>
    </row>
    <row r="524" spans="1:9" ht="14.25">
      <c r="A524" s="202">
        <v>10</v>
      </c>
      <c r="B524" s="203">
        <f t="shared" si="25"/>
        <v>0</v>
      </c>
      <c r="C524" s="199">
        <v>37</v>
      </c>
      <c r="D524" s="203">
        <f>Entrada_de_Dados_2!D488</f>
        <v>0</v>
      </c>
      <c r="E524" s="203">
        <f>Entrada_de_Dados_2!E488</f>
        <v>0</v>
      </c>
      <c r="F524" s="199">
        <f>Entrada_de_Dados_2!F488</f>
        <v>0</v>
      </c>
      <c r="G524" s="204">
        <f>Entrada_de_Dados_2!G488</f>
        <v>0</v>
      </c>
      <c r="H524" s="204" t="e">
        <f>Entrada_de_Dados_2!H488</f>
        <v>#REF!</v>
      </c>
      <c r="I524" s="204" t="e">
        <f t="shared" si="24"/>
        <v>#REF!</v>
      </c>
    </row>
    <row r="525" spans="1:9" ht="14.25">
      <c r="A525" s="202">
        <v>10</v>
      </c>
      <c r="B525" s="203">
        <f t="shared" si="25"/>
        <v>0</v>
      </c>
      <c r="C525" s="199">
        <v>38</v>
      </c>
      <c r="D525" s="203">
        <f>Entrada_de_Dados_2!D489</f>
        <v>0</v>
      </c>
      <c r="E525" s="203">
        <f>Entrada_de_Dados_2!E489</f>
        <v>0</v>
      </c>
      <c r="F525" s="199">
        <f>Entrada_de_Dados_2!F489</f>
        <v>0</v>
      </c>
      <c r="G525" s="204">
        <f>Entrada_de_Dados_2!G489</f>
        <v>0</v>
      </c>
      <c r="H525" s="204" t="e">
        <f>Entrada_de_Dados_2!H489</f>
        <v>#REF!</v>
      </c>
      <c r="I525" s="204" t="e">
        <f t="shared" si="24"/>
        <v>#REF!</v>
      </c>
    </row>
    <row r="526" spans="1:9" ht="14.25">
      <c r="A526" s="202">
        <v>10</v>
      </c>
      <c r="B526" s="203">
        <f t="shared" si="25"/>
        <v>0</v>
      </c>
      <c r="C526" s="199">
        <v>39</v>
      </c>
      <c r="D526" s="203">
        <f>Entrada_de_Dados_2!D490</f>
        <v>0</v>
      </c>
      <c r="E526" s="203">
        <f>Entrada_de_Dados_2!E490</f>
        <v>0</v>
      </c>
      <c r="F526" s="199">
        <f>Entrada_de_Dados_2!F490</f>
        <v>0</v>
      </c>
      <c r="G526" s="204">
        <f>Entrada_de_Dados_2!G490</f>
        <v>0</v>
      </c>
      <c r="H526" s="204" t="e">
        <f>Entrada_de_Dados_2!H490</f>
        <v>#REF!</v>
      </c>
      <c r="I526" s="204" t="e">
        <f t="shared" si="24"/>
        <v>#REF!</v>
      </c>
    </row>
    <row r="527" spans="1:9" ht="14.25">
      <c r="A527" s="202">
        <v>10</v>
      </c>
      <c r="B527" s="203">
        <f t="shared" si="25"/>
        <v>0</v>
      </c>
      <c r="C527" s="199">
        <v>40</v>
      </c>
      <c r="D527" s="203">
        <f>Entrada_de_Dados_2!D491</f>
        <v>0</v>
      </c>
      <c r="E527" s="203">
        <f>Entrada_de_Dados_2!E491</f>
        <v>0</v>
      </c>
      <c r="F527" s="199">
        <f>Entrada_de_Dados_2!F491</f>
        <v>0</v>
      </c>
      <c r="G527" s="204">
        <f>Entrada_de_Dados_2!G491</f>
        <v>0</v>
      </c>
      <c r="H527" s="204" t="e">
        <f>Entrada_de_Dados_2!H491</f>
        <v>#REF!</v>
      </c>
      <c r="I527" s="204" t="e">
        <f t="shared" si="24"/>
        <v>#REF!</v>
      </c>
    </row>
    <row r="528" spans="1:9" ht="14.25">
      <c r="A528" s="202">
        <v>10</v>
      </c>
      <c r="B528" s="203">
        <f t="shared" si="25"/>
        <v>0</v>
      </c>
      <c r="C528" s="199">
        <v>41</v>
      </c>
      <c r="D528" s="203">
        <f>Entrada_de_Dados_2!D492</f>
        <v>0</v>
      </c>
      <c r="E528" s="203">
        <f>Entrada_de_Dados_2!E492</f>
        <v>0</v>
      </c>
      <c r="F528" s="199">
        <f>Entrada_de_Dados_2!F492</f>
        <v>0</v>
      </c>
      <c r="G528" s="204">
        <f>Entrada_de_Dados_2!G492</f>
        <v>0</v>
      </c>
      <c r="H528" s="204" t="e">
        <f>Entrada_de_Dados_2!H492</f>
        <v>#REF!</v>
      </c>
      <c r="I528" s="204" t="e">
        <f t="shared" si="24"/>
        <v>#REF!</v>
      </c>
    </row>
    <row r="529" spans="1:9" ht="14.25">
      <c r="A529" s="202">
        <v>10</v>
      </c>
      <c r="B529" s="203">
        <f t="shared" si="25"/>
        <v>0</v>
      </c>
      <c r="C529" s="199">
        <v>42</v>
      </c>
      <c r="D529" s="203">
        <f>Entrada_de_Dados_2!D493</f>
        <v>0</v>
      </c>
      <c r="E529" s="203">
        <f>Entrada_de_Dados_2!E493</f>
        <v>0</v>
      </c>
      <c r="F529" s="199">
        <f>Entrada_de_Dados_2!F493</f>
        <v>0</v>
      </c>
      <c r="G529" s="204">
        <f>Entrada_de_Dados_2!G493</f>
        <v>0</v>
      </c>
      <c r="H529" s="204" t="e">
        <f>Entrada_de_Dados_2!H493</f>
        <v>#REF!</v>
      </c>
      <c r="I529" s="204" t="e">
        <f t="shared" si="24"/>
        <v>#REF!</v>
      </c>
    </row>
    <row r="530" spans="1:9" ht="14.25">
      <c r="A530" s="202">
        <v>10</v>
      </c>
      <c r="B530" s="203">
        <f t="shared" si="25"/>
        <v>0</v>
      </c>
      <c r="C530" s="199">
        <v>43</v>
      </c>
      <c r="D530" s="203">
        <f>Entrada_de_Dados_2!D494</f>
        <v>0</v>
      </c>
      <c r="E530" s="203">
        <f>Entrada_de_Dados_2!E494</f>
        <v>0</v>
      </c>
      <c r="F530" s="199">
        <f>Entrada_de_Dados_2!F494</f>
        <v>0</v>
      </c>
      <c r="G530" s="204">
        <f>Entrada_de_Dados_2!G494</f>
        <v>0</v>
      </c>
      <c r="H530" s="204" t="e">
        <f>Entrada_de_Dados_2!H494</f>
        <v>#REF!</v>
      </c>
      <c r="I530" s="204" t="e">
        <f t="shared" si="24"/>
        <v>#REF!</v>
      </c>
    </row>
    <row r="531" spans="1:9" ht="14.25">
      <c r="A531" s="202">
        <v>10</v>
      </c>
      <c r="B531" s="203">
        <f t="shared" si="25"/>
        <v>0</v>
      </c>
      <c r="C531" s="199">
        <v>44</v>
      </c>
      <c r="D531" s="203">
        <f>Entrada_de_Dados_2!D495</f>
        <v>0</v>
      </c>
      <c r="E531" s="203">
        <f>Entrada_de_Dados_2!E495</f>
        <v>0</v>
      </c>
      <c r="F531" s="199">
        <f>Entrada_de_Dados_2!F495</f>
        <v>0</v>
      </c>
      <c r="G531" s="204">
        <f>Entrada_de_Dados_2!G495</f>
        <v>0</v>
      </c>
      <c r="H531" s="204" t="e">
        <f>Entrada_de_Dados_2!H495</f>
        <v>#REF!</v>
      </c>
      <c r="I531" s="204" t="e">
        <f t="shared" si="24"/>
        <v>#REF!</v>
      </c>
    </row>
    <row r="532" spans="1:9" ht="14.25">
      <c r="A532" s="202">
        <v>10</v>
      </c>
      <c r="B532" s="203">
        <f t="shared" si="25"/>
        <v>0</v>
      </c>
      <c r="C532" s="199">
        <v>45</v>
      </c>
      <c r="D532" s="203">
        <f>Entrada_de_Dados_2!D496</f>
        <v>0</v>
      </c>
      <c r="E532" s="203">
        <f>Entrada_de_Dados_2!E496</f>
        <v>0</v>
      </c>
      <c r="F532" s="199">
        <f>Entrada_de_Dados_2!F496</f>
        <v>0</v>
      </c>
      <c r="G532" s="204">
        <f>Entrada_de_Dados_2!G496</f>
        <v>0</v>
      </c>
      <c r="H532" s="204" t="e">
        <f>Entrada_de_Dados_2!H496</f>
        <v>#REF!</v>
      </c>
      <c r="I532" s="204" t="e">
        <f t="shared" si="24"/>
        <v>#REF!</v>
      </c>
    </row>
    <row r="533" spans="1:9" ht="14.25">
      <c r="A533" s="202">
        <v>10</v>
      </c>
      <c r="B533" s="203">
        <f t="shared" si="25"/>
        <v>0</v>
      </c>
      <c r="C533" s="199">
        <v>46</v>
      </c>
      <c r="D533" s="203">
        <f>Entrada_de_Dados_2!D497</f>
        <v>0</v>
      </c>
      <c r="E533" s="203">
        <f>Entrada_de_Dados_2!E497</f>
        <v>0</v>
      </c>
      <c r="F533" s="199">
        <f>Entrada_de_Dados_2!F497</f>
        <v>0</v>
      </c>
      <c r="G533" s="204">
        <f>Entrada_de_Dados_2!G497</f>
        <v>0</v>
      </c>
      <c r="H533" s="204" t="e">
        <f>Entrada_de_Dados_2!H497</f>
        <v>#REF!</v>
      </c>
      <c r="I533" s="204" t="e">
        <f t="shared" si="24"/>
        <v>#REF!</v>
      </c>
    </row>
    <row r="534" spans="1:9" ht="14.25">
      <c r="A534" s="202">
        <v>10</v>
      </c>
      <c r="B534" s="203">
        <f t="shared" si="25"/>
        <v>0</v>
      </c>
      <c r="C534" s="199">
        <v>47</v>
      </c>
      <c r="D534" s="203">
        <f>Entrada_de_Dados_2!D498</f>
        <v>0</v>
      </c>
      <c r="E534" s="203">
        <f>Entrada_de_Dados_2!E498</f>
        <v>0</v>
      </c>
      <c r="F534" s="199">
        <f>Entrada_de_Dados_2!F498</f>
        <v>0</v>
      </c>
      <c r="G534" s="204">
        <f>Entrada_de_Dados_2!G498</f>
        <v>0</v>
      </c>
      <c r="H534" s="204" t="e">
        <f>Entrada_de_Dados_2!H498</f>
        <v>#REF!</v>
      </c>
      <c r="I534" s="204" t="e">
        <f t="shared" si="24"/>
        <v>#REF!</v>
      </c>
    </row>
    <row r="535" spans="1:9" ht="14.25">
      <c r="A535" s="202">
        <v>10</v>
      </c>
      <c r="B535" s="203">
        <f t="shared" si="25"/>
        <v>0</v>
      </c>
      <c r="C535" s="199">
        <v>48</v>
      </c>
      <c r="D535" s="203">
        <f>Entrada_de_Dados_2!D499</f>
        <v>0</v>
      </c>
      <c r="E535" s="203">
        <f>Entrada_de_Dados_2!E499</f>
        <v>0</v>
      </c>
      <c r="F535" s="199">
        <f>Entrada_de_Dados_2!F499</f>
        <v>0</v>
      </c>
      <c r="G535" s="204">
        <f>Entrada_de_Dados_2!G499</f>
        <v>0</v>
      </c>
      <c r="H535" s="204" t="e">
        <f>Entrada_de_Dados_2!H499</f>
        <v>#REF!</v>
      </c>
      <c r="I535" s="204" t="e">
        <f t="shared" si="24"/>
        <v>#REF!</v>
      </c>
    </row>
    <row r="536" spans="1:9" ht="14.25">
      <c r="A536" s="202">
        <v>10</v>
      </c>
      <c r="B536" s="203">
        <f t="shared" si="25"/>
        <v>0</v>
      </c>
      <c r="C536" s="199">
        <v>49</v>
      </c>
      <c r="D536" s="203">
        <f>Entrada_de_Dados_2!D500</f>
        <v>0</v>
      </c>
      <c r="E536" s="203">
        <f>Entrada_de_Dados_2!E500</f>
        <v>0</v>
      </c>
      <c r="F536" s="199">
        <f>Entrada_de_Dados_2!F500</f>
        <v>0</v>
      </c>
      <c r="G536" s="204">
        <f>Entrada_de_Dados_2!G500</f>
        <v>0</v>
      </c>
      <c r="H536" s="204" t="e">
        <f>Entrada_de_Dados_2!H500</f>
        <v>#REF!</v>
      </c>
      <c r="I536" s="204" t="e">
        <f t="shared" si="24"/>
        <v>#REF!</v>
      </c>
    </row>
    <row r="537" spans="1:9" ht="14.25">
      <c r="A537" s="202">
        <v>10</v>
      </c>
      <c r="B537" s="203">
        <f t="shared" si="25"/>
        <v>0</v>
      </c>
      <c r="C537" s="199">
        <v>50</v>
      </c>
      <c r="D537" s="203">
        <f>Entrada_de_Dados_2!D501</f>
        <v>0</v>
      </c>
      <c r="E537" s="203">
        <f>Entrada_de_Dados_2!E501</f>
        <v>0</v>
      </c>
      <c r="F537" s="213">
        <f>Entrada_de_Dados_2!F501</f>
        <v>0</v>
      </c>
      <c r="G537" s="219">
        <f>Entrada_de_Dados_2!G501</f>
        <v>0</v>
      </c>
      <c r="H537" s="219" t="e">
        <f>Entrada_de_Dados_2!H501</f>
        <v>#REF!</v>
      </c>
      <c r="I537" s="219" t="e">
        <f t="shared" si="24"/>
        <v>#REF!</v>
      </c>
    </row>
    <row r="538" spans="1:9" ht="14.25">
      <c r="A538" s="202"/>
      <c r="B538" s="203"/>
      <c r="F538" s="205" t="s">
        <v>17</v>
      </c>
      <c r="G538" s="206" t="e">
        <f>I538/I541</f>
        <v>#DIV/0!</v>
      </c>
      <c r="H538" s="205" t="s">
        <v>5</v>
      </c>
      <c r="I538" s="207">
        <f>SUMIF($F$488:$F$537,H538,$I$488:$I$537)</f>
        <v>0</v>
      </c>
    </row>
    <row r="539" spans="1:9" ht="14.25">
      <c r="A539" s="202"/>
      <c r="B539" s="203"/>
      <c r="F539" s="205" t="s">
        <v>18</v>
      </c>
      <c r="G539" s="206" t="e">
        <f>I539/I541</f>
        <v>#DIV/0!</v>
      </c>
      <c r="H539" s="205" t="s">
        <v>6</v>
      </c>
      <c r="I539" s="207">
        <f>SUMIF($F$488:$F$537,H539,$I$488:$I$537)</f>
        <v>0</v>
      </c>
    </row>
    <row r="540" spans="1:9" ht="14.25">
      <c r="A540" s="202"/>
      <c r="B540" s="203"/>
      <c r="F540" s="205" t="s">
        <v>19</v>
      </c>
      <c r="G540" s="206" t="e">
        <f>I540/I541</f>
        <v>#DIV/0!</v>
      </c>
      <c r="H540" s="205" t="s">
        <v>7</v>
      </c>
      <c r="I540" s="207">
        <f>SUMIF($F$488:$F$537,H540,$I$488:$I$537)</f>
        <v>0</v>
      </c>
    </row>
    <row r="541" spans="1:9" ht="14.25">
      <c r="A541" s="211"/>
      <c r="B541" s="212"/>
      <c r="C541" s="213"/>
      <c r="D541" s="214"/>
      <c r="E541" s="214"/>
      <c r="F541" s="215" t="s">
        <v>20</v>
      </c>
      <c r="G541" s="216" t="e">
        <f>SUM(G538:G540)</f>
        <v>#DIV/0!</v>
      </c>
      <c r="H541" s="215" t="s">
        <v>21</v>
      </c>
      <c r="I541" s="217">
        <f>SUM(I538:I540)</f>
        <v>0</v>
      </c>
    </row>
    <row r="546" spans="1:9" ht="16.5">
      <c r="F546" s="214"/>
      <c r="G546" s="218" t="str">
        <f>DIAG!T1</f>
        <v>EU</v>
      </c>
      <c r="H546" s="214"/>
      <c r="I546" s="218">
        <f>DIAG!T2</f>
        <v>0</v>
      </c>
    </row>
    <row r="547" spans="1:9" ht="16.5" customHeight="1">
      <c r="B547" s="274" t="str">
        <f>CONCATENATE("Dados Carregados a partir do Arquivo de Dados: ",DIAG!AD1)</f>
        <v>Dados Carregados a partir do Arquivo de Dados: C:\Users\Henrique\Desktop\OPA.eMe</v>
      </c>
      <c r="C547" s="275"/>
      <c r="D547" s="276"/>
      <c r="E547" s="208" t="s">
        <v>35</v>
      </c>
      <c r="G547" s="209" t="e">
        <f>DIAG!W65</f>
        <v>#DIV/0!</v>
      </c>
      <c r="H547" s="209"/>
      <c r="I547" s="209" t="e">
        <f>DIAG!X65</f>
        <v>#DIV/0!</v>
      </c>
    </row>
    <row r="548" spans="1:9" ht="16.5">
      <c r="A548" s="222"/>
      <c r="B548" s="277"/>
      <c r="C548" s="278"/>
      <c r="D548" s="279"/>
      <c r="E548" s="208" t="s">
        <v>36</v>
      </c>
      <c r="G548" s="209" t="e">
        <f>DIAG!W66</f>
        <v>#DIV/0!</v>
      </c>
      <c r="I548" s="209" t="e">
        <f>DIAG!X66</f>
        <v>#DIV/0!</v>
      </c>
    </row>
    <row r="549" spans="1:9" ht="16.5">
      <c r="A549" s="222"/>
      <c r="B549" s="277"/>
      <c r="C549" s="278"/>
      <c r="D549" s="279"/>
      <c r="E549" s="208" t="s">
        <v>37</v>
      </c>
      <c r="G549" s="209" t="e">
        <f>DIAG!W67</f>
        <v>#DIV/0!</v>
      </c>
      <c r="I549" s="209" t="e">
        <f>DIAG!X67</f>
        <v>#DIV/0!</v>
      </c>
    </row>
    <row r="550" spans="1:9" ht="16.5">
      <c r="A550" s="222"/>
      <c r="B550" s="277"/>
      <c r="C550" s="278"/>
      <c r="D550" s="279"/>
      <c r="E550" s="208" t="s">
        <v>25</v>
      </c>
      <c r="G550" s="209" t="e">
        <f>DIAG!W68</f>
        <v>#DIV/0!</v>
      </c>
      <c r="I550" s="209" t="e">
        <f>DIAG!X68</f>
        <v>#DIV/0!</v>
      </c>
    </row>
    <row r="551" spans="1:9" ht="16.5">
      <c r="A551" s="222"/>
      <c r="B551" s="280"/>
      <c r="C551" s="281"/>
      <c r="D551" s="282"/>
      <c r="E551" s="208" t="s">
        <v>17</v>
      </c>
      <c r="G551" s="210" t="e">
        <f>DIAG!W69/100</f>
        <v>#DIV/0!</v>
      </c>
      <c r="I551" s="209" t="e">
        <f>DIAG!X69</f>
        <v>#DIV/0!</v>
      </c>
    </row>
    <row r="552" spans="1:9">
      <c r="G552" s="198">
        <f>DIAG!W70</f>
        <v>0</v>
      </c>
    </row>
    <row r="553" spans="1:9" ht="16.5">
      <c r="F553" s="214"/>
      <c r="G553" s="218">
        <f>DIAG!T3</f>
        <v>0</v>
      </c>
      <c r="H553" s="214"/>
      <c r="I553" s="218">
        <f>DIAG!T4</f>
        <v>0</v>
      </c>
    </row>
    <row r="554" spans="1:9" ht="16.5">
      <c r="E554" s="208" t="s">
        <v>35</v>
      </c>
      <c r="G554" s="209" t="e">
        <f>DIAG!Y65</f>
        <v>#DIV/0!</v>
      </c>
      <c r="H554" s="209"/>
      <c r="I554" s="209" t="e">
        <f>DIAG!Z65</f>
        <v>#DIV/0!</v>
      </c>
    </row>
    <row r="555" spans="1:9" ht="16.5">
      <c r="E555" s="208" t="s">
        <v>36</v>
      </c>
      <c r="G555" s="209" t="e">
        <f>DIAG!Y66</f>
        <v>#DIV/0!</v>
      </c>
      <c r="H555" s="209"/>
      <c r="I555" s="209" t="e">
        <f>DIAG!Z66</f>
        <v>#DIV/0!</v>
      </c>
    </row>
    <row r="556" spans="1:9" ht="16.5">
      <c r="E556" s="208" t="s">
        <v>37</v>
      </c>
      <c r="G556" s="209" t="e">
        <f>DIAG!Y67</f>
        <v>#DIV/0!</v>
      </c>
      <c r="H556" s="209"/>
      <c r="I556" s="209" t="e">
        <f>DIAG!Z67</f>
        <v>#DIV/0!</v>
      </c>
    </row>
    <row r="557" spans="1:9" ht="16.5">
      <c r="E557" s="208" t="s">
        <v>25</v>
      </c>
      <c r="G557" s="209" t="e">
        <f>DIAG!Y68</f>
        <v>#DIV/0!</v>
      </c>
      <c r="H557" s="209"/>
      <c r="I557" s="209" t="e">
        <f>DIAG!Z68</f>
        <v>#DIV/0!</v>
      </c>
    </row>
    <row r="558" spans="1:9" ht="16.5">
      <c r="E558" s="208" t="s">
        <v>17</v>
      </c>
      <c r="G558" s="210" t="e">
        <f>DIAG!Y69/100</f>
        <v>#DIV/0!</v>
      </c>
      <c r="H558" s="210"/>
      <c r="I558" s="210" t="e">
        <f>DIAG!Z69/100</f>
        <v>#DIV/0!</v>
      </c>
    </row>
    <row r="559" spans="1:9">
      <c r="G559" s="209">
        <f>DIAG!Y70</f>
        <v>0</v>
      </c>
    </row>
    <row r="560" spans="1:9" ht="16.5">
      <c r="F560" s="214"/>
      <c r="G560" s="218">
        <f>DIAG!T5</f>
        <v>0</v>
      </c>
      <c r="H560" s="214"/>
      <c r="I560" s="218">
        <f>DIAG!T6</f>
        <v>0</v>
      </c>
    </row>
    <row r="561" spans="5:9" ht="16.5">
      <c r="E561" s="208" t="s">
        <v>35</v>
      </c>
      <c r="G561" s="209" t="e">
        <f>DIAG!AA65</f>
        <v>#DIV/0!</v>
      </c>
      <c r="I561" s="209" t="e">
        <f>DIAG!AB65</f>
        <v>#DIV/0!</v>
      </c>
    </row>
    <row r="562" spans="5:9" ht="16.5">
      <c r="E562" s="208" t="s">
        <v>36</v>
      </c>
      <c r="G562" s="209" t="e">
        <f>DIAG!AA66</f>
        <v>#DIV/0!</v>
      </c>
      <c r="I562" s="209" t="e">
        <f>DIAG!AB66</f>
        <v>#DIV/0!</v>
      </c>
    </row>
    <row r="563" spans="5:9" ht="16.5">
      <c r="E563" s="208" t="s">
        <v>37</v>
      </c>
      <c r="G563" s="209" t="e">
        <f>DIAG!AA67</f>
        <v>#DIV/0!</v>
      </c>
      <c r="I563" s="209" t="e">
        <f>DIAG!AB67</f>
        <v>#DIV/0!</v>
      </c>
    </row>
    <row r="564" spans="5:9" ht="16.5">
      <c r="E564" s="208" t="s">
        <v>25</v>
      </c>
      <c r="G564" s="209" t="e">
        <f>DIAG!AA68</f>
        <v>#DIV/0!</v>
      </c>
      <c r="I564" s="209" t="e">
        <f>DIAG!AB68</f>
        <v>#DIV/0!</v>
      </c>
    </row>
    <row r="565" spans="5:9" ht="16.5">
      <c r="E565" s="208" t="s">
        <v>17</v>
      </c>
      <c r="G565" s="210" t="e">
        <f>DIAG!AA69/100</f>
        <v>#DIV/0!</v>
      </c>
      <c r="I565" s="210" t="e">
        <f>DIAG!AB69/100</f>
        <v>#DIV/0!</v>
      </c>
    </row>
    <row r="567" spans="5:9" ht="16.5">
      <c r="F567" s="214"/>
      <c r="G567" s="218">
        <f>DIAG!T7</f>
        <v>0</v>
      </c>
      <c r="H567" s="214"/>
      <c r="I567" s="218">
        <f>DIAG!T8</f>
        <v>0</v>
      </c>
    </row>
    <row r="568" spans="5:9" ht="16.5">
      <c r="E568" s="208" t="s">
        <v>35</v>
      </c>
      <c r="G568" s="209" t="e">
        <f>DIAG!AC65</f>
        <v>#DIV/0!</v>
      </c>
      <c r="I568" s="209" t="e">
        <f>DIAG!AD65</f>
        <v>#DIV/0!</v>
      </c>
    </row>
    <row r="569" spans="5:9" ht="16.5">
      <c r="E569" s="208" t="s">
        <v>36</v>
      </c>
      <c r="G569" s="209" t="e">
        <f>DIAG!AC66</f>
        <v>#DIV/0!</v>
      </c>
      <c r="I569" s="209" t="e">
        <f>DIAG!AD66</f>
        <v>#DIV/0!</v>
      </c>
    </row>
    <row r="570" spans="5:9" ht="16.5">
      <c r="E570" s="208" t="s">
        <v>37</v>
      </c>
      <c r="G570" s="209" t="e">
        <f>DIAG!AC67</f>
        <v>#DIV/0!</v>
      </c>
      <c r="I570" s="209" t="e">
        <f>DIAG!AD67</f>
        <v>#DIV/0!</v>
      </c>
    </row>
    <row r="571" spans="5:9" ht="16.5">
      <c r="E571" s="208" t="s">
        <v>25</v>
      </c>
      <c r="G571" s="209" t="e">
        <f>DIAG!AC68</f>
        <v>#DIV/0!</v>
      </c>
      <c r="I571" s="209" t="e">
        <f>DIAG!AD68</f>
        <v>#DIV/0!</v>
      </c>
    </row>
    <row r="572" spans="5:9" ht="16.5">
      <c r="E572" s="208" t="s">
        <v>17</v>
      </c>
      <c r="G572" s="210" t="e">
        <f>DIAG!AC69/100</f>
        <v>#DIV/0!</v>
      </c>
      <c r="I572" s="210" t="e">
        <f>DIAG!AD69/100</f>
        <v>#DIV/0!</v>
      </c>
    </row>
    <row r="574" spans="5:9" ht="16.5">
      <c r="F574" s="214"/>
      <c r="G574" s="218">
        <f>DIAG!T9</f>
        <v>0</v>
      </c>
      <c r="H574" s="214"/>
      <c r="I574" s="218">
        <f>DIAG!T10</f>
        <v>0</v>
      </c>
    </row>
    <row r="575" spans="5:9" ht="16.5">
      <c r="E575" s="208" t="s">
        <v>35</v>
      </c>
      <c r="G575" s="209" t="e">
        <f>DIAG!AE65</f>
        <v>#DIV/0!</v>
      </c>
      <c r="I575" s="209" t="e">
        <f>DIAG!AF65</f>
        <v>#DIV/0!</v>
      </c>
    </row>
    <row r="576" spans="5:9" ht="16.5">
      <c r="E576" s="208" t="s">
        <v>36</v>
      </c>
      <c r="G576" s="209" t="e">
        <f>DIAG!AE66</f>
        <v>#DIV/0!</v>
      </c>
      <c r="I576" s="209" t="e">
        <f>DIAG!AF66</f>
        <v>#DIV/0!</v>
      </c>
    </row>
    <row r="577" spans="5:9" ht="16.5">
      <c r="E577" s="208" t="s">
        <v>37</v>
      </c>
      <c r="G577" s="209" t="e">
        <f>DIAG!AE67</f>
        <v>#DIV/0!</v>
      </c>
      <c r="I577" s="209" t="e">
        <f>DIAG!AF67</f>
        <v>#DIV/0!</v>
      </c>
    </row>
    <row r="578" spans="5:9" ht="16.5">
      <c r="E578" s="208" t="s">
        <v>25</v>
      </c>
      <c r="G578" s="209" t="e">
        <f>DIAG!AE68</f>
        <v>#DIV/0!</v>
      </c>
      <c r="I578" s="209" t="e">
        <f>DIAG!AF68</f>
        <v>#DIV/0!</v>
      </c>
    </row>
    <row r="579" spans="5:9" ht="16.5">
      <c r="E579" s="208" t="s">
        <v>17</v>
      </c>
      <c r="G579" s="210" t="e">
        <f>DIAG!AE69/100</f>
        <v>#DIV/0!</v>
      </c>
      <c r="I579" s="210" t="e">
        <f>DIAG!AF69/100</f>
        <v>#DIV/0!</v>
      </c>
    </row>
  </sheetData>
  <mergeCells count="1">
    <mergeCell ref="B547:D55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K509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4.87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9" ht="14.25">
      <c r="A1" s="140" t="s">
        <v>39</v>
      </c>
      <c r="B1" s="139" t="s">
        <v>24</v>
      </c>
      <c r="C1" s="3" t="s">
        <v>10</v>
      </c>
      <c r="D1" s="4" t="s">
        <v>11</v>
      </c>
      <c r="E1" s="5" t="s">
        <v>12</v>
      </c>
      <c r="F1" s="6" t="s">
        <v>121</v>
      </c>
      <c r="G1" s="7" t="s">
        <v>122</v>
      </c>
      <c r="H1" s="8"/>
      <c r="I1" s="9"/>
    </row>
    <row r="2" spans="1:9" ht="14.25">
      <c r="A2" s="140">
        <v>1</v>
      </c>
      <c r="B2" s="139" t="s">
        <v>126</v>
      </c>
      <c r="C2" s="10">
        <v>1</v>
      </c>
      <c r="D2" s="11" t="s">
        <v>127</v>
      </c>
      <c r="E2" s="12" t="s">
        <v>124</v>
      </c>
      <c r="F2" s="13" t="s">
        <v>5</v>
      </c>
      <c r="G2" s="14">
        <v>85</v>
      </c>
      <c r="H2" s="15"/>
      <c r="I2" s="16"/>
    </row>
    <row r="3" spans="1:9" ht="14.25">
      <c r="A3" s="140">
        <v>1</v>
      </c>
      <c r="B3" s="139" t="s">
        <v>126</v>
      </c>
      <c r="C3" s="10">
        <v>2</v>
      </c>
      <c r="D3" s="11" t="s">
        <v>127</v>
      </c>
      <c r="E3" s="12" t="s">
        <v>124</v>
      </c>
      <c r="F3" s="13" t="s">
        <v>5</v>
      </c>
      <c r="G3" s="14">
        <v>54</v>
      </c>
      <c r="H3" s="15"/>
      <c r="I3" s="16"/>
    </row>
    <row r="4" spans="1:9" ht="14.25">
      <c r="A4" s="140">
        <v>1</v>
      </c>
      <c r="B4" s="139" t="s">
        <v>126</v>
      </c>
      <c r="C4" s="10">
        <v>3</v>
      </c>
      <c r="D4" s="11" t="s">
        <v>127</v>
      </c>
      <c r="E4" s="12" t="s">
        <v>124</v>
      </c>
      <c r="F4" s="13" t="s">
        <v>6</v>
      </c>
      <c r="G4" s="14">
        <v>65</v>
      </c>
      <c r="H4" s="15"/>
      <c r="I4" s="16"/>
    </row>
    <row r="5" spans="1:9" ht="14.25">
      <c r="A5" s="140">
        <v>1</v>
      </c>
      <c r="B5" s="139" t="s">
        <v>126</v>
      </c>
      <c r="C5" s="10">
        <v>4</v>
      </c>
      <c r="D5" s="11" t="s">
        <v>127</v>
      </c>
      <c r="E5" s="12" t="s">
        <v>124</v>
      </c>
      <c r="F5" s="13" t="s">
        <v>5</v>
      </c>
      <c r="G5" s="14">
        <v>15</v>
      </c>
      <c r="H5" s="15"/>
      <c r="I5" s="16"/>
    </row>
    <row r="6" spans="1:9" ht="14.25">
      <c r="A6" s="140">
        <v>1</v>
      </c>
      <c r="B6" s="139" t="s">
        <v>126</v>
      </c>
      <c r="C6" s="10">
        <v>5</v>
      </c>
      <c r="D6" s="11" t="s">
        <v>127</v>
      </c>
      <c r="E6" s="12" t="s">
        <v>124</v>
      </c>
      <c r="F6" s="13" t="s">
        <v>5</v>
      </c>
      <c r="G6" s="14">
        <v>24</v>
      </c>
      <c r="H6" s="15"/>
      <c r="I6" s="16"/>
    </row>
    <row r="7" spans="1:9" ht="14.25">
      <c r="A7" s="140">
        <v>1</v>
      </c>
      <c r="B7" s="139" t="s">
        <v>126</v>
      </c>
      <c r="C7" s="10">
        <v>6</v>
      </c>
      <c r="D7" s="11" t="s">
        <v>127</v>
      </c>
      <c r="E7" s="12" t="s">
        <v>124</v>
      </c>
      <c r="F7" s="13" t="s">
        <v>5</v>
      </c>
      <c r="G7" s="14">
        <v>75</v>
      </c>
      <c r="H7" s="15"/>
      <c r="I7" s="16"/>
    </row>
    <row r="8" spans="1:9" ht="14.25">
      <c r="A8" s="140">
        <v>1</v>
      </c>
      <c r="B8" s="139" t="s">
        <v>126</v>
      </c>
      <c r="C8" s="10">
        <v>7</v>
      </c>
      <c r="D8" s="11" t="s">
        <v>127</v>
      </c>
      <c r="E8" s="12" t="s">
        <v>124</v>
      </c>
      <c r="F8" s="13" t="s">
        <v>5</v>
      </c>
      <c r="G8" s="14">
        <v>863</v>
      </c>
      <c r="H8" s="15"/>
      <c r="I8" s="16"/>
    </row>
    <row r="9" spans="1:9" ht="14.25">
      <c r="A9" s="140">
        <v>1</v>
      </c>
      <c r="B9" s="139" t="s">
        <v>126</v>
      </c>
      <c r="C9" s="10">
        <v>8</v>
      </c>
      <c r="D9" s="11" t="s">
        <v>127</v>
      </c>
      <c r="E9" s="12" t="s">
        <v>124</v>
      </c>
      <c r="F9" s="13" t="s">
        <v>5</v>
      </c>
      <c r="G9" s="14">
        <v>12</v>
      </c>
      <c r="H9" s="15"/>
      <c r="I9" s="16"/>
    </row>
    <row r="10" spans="1:9" ht="14.25">
      <c r="A10" s="140">
        <v>1</v>
      </c>
      <c r="B10" s="139" t="s">
        <v>126</v>
      </c>
      <c r="C10" s="10">
        <v>9</v>
      </c>
      <c r="D10" s="11" t="s">
        <v>127</v>
      </c>
      <c r="E10" s="12" t="s">
        <v>124</v>
      </c>
      <c r="F10" s="13" t="s">
        <v>6</v>
      </c>
      <c r="G10" s="14">
        <v>7452</v>
      </c>
      <c r="H10" s="15"/>
      <c r="I10" s="16"/>
    </row>
    <row r="11" spans="1:9" ht="14.25">
      <c r="A11" s="140">
        <v>1</v>
      </c>
      <c r="B11" s="139" t="s">
        <v>126</v>
      </c>
      <c r="C11" s="10">
        <v>10</v>
      </c>
      <c r="D11" s="11" t="s">
        <v>127</v>
      </c>
      <c r="E11" s="12" t="s">
        <v>124</v>
      </c>
      <c r="F11" s="13" t="s">
        <v>5</v>
      </c>
      <c r="G11" s="14">
        <v>452</v>
      </c>
      <c r="H11" s="15"/>
      <c r="I11" s="16"/>
    </row>
    <row r="12" spans="1:9" ht="14.25">
      <c r="A12" s="140">
        <v>1</v>
      </c>
      <c r="B12" s="139" t="s">
        <v>126</v>
      </c>
      <c r="C12" s="10">
        <v>11</v>
      </c>
      <c r="D12" s="11" t="s">
        <v>127</v>
      </c>
      <c r="E12" s="12" t="s">
        <v>124</v>
      </c>
      <c r="F12" s="13" t="s">
        <v>5</v>
      </c>
      <c r="G12" s="14">
        <v>424</v>
      </c>
      <c r="H12" s="15"/>
      <c r="I12" s="16"/>
    </row>
    <row r="13" spans="1:9" ht="14.25">
      <c r="A13" s="140">
        <v>1</v>
      </c>
      <c r="B13" s="139" t="s">
        <v>126</v>
      </c>
      <c r="C13" s="10">
        <v>12</v>
      </c>
      <c r="D13" s="11" t="s">
        <v>127</v>
      </c>
      <c r="E13" s="12" t="s">
        <v>124</v>
      </c>
      <c r="F13" s="13" t="s">
        <v>5</v>
      </c>
      <c r="G13" s="14">
        <v>24</v>
      </c>
      <c r="H13" s="15"/>
      <c r="I13" s="16"/>
    </row>
    <row r="14" spans="1:9" ht="14.25">
      <c r="A14" s="140">
        <v>1</v>
      </c>
      <c r="B14" s="139" t="s">
        <v>126</v>
      </c>
      <c r="C14" s="10">
        <v>13</v>
      </c>
      <c r="D14" s="11" t="s">
        <v>127</v>
      </c>
      <c r="E14" s="12" t="s">
        <v>124</v>
      </c>
      <c r="F14" s="13" t="s">
        <v>5</v>
      </c>
      <c r="G14" s="14">
        <v>24</v>
      </c>
      <c r="H14" s="15"/>
      <c r="I14" s="16"/>
    </row>
    <row r="15" spans="1:9" ht="14.25">
      <c r="A15" s="140">
        <v>1</v>
      </c>
      <c r="B15" s="139" t="s">
        <v>126</v>
      </c>
      <c r="C15" s="10">
        <v>14</v>
      </c>
      <c r="D15" s="11" t="s">
        <v>127</v>
      </c>
      <c r="E15" s="12" t="s">
        <v>124</v>
      </c>
      <c r="F15" s="13" t="s">
        <v>5</v>
      </c>
      <c r="G15" s="14">
        <v>24</v>
      </c>
      <c r="H15" s="15"/>
      <c r="I15" s="16"/>
    </row>
    <row r="16" spans="1:9" ht="14.25">
      <c r="A16" s="140">
        <v>1</v>
      </c>
      <c r="B16" s="139" t="s">
        <v>126</v>
      </c>
      <c r="C16" s="10">
        <v>15</v>
      </c>
      <c r="D16" s="11" t="s">
        <v>127</v>
      </c>
      <c r="E16" s="12" t="s">
        <v>124</v>
      </c>
      <c r="F16" s="13" t="s">
        <v>6</v>
      </c>
      <c r="G16" s="14">
        <v>52</v>
      </c>
      <c r="H16" s="15"/>
      <c r="I16" s="16"/>
    </row>
    <row r="17" spans="1:11" ht="14.25">
      <c r="A17" s="140">
        <v>1</v>
      </c>
      <c r="B17" s="139" t="s">
        <v>126</v>
      </c>
      <c r="C17" s="10">
        <v>16</v>
      </c>
      <c r="D17" s="11" t="s">
        <v>127</v>
      </c>
      <c r="E17" s="12" t="s">
        <v>124</v>
      </c>
      <c r="F17" s="13" t="s">
        <v>7</v>
      </c>
      <c r="G17" s="14">
        <v>45</v>
      </c>
      <c r="H17" s="15"/>
      <c r="I17" s="16"/>
    </row>
    <row r="18" spans="1:11" ht="14.25">
      <c r="A18" s="140">
        <v>1</v>
      </c>
      <c r="B18" s="139" t="s">
        <v>126</v>
      </c>
      <c r="C18" s="10">
        <v>17</v>
      </c>
      <c r="D18" s="11" t="s">
        <v>127</v>
      </c>
      <c r="E18" s="12" t="s">
        <v>124</v>
      </c>
      <c r="F18" s="13" t="s">
        <v>7</v>
      </c>
      <c r="G18" s="14">
        <v>4</v>
      </c>
      <c r="H18" s="15"/>
      <c r="I18" s="16"/>
    </row>
    <row r="19" spans="1:11" ht="14.25">
      <c r="A19" s="140">
        <v>1</v>
      </c>
      <c r="B19" s="139" t="s">
        <v>126</v>
      </c>
      <c r="C19" s="10">
        <v>18</v>
      </c>
      <c r="D19" s="11" t="s">
        <v>127</v>
      </c>
      <c r="E19" s="12" t="s">
        <v>124</v>
      </c>
      <c r="F19" s="13" t="s">
        <v>7</v>
      </c>
      <c r="G19" s="14">
        <v>57</v>
      </c>
      <c r="H19" s="15"/>
      <c r="I19" s="16"/>
    </row>
    <row r="20" spans="1:11" ht="14.25">
      <c r="A20" s="140">
        <v>1</v>
      </c>
      <c r="B20" s="139" t="s">
        <v>126</v>
      </c>
      <c r="C20" s="10">
        <v>19</v>
      </c>
      <c r="D20" s="11" t="s">
        <v>127</v>
      </c>
      <c r="E20" s="12" t="s">
        <v>124</v>
      </c>
      <c r="F20" s="13" t="s">
        <v>5</v>
      </c>
      <c r="G20" s="14">
        <v>57</v>
      </c>
      <c r="H20" s="15"/>
      <c r="I20" s="16"/>
    </row>
    <row r="21" spans="1:11" ht="14.25">
      <c r="A21" s="140">
        <v>1</v>
      </c>
      <c r="B21" s="139" t="s">
        <v>126</v>
      </c>
      <c r="C21" s="10">
        <v>20</v>
      </c>
      <c r="D21" s="11" t="s">
        <v>127</v>
      </c>
      <c r="E21" s="12" t="s">
        <v>124</v>
      </c>
      <c r="F21" s="13" t="s">
        <v>5</v>
      </c>
      <c r="G21" s="14">
        <v>23</v>
      </c>
      <c r="H21" s="15"/>
      <c r="I21" s="16"/>
    </row>
    <row r="22" spans="1:11" ht="14.25">
      <c r="A22" s="140">
        <v>1</v>
      </c>
      <c r="B22" s="139" t="s">
        <v>126</v>
      </c>
      <c r="C22" s="10">
        <v>21</v>
      </c>
      <c r="D22" s="11" t="s">
        <v>127</v>
      </c>
      <c r="E22" s="12" t="s">
        <v>124</v>
      </c>
      <c r="F22" s="13" t="s">
        <v>6</v>
      </c>
      <c r="G22" s="14">
        <v>72465765</v>
      </c>
      <c r="H22" s="15"/>
      <c r="I22" s="16"/>
    </row>
    <row r="23" spans="1:11" ht="14.25">
      <c r="A23" s="140">
        <v>1</v>
      </c>
      <c r="B23" s="139" t="s">
        <v>126</v>
      </c>
      <c r="C23" s="10">
        <v>22</v>
      </c>
      <c r="D23" s="11" t="s">
        <v>127</v>
      </c>
      <c r="E23" s="12" t="s">
        <v>124</v>
      </c>
      <c r="F23" s="13" t="s">
        <v>7</v>
      </c>
      <c r="G23" s="14">
        <v>4</v>
      </c>
      <c r="H23" s="15"/>
      <c r="I23" s="16"/>
    </row>
    <row r="24" spans="1:11" ht="14.25">
      <c r="A24" s="140">
        <v>1</v>
      </c>
      <c r="B24" s="139" t="s">
        <v>126</v>
      </c>
      <c r="C24" s="10">
        <v>23</v>
      </c>
      <c r="D24" s="11" t="s">
        <v>127</v>
      </c>
      <c r="E24" s="12" t="s">
        <v>124</v>
      </c>
      <c r="F24" s="13" t="s">
        <v>7</v>
      </c>
      <c r="G24" s="14">
        <v>24</v>
      </c>
      <c r="H24" s="15"/>
      <c r="I24" s="16"/>
    </row>
    <row r="25" spans="1:11" ht="14.25">
      <c r="A25" s="140">
        <v>1</v>
      </c>
      <c r="B25" s="139" t="s">
        <v>126</v>
      </c>
      <c r="C25" s="10">
        <v>24</v>
      </c>
      <c r="D25" s="11" t="s">
        <v>127</v>
      </c>
      <c r="E25" s="12" t="s">
        <v>124</v>
      </c>
      <c r="F25" s="13" t="s">
        <v>5</v>
      </c>
      <c r="G25" s="14">
        <v>574</v>
      </c>
      <c r="H25" s="15"/>
      <c r="I25" s="16"/>
    </row>
    <row r="26" spans="1:11" ht="14.25">
      <c r="A26" s="140">
        <v>1</v>
      </c>
      <c r="B26" s="139" t="s">
        <v>126</v>
      </c>
      <c r="C26" s="10">
        <v>25</v>
      </c>
      <c r="D26" s="11" t="s">
        <v>127</v>
      </c>
      <c r="E26" s="12" t="s">
        <v>124</v>
      </c>
      <c r="F26" s="13" t="s">
        <v>5</v>
      </c>
      <c r="G26" s="14">
        <v>4224</v>
      </c>
      <c r="H26" s="15"/>
      <c r="I26" s="16"/>
    </row>
    <row r="27" spans="1:11" ht="14.25">
      <c r="A27" s="140">
        <v>1</v>
      </c>
      <c r="B27" s="139" t="s">
        <v>126</v>
      </c>
      <c r="C27" s="10">
        <v>26</v>
      </c>
      <c r="D27" s="11" t="s">
        <v>127</v>
      </c>
      <c r="E27" s="12" t="s">
        <v>124</v>
      </c>
      <c r="F27" s="13" t="s">
        <v>5</v>
      </c>
      <c r="G27" s="14">
        <v>24</v>
      </c>
      <c r="H27" s="15"/>
      <c r="I27" s="16"/>
    </row>
    <row r="28" spans="1:11" ht="14.25">
      <c r="A28" s="140">
        <v>1</v>
      </c>
      <c r="B28" s="139" t="s">
        <v>126</v>
      </c>
      <c r="C28" s="10">
        <v>27</v>
      </c>
      <c r="D28" s="11" t="s">
        <v>127</v>
      </c>
      <c r="E28" s="12" t="s">
        <v>124</v>
      </c>
      <c r="F28" s="13" t="s">
        <v>6</v>
      </c>
      <c r="G28" s="14">
        <v>24</v>
      </c>
      <c r="H28" s="15"/>
      <c r="I28" s="16"/>
    </row>
    <row r="29" spans="1:11" ht="14.25">
      <c r="A29" s="140">
        <v>1</v>
      </c>
      <c r="B29" s="139" t="s">
        <v>126</v>
      </c>
      <c r="C29" s="10">
        <v>28</v>
      </c>
      <c r="D29" s="11" t="s">
        <v>127</v>
      </c>
      <c r="E29" s="12" t="s">
        <v>124</v>
      </c>
      <c r="F29" s="13" t="s">
        <v>7</v>
      </c>
      <c r="G29" s="14">
        <v>24</v>
      </c>
      <c r="H29" s="15"/>
      <c r="I29" s="16"/>
    </row>
    <row r="30" spans="1:11" ht="14.25">
      <c r="A30" s="140">
        <v>1</v>
      </c>
      <c r="B30" s="139" t="s">
        <v>126</v>
      </c>
      <c r="C30" s="10">
        <v>29</v>
      </c>
      <c r="D30" s="11" t="s">
        <v>127</v>
      </c>
      <c r="E30" s="12" t="s">
        <v>124</v>
      </c>
      <c r="F30" s="13" t="s">
        <v>7</v>
      </c>
      <c r="G30" s="14">
        <v>545</v>
      </c>
      <c r="H30" s="15"/>
      <c r="I30" s="16"/>
    </row>
    <row r="31" spans="1:11" ht="14.25">
      <c r="A31" s="140">
        <v>1</v>
      </c>
      <c r="B31" s="139" t="s">
        <v>126</v>
      </c>
      <c r="C31" s="10">
        <v>30</v>
      </c>
      <c r="D31" s="11" t="s">
        <v>127</v>
      </c>
      <c r="E31" s="12" t="s">
        <v>124</v>
      </c>
      <c r="F31" s="13" t="s">
        <v>7</v>
      </c>
      <c r="G31" s="14">
        <v>462414</v>
      </c>
      <c r="H31" s="15"/>
      <c r="I31" s="16"/>
    </row>
    <row r="32" spans="1:11" ht="14.25">
      <c r="A32" s="140">
        <v>1</v>
      </c>
      <c r="B32" s="139" t="s">
        <v>126</v>
      </c>
      <c r="C32" s="10">
        <v>31</v>
      </c>
      <c r="D32" s="11" t="s">
        <v>127</v>
      </c>
      <c r="E32" s="12" t="s">
        <v>124</v>
      </c>
      <c r="F32" s="13" t="s">
        <v>5</v>
      </c>
      <c r="G32" s="14">
        <v>274</v>
      </c>
      <c r="H32" s="15"/>
      <c r="I32" s="16"/>
      <c r="K32" s="1"/>
    </row>
    <row r="33" spans="1:11" ht="14.25">
      <c r="A33" s="140">
        <v>1</v>
      </c>
      <c r="B33" s="139" t="s">
        <v>126</v>
      </c>
      <c r="C33" s="10">
        <v>32</v>
      </c>
      <c r="D33" s="11" t="s">
        <v>127</v>
      </c>
      <c r="E33" s="12" t="s">
        <v>124</v>
      </c>
      <c r="F33" s="13" t="s">
        <v>5</v>
      </c>
      <c r="G33" s="14">
        <v>2</v>
      </c>
      <c r="H33" s="15"/>
      <c r="I33" s="16"/>
      <c r="K33" s="1"/>
    </row>
    <row r="34" spans="1:11" ht="14.25">
      <c r="A34" s="140">
        <v>1</v>
      </c>
      <c r="B34" s="139" t="s">
        <v>126</v>
      </c>
      <c r="C34" s="10">
        <v>33</v>
      </c>
      <c r="D34" s="11" t="s">
        <v>127</v>
      </c>
      <c r="E34" s="12" t="s">
        <v>124</v>
      </c>
      <c r="F34" s="13" t="s">
        <v>6</v>
      </c>
      <c r="G34" s="14">
        <v>72</v>
      </c>
      <c r="H34" s="15"/>
      <c r="I34" s="16"/>
    </row>
    <row r="35" spans="1:11" ht="14.25">
      <c r="A35" s="140">
        <v>1</v>
      </c>
      <c r="B35" s="139" t="s">
        <v>126</v>
      </c>
      <c r="C35" s="10">
        <v>34</v>
      </c>
      <c r="D35" s="11" t="s">
        <v>127</v>
      </c>
      <c r="E35" s="12" t="s">
        <v>124</v>
      </c>
      <c r="F35" s="13" t="s">
        <v>7</v>
      </c>
      <c r="G35" s="14">
        <v>712</v>
      </c>
      <c r="H35" s="15"/>
      <c r="I35" s="16"/>
    </row>
    <row r="36" spans="1:11" ht="14.25">
      <c r="A36" s="140">
        <v>1</v>
      </c>
      <c r="B36" s="139" t="s">
        <v>126</v>
      </c>
      <c r="C36" s="10">
        <v>35</v>
      </c>
      <c r="D36" s="11" t="s">
        <v>127</v>
      </c>
      <c r="E36" s="12" t="s">
        <v>124</v>
      </c>
      <c r="F36" s="13" t="s">
        <v>7</v>
      </c>
      <c r="G36" s="14">
        <v>71</v>
      </c>
      <c r="H36" s="15"/>
      <c r="I36" s="16"/>
    </row>
    <row r="37" spans="1:11" ht="14.25">
      <c r="A37" s="140">
        <v>1</v>
      </c>
      <c r="B37" s="139" t="s">
        <v>126</v>
      </c>
      <c r="C37" s="10">
        <v>36</v>
      </c>
      <c r="D37" s="11" t="s">
        <v>127</v>
      </c>
      <c r="E37" s="12" t="s">
        <v>124</v>
      </c>
      <c r="F37" s="13" t="s">
        <v>7</v>
      </c>
      <c r="G37" s="14">
        <v>7</v>
      </c>
      <c r="H37" s="15"/>
      <c r="I37" s="16"/>
    </row>
    <row r="38" spans="1:11" ht="14.25">
      <c r="A38" s="140">
        <v>1</v>
      </c>
      <c r="B38" s="139" t="s">
        <v>126</v>
      </c>
      <c r="C38" s="10">
        <v>37</v>
      </c>
      <c r="D38" s="11" t="s">
        <v>127</v>
      </c>
      <c r="E38" s="12" t="s">
        <v>124</v>
      </c>
      <c r="F38" s="13" t="s">
        <v>5</v>
      </c>
      <c r="G38" s="14">
        <v>7</v>
      </c>
      <c r="H38" s="15"/>
      <c r="I38" s="16"/>
    </row>
    <row r="39" spans="1:11" ht="14.25">
      <c r="A39" s="140">
        <v>1</v>
      </c>
      <c r="B39" s="139" t="s">
        <v>126</v>
      </c>
      <c r="C39" s="10">
        <v>38</v>
      </c>
      <c r="D39" s="11" t="s">
        <v>127</v>
      </c>
      <c r="E39" s="12" t="s">
        <v>124</v>
      </c>
      <c r="F39" s="13" t="s">
        <v>5</v>
      </c>
      <c r="G39" s="14">
        <v>27</v>
      </c>
      <c r="H39" s="15"/>
      <c r="I39" s="16"/>
    </row>
    <row r="40" spans="1:11" ht="14.25">
      <c r="A40" s="140">
        <v>1</v>
      </c>
      <c r="B40" s="139" t="s">
        <v>126</v>
      </c>
      <c r="C40" s="10">
        <v>39</v>
      </c>
      <c r="D40" s="11" t="s">
        <v>127</v>
      </c>
      <c r="E40" s="12" t="s">
        <v>124</v>
      </c>
      <c r="F40" s="13" t="s">
        <v>6</v>
      </c>
      <c r="G40" s="14">
        <v>27</v>
      </c>
      <c r="H40" s="15"/>
      <c r="I40" s="16"/>
    </row>
    <row r="41" spans="1:11" ht="14.25">
      <c r="A41" s="140">
        <v>1</v>
      </c>
      <c r="B41" s="139" t="s">
        <v>126</v>
      </c>
      <c r="C41" s="10">
        <v>40</v>
      </c>
      <c r="D41" s="11" t="s">
        <v>127</v>
      </c>
      <c r="E41" s="12" t="s">
        <v>124</v>
      </c>
      <c r="F41" s="13" t="s">
        <v>5</v>
      </c>
      <c r="G41" s="14">
        <v>4</v>
      </c>
      <c r="H41" s="15"/>
      <c r="I41" s="16"/>
    </row>
    <row r="42" spans="1:11" ht="14.25">
      <c r="A42" s="140">
        <v>1</v>
      </c>
      <c r="B42" s="139" t="s">
        <v>126</v>
      </c>
      <c r="C42" s="10">
        <v>41</v>
      </c>
      <c r="D42" s="11" t="s">
        <v>127</v>
      </c>
      <c r="E42" s="12" t="s">
        <v>124</v>
      </c>
      <c r="F42" s="13" t="s">
        <v>5</v>
      </c>
      <c r="G42" s="14">
        <v>7527</v>
      </c>
      <c r="H42" s="15"/>
      <c r="I42" s="16"/>
    </row>
    <row r="43" spans="1:11" ht="14.25">
      <c r="A43" s="140">
        <v>1</v>
      </c>
      <c r="B43" s="139" t="s">
        <v>126</v>
      </c>
      <c r="C43" s="10">
        <v>42</v>
      </c>
      <c r="D43" s="11" t="s">
        <v>127</v>
      </c>
      <c r="E43" s="12" t="s">
        <v>124</v>
      </c>
      <c r="F43" s="13" t="s">
        <v>5</v>
      </c>
      <c r="G43" s="14">
        <v>7527</v>
      </c>
      <c r="H43" s="15"/>
      <c r="I43" s="16"/>
    </row>
    <row r="44" spans="1:11" ht="14.25">
      <c r="A44" s="140">
        <v>1</v>
      </c>
      <c r="B44" s="139" t="s">
        <v>126</v>
      </c>
      <c r="C44" s="10">
        <v>43</v>
      </c>
      <c r="D44" s="11" t="s">
        <v>127</v>
      </c>
      <c r="E44" s="12" t="s">
        <v>124</v>
      </c>
      <c r="F44" s="13" t="s">
        <v>5</v>
      </c>
      <c r="G44" s="14">
        <v>527</v>
      </c>
      <c r="H44" s="15"/>
      <c r="I44" s="16"/>
    </row>
    <row r="45" spans="1:11" ht="14.25">
      <c r="A45" s="140">
        <v>1</v>
      </c>
      <c r="B45" s="139" t="s">
        <v>126</v>
      </c>
      <c r="C45" s="10">
        <v>44</v>
      </c>
      <c r="D45" s="11" t="s">
        <v>127</v>
      </c>
      <c r="E45" s="12" t="s">
        <v>124</v>
      </c>
      <c r="F45" s="13" t="s">
        <v>5</v>
      </c>
      <c r="G45" s="14">
        <v>52</v>
      </c>
      <c r="H45" s="15"/>
      <c r="I45" s="16"/>
    </row>
    <row r="46" spans="1:11" ht="14.25">
      <c r="A46" s="140">
        <v>1</v>
      </c>
      <c r="B46" s="139" t="s">
        <v>126</v>
      </c>
      <c r="C46" s="10">
        <v>45</v>
      </c>
      <c r="D46" s="11" t="s">
        <v>127</v>
      </c>
      <c r="E46" s="12" t="s">
        <v>124</v>
      </c>
      <c r="F46" s="13" t="s">
        <v>6</v>
      </c>
      <c r="G46" s="14">
        <v>7452452452</v>
      </c>
      <c r="H46" s="15"/>
      <c r="I46" s="16"/>
    </row>
    <row r="47" spans="1:11" ht="14.25">
      <c r="A47" s="140">
        <v>1</v>
      </c>
      <c r="B47" s="139" t="s">
        <v>126</v>
      </c>
      <c r="C47" s="10">
        <v>46</v>
      </c>
      <c r="D47" s="11" t="s">
        <v>127</v>
      </c>
      <c r="E47" s="12" t="s">
        <v>124</v>
      </c>
      <c r="F47" s="13" t="s">
        <v>5</v>
      </c>
      <c r="G47" s="14">
        <v>7</v>
      </c>
      <c r="H47" s="15"/>
      <c r="I47" s="16"/>
    </row>
    <row r="48" spans="1:11" ht="14.25">
      <c r="A48" s="140">
        <v>1</v>
      </c>
      <c r="B48" s="139" t="s">
        <v>126</v>
      </c>
      <c r="C48" s="10">
        <v>47</v>
      </c>
      <c r="D48" s="11" t="s">
        <v>127</v>
      </c>
      <c r="E48" s="12" t="s">
        <v>124</v>
      </c>
      <c r="F48" s="13" t="s">
        <v>5</v>
      </c>
      <c r="G48" s="14">
        <v>2727</v>
      </c>
      <c r="H48" s="15"/>
      <c r="I48" s="16"/>
    </row>
    <row r="49" spans="1:11" ht="14.25">
      <c r="A49" s="140">
        <v>1</v>
      </c>
      <c r="B49" s="139" t="s">
        <v>126</v>
      </c>
      <c r="C49" s="10">
        <v>48</v>
      </c>
      <c r="D49" s="11" t="s">
        <v>127</v>
      </c>
      <c r="E49" s="12" t="s">
        <v>124</v>
      </c>
      <c r="F49" s="13" t="s">
        <v>5</v>
      </c>
      <c r="G49" s="14">
        <v>2</v>
      </c>
      <c r="H49" s="15"/>
      <c r="I49" s="16"/>
    </row>
    <row r="50" spans="1:11" ht="14.25">
      <c r="A50" s="140">
        <v>1</v>
      </c>
      <c r="B50" s="139" t="s">
        <v>126</v>
      </c>
      <c r="C50" s="10">
        <v>49</v>
      </c>
      <c r="D50" s="11" t="s">
        <v>127</v>
      </c>
      <c r="E50" s="12" t="s">
        <v>124</v>
      </c>
      <c r="F50" s="13" t="s">
        <v>5</v>
      </c>
      <c r="G50" s="14">
        <v>85</v>
      </c>
      <c r="H50" s="15"/>
      <c r="I50" s="16"/>
    </row>
    <row r="51" spans="1:11" ht="14.25">
      <c r="A51" s="140">
        <v>1</v>
      </c>
      <c r="B51" s="139" t="s">
        <v>126</v>
      </c>
      <c r="C51" s="10">
        <v>50</v>
      </c>
      <c r="D51" s="11" t="s">
        <v>127</v>
      </c>
      <c r="E51" s="12" t="s">
        <v>124</v>
      </c>
      <c r="F51" s="13" t="s">
        <v>5</v>
      </c>
      <c r="G51" s="14">
        <v>7527</v>
      </c>
      <c r="H51" s="15"/>
      <c r="I51" s="16"/>
    </row>
    <row r="52" spans="1:11" ht="14.25">
      <c r="A52" s="140">
        <v>2</v>
      </c>
      <c r="B52" s="139"/>
      <c r="C52" s="10">
        <v>1</v>
      </c>
      <c r="D52" s="11"/>
      <c r="E52" s="12"/>
      <c r="F52" s="13"/>
      <c r="G52" s="14"/>
      <c r="H52" s="15"/>
      <c r="I52" s="16"/>
    </row>
    <row r="53" spans="1:11" ht="14.25">
      <c r="A53" s="140">
        <v>2</v>
      </c>
      <c r="B53" s="139">
        <v>0</v>
      </c>
      <c r="C53" s="10">
        <v>2</v>
      </c>
      <c r="D53" s="11"/>
      <c r="E53" s="12"/>
      <c r="F53" s="13"/>
      <c r="G53" s="14"/>
      <c r="H53" s="15"/>
      <c r="I53" s="16"/>
    </row>
    <row r="54" spans="1:11" ht="14.25">
      <c r="A54" s="140">
        <v>2</v>
      </c>
      <c r="B54" s="139">
        <v>0</v>
      </c>
      <c r="C54" s="10">
        <v>3</v>
      </c>
      <c r="D54" s="11"/>
      <c r="E54" s="12"/>
      <c r="F54" s="13"/>
      <c r="G54" s="14"/>
      <c r="H54" s="15"/>
      <c r="I54" s="16"/>
    </row>
    <row r="55" spans="1:11" ht="14.25">
      <c r="A55" s="140">
        <v>2</v>
      </c>
      <c r="B55" s="139">
        <v>0</v>
      </c>
      <c r="C55" s="10">
        <v>4</v>
      </c>
      <c r="D55" s="11"/>
      <c r="E55" s="12"/>
      <c r="F55" s="13"/>
      <c r="G55" s="14"/>
      <c r="H55" s="15"/>
      <c r="I55" s="16"/>
    </row>
    <row r="56" spans="1:11" ht="14.25">
      <c r="A56" s="140">
        <v>2</v>
      </c>
      <c r="B56" s="139">
        <v>0</v>
      </c>
      <c r="C56" s="10">
        <v>5</v>
      </c>
      <c r="D56" s="11"/>
      <c r="E56" s="12"/>
      <c r="F56" s="13"/>
      <c r="G56" s="14"/>
      <c r="H56" s="15"/>
      <c r="I56" s="16"/>
    </row>
    <row r="57" spans="1:11" ht="14.25">
      <c r="A57" s="140">
        <v>2</v>
      </c>
      <c r="B57" s="139">
        <v>0</v>
      </c>
      <c r="C57" s="10">
        <v>6</v>
      </c>
      <c r="D57" s="11"/>
      <c r="E57" s="12"/>
      <c r="F57" s="13"/>
      <c r="G57" s="14"/>
      <c r="H57" s="15"/>
      <c r="I57" s="16"/>
    </row>
    <row r="58" spans="1:11" ht="14.25">
      <c r="A58" s="140">
        <v>2</v>
      </c>
      <c r="B58" s="139">
        <v>0</v>
      </c>
      <c r="C58" s="10">
        <v>7</v>
      </c>
      <c r="D58" s="11"/>
      <c r="E58" s="12"/>
      <c r="F58" s="13"/>
      <c r="G58" s="14"/>
      <c r="H58" s="15"/>
      <c r="I58" s="16"/>
    </row>
    <row r="59" spans="1:11" ht="14.25">
      <c r="A59" s="140">
        <v>2</v>
      </c>
      <c r="B59" s="139">
        <v>0</v>
      </c>
      <c r="C59" s="10">
        <v>8</v>
      </c>
      <c r="D59" s="11"/>
      <c r="E59" s="12"/>
      <c r="F59" s="13"/>
      <c r="G59" s="14"/>
      <c r="H59" s="15"/>
      <c r="I59" s="16"/>
    </row>
    <row r="60" spans="1:11" ht="14.25">
      <c r="A60" s="140">
        <v>2</v>
      </c>
      <c r="B60" s="139">
        <v>0</v>
      </c>
      <c r="C60" s="10">
        <v>9</v>
      </c>
      <c r="D60" s="11"/>
      <c r="E60" s="12"/>
      <c r="F60" s="13"/>
      <c r="G60" s="14"/>
      <c r="H60" s="15"/>
      <c r="I60" s="16"/>
    </row>
    <row r="61" spans="1:11" ht="14.25">
      <c r="A61" s="140">
        <v>2</v>
      </c>
      <c r="B61" s="139">
        <v>0</v>
      </c>
      <c r="C61" s="10">
        <v>10</v>
      </c>
      <c r="D61" s="11"/>
      <c r="E61" s="12"/>
      <c r="F61" s="13"/>
      <c r="G61" s="14"/>
      <c r="H61" s="15"/>
      <c r="I61" s="16"/>
    </row>
    <row r="62" spans="1:11" ht="14.25">
      <c r="A62" s="140">
        <v>2</v>
      </c>
      <c r="B62" s="139">
        <v>0</v>
      </c>
      <c r="C62" s="10">
        <v>11</v>
      </c>
      <c r="D62" s="11"/>
      <c r="E62" s="12"/>
      <c r="F62" s="13"/>
      <c r="G62" s="14"/>
      <c r="H62" s="15"/>
      <c r="I62" s="16"/>
      <c r="K62" s="1"/>
    </row>
    <row r="63" spans="1:11" ht="14.25">
      <c r="A63" s="140">
        <v>2</v>
      </c>
      <c r="B63" s="139">
        <v>0</v>
      </c>
      <c r="C63" s="10">
        <v>12</v>
      </c>
      <c r="D63" s="11"/>
      <c r="E63" s="12"/>
      <c r="F63" s="13"/>
      <c r="G63" s="14"/>
      <c r="H63" s="15"/>
      <c r="I63" s="16"/>
      <c r="K63" s="1"/>
    </row>
    <row r="64" spans="1:11" ht="14.25">
      <c r="A64" s="140">
        <v>2</v>
      </c>
      <c r="B64" s="139">
        <v>0</v>
      </c>
      <c r="C64" s="10">
        <v>13</v>
      </c>
      <c r="D64" s="11"/>
      <c r="E64" s="12"/>
      <c r="F64" s="13"/>
      <c r="G64" s="14"/>
      <c r="H64" s="15"/>
      <c r="I64" s="16"/>
    </row>
    <row r="65" spans="1:9" ht="14.25">
      <c r="A65" s="140">
        <v>2</v>
      </c>
      <c r="B65" s="139">
        <v>0</v>
      </c>
      <c r="C65" s="10">
        <v>14</v>
      </c>
      <c r="D65" s="11"/>
      <c r="E65" s="12"/>
      <c r="F65" s="13"/>
      <c r="G65" s="14"/>
      <c r="H65" s="15"/>
      <c r="I65" s="16"/>
    </row>
    <row r="66" spans="1:9" ht="14.25">
      <c r="A66" s="140">
        <v>2</v>
      </c>
      <c r="B66" s="139">
        <v>0</v>
      </c>
      <c r="C66" s="10">
        <v>15</v>
      </c>
      <c r="D66" s="11"/>
      <c r="E66" s="12"/>
      <c r="F66" s="13"/>
      <c r="G66" s="14"/>
      <c r="H66" s="15"/>
      <c r="I66" s="16"/>
    </row>
    <row r="67" spans="1:9" ht="14.25">
      <c r="A67" s="140">
        <v>2</v>
      </c>
      <c r="B67" s="139">
        <v>0</v>
      </c>
      <c r="C67" s="10">
        <v>16</v>
      </c>
      <c r="D67" s="11"/>
      <c r="E67" s="12"/>
      <c r="F67" s="13"/>
      <c r="G67" s="14"/>
      <c r="H67" s="15"/>
      <c r="I67" s="16"/>
    </row>
    <row r="68" spans="1:9" ht="14.25">
      <c r="A68" s="140">
        <v>2</v>
      </c>
      <c r="B68" s="139">
        <v>0</v>
      </c>
      <c r="C68" s="10">
        <v>17</v>
      </c>
      <c r="D68" s="11"/>
      <c r="E68" s="12"/>
      <c r="F68" s="13"/>
      <c r="G68" s="14"/>
      <c r="H68" s="15"/>
      <c r="I68" s="16"/>
    </row>
    <row r="69" spans="1:9" ht="14.25">
      <c r="A69" s="140">
        <v>2</v>
      </c>
      <c r="B69" s="139">
        <v>0</v>
      </c>
      <c r="C69" s="10">
        <v>18</v>
      </c>
      <c r="D69" s="11"/>
      <c r="E69" s="12"/>
      <c r="F69" s="13"/>
      <c r="G69" s="14"/>
      <c r="H69" s="15"/>
      <c r="I69" s="16"/>
    </row>
    <row r="70" spans="1:9" ht="14.25">
      <c r="A70" s="140">
        <v>2</v>
      </c>
      <c r="B70" s="139">
        <v>0</v>
      </c>
      <c r="C70" s="10">
        <v>19</v>
      </c>
      <c r="D70" s="11"/>
      <c r="E70" s="12"/>
      <c r="F70" s="13"/>
      <c r="G70" s="14"/>
      <c r="H70" s="15"/>
      <c r="I70" s="16"/>
    </row>
    <row r="71" spans="1:9" ht="14.25">
      <c r="A71" s="140">
        <v>2</v>
      </c>
      <c r="B71" s="139">
        <v>0</v>
      </c>
      <c r="C71" s="10">
        <v>20</v>
      </c>
      <c r="D71" s="11"/>
      <c r="E71" s="12"/>
      <c r="F71" s="13"/>
      <c r="G71" s="14"/>
      <c r="H71" s="15"/>
      <c r="I71" s="16"/>
    </row>
    <row r="72" spans="1:9" ht="14.25">
      <c r="A72" s="140">
        <v>2</v>
      </c>
      <c r="B72" s="139">
        <v>0</v>
      </c>
      <c r="C72" s="10">
        <v>21</v>
      </c>
      <c r="D72" s="11"/>
      <c r="E72" s="12"/>
      <c r="F72" s="13"/>
      <c r="G72" s="14"/>
      <c r="H72" s="15"/>
      <c r="I72" s="16"/>
    </row>
    <row r="73" spans="1:9" ht="14.25">
      <c r="A73" s="140">
        <v>2</v>
      </c>
      <c r="B73" s="139">
        <v>0</v>
      </c>
      <c r="C73" s="10">
        <v>22</v>
      </c>
      <c r="D73" s="11"/>
      <c r="E73" s="12"/>
      <c r="F73" s="13"/>
      <c r="G73" s="14"/>
      <c r="H73" s="15"/>
      <c r="I73" s="16"/>
    </row>
    <row r="74" spans="1:9" ht="14.25">
      <c r="A74" s="140">
        <v>2</v>
      </c>
      <c r="B74" s="139">
        <v>0</v>
      </c>
      <c r="C74" s="10">
        <v>23</v>
      </c>
      <c r="D74" s="11"/>
      <c r="E74" s="12"/>
      <c r="F74" s="13"/>
      <c r="G74" s="14"/>
      <c r="H74" s="15"/>
      <c r="I74" s="16"/>
    </row>
    <row r="75" spans="1:9" ht="14.25">
      <c r="A75" s="140">
        <v>2</v>
      </c>
      <c r="B75" s="139">
        <v>0</v>
      </c>
      <c r="C75" s="10">
        <v>24</v>
      </c>
      <c r="D75" s="11"/>
      <c r="E75" s="12"/>
      <c r="F75" s="13"/>
      <c r="G75" s="14"/>
      <c r="H75" s="15"/>
      <c r="I75" s="16"/>
    </row>
    <row r="76" spans="1:9" ht="14.25">
      <c r="A76" s="140">
        <v>2</v>
      </c>
      <c r="B76" s="139">
        <v>0</v>
      </c>
      <c r="C76" s="10">
        <v>25</v>
      </c>
      <c r="D76" s="11"/>
      <c r="E76" s="12"/>
      <c r="F76" s="13"/>
      <c r="G76" s="14"/>
      <c r="H76" s="15"/>
      <c r="I76" s="16"/>
    </row>
    <row r="77" spans="1:9" ht="14.25">
      <c r="A77" s="140">
        <v>2</v>
      </c>
      <c r="B77" s="139">
        <v>0</v>
      </c>
      <c r="C77" s="10">
        <v>26</v>
      </c>
      <c r="D77" s="11"/>
      <c r="E77" s="12"/>
      <c r="F77" s="13"/>
      <c r="G77" s="14"/>
      <c r="H77" s="15"/>
      <c r="I77" s="16"/>
    </row>
    <row r="78" spans="1:9" ht="14.25">
      <c r="A78" s="140">
        <v>2</v>
      </c>
      <c r="B78" s="139">
        <v>0</v>
      </c>
      <c r="C78" s="10">
        <v>27</v>
      </c>
      <c r="D78" s="11"/>
      <c r="E78" s="12"/>
      <c r="F78" s="13"/>
      <c r="G78" s="14"/>
      <c r="H78" s="15"/>
      <c r="I78" s="16"/>
    </row>
    <row r="79" spans="1:9" ht="14.25">
      <c r="A79" s="140">
        <v>2</v>
      </c>
      <c r="B79" s="139">
        <v>0</v>
      </c>
      <c r="C79" s="10">
        <v>28</v>
      </c>
      <c r="D79" s="11"/>
      <c r="E79" s="12"/>
      <c r="F79" s="13"/>
      <c r="G79" s="14"/>
      <c r="H79" s="15"/>
      <c r="I79" s="16"/>
    </row>
    <row r="80" spans="1:9" ht="14.25">
      <c r="A80" s="140">
        <v>2</v>
      </c>
      <c r="B80" s="139">
        <v>0</v>
      </c>
      <c r="C80" s="10">
        <v>29</v>
      </c>
      <c r="D80" s="11"/>
      <c r="E80" s="12"/>
      <c r="F80" s="13"/>
      <c r="G80" s="14"/>
      <c r="H80" s="15"/>
      <c r="I80" s="16"/>
    </row>
    <row r="81" spans="1:11" ht="14.25">
      <c r="A81" s="140">
        <v>2</v>
      </c>
      <c r="B81" s="139">
        <v>0</v>
      </c>
      <c r="C81" s="10">
        <v>30</v>
      </c>
      <c r="D81" s="11"/>
      <c r="E81" s="12"/>
      <c r="F81" s="13"/>
      <c r="G81" s="14"/>
      <c r="H81" s="15"/>
      <c r="I81" s="16"/>
    </row>
    <row r="82" spans="1:11" ht="14.25">
      <c r="A82" s="140">
        <v>2</v>
      </c>
      <c r="B82" s="139">
        <v>0</v>
      </c>
      <c r="C82" s="10">
        <v>31</v>
      </c>
      <c r="D82" s="11"/>
      <c r="E82" s="12"/>
      <c r="F82" s="13"/>
      <c r="G82" s="14"/>
      <c r="H82" s="15"/>
      <c r="I82" s="16"/>
    </row>
    <row r="83" spans="1:11" ht="14.25">
      <c r="A83" s="140">
        <v>2</v>
      </c>
      <c r="B83" s="139">
        <v>0</v>
      </c>
      <c r="C83" s="10">
        <v>32</v>
      </c>
      <c r="D83" s="11"/>
      <c r="E83" s="12"/>
      <c r="F83" s="13"/>
      <c r="G83" s="14"/>
      <c r="H83" s="15"/>
      <c r="I83" s="16"/>
    </row>
    <row r="84" spans="1:11" ht="14.25">
      <c r="A84" s="140">
        <v>2</v>
      </c>
      <c r="B84" s="139">
        <v>0</v>
      </c>
      <c r="C84" s="10">
        <v>33</v>
      </c>
      <c r="D84" s="11"/>
      <c r="E84" s="12"/>
      <c r="F84" s="13"/>
      <c r="G84" s="14"/>
      <c r="H84" s="15"/>
      <c r="I84" s="16"/>
    </row>
    <row r="85" spans="1:11" ht="14.25">
      <c r="A85" s="140">
        <v>2</v>
      </c>
      <c r="B85" s="139">
        <v>0</v>
      </c>
      <c r="C85" s="10">
        <v>34</v>
      </c>
      <c r="D85" s="11"/>
      <c r="E85" s="12"/>
      <c r="F85" s="13"/>
      <c r="G85" s="14"/>
      <c r="H85" s="15"/>
      <c r="I85" s="16"/>
    </row>
    <row r="86" spans="1:11" ht="14.25">
      <c r="A86" s="140">
        <v>2</v>
      </c>
      <c r="B86" s="139">
        <v>0</v>
      </c>
      <c r="C86" s="10">
        <v>35</v>
      </c>
      <c r="D86" s="11"/>
      <c r="E86" s="12"/>
      <c r="F86" s="13"/>
      <c r="G86" s="14"/>
      <c r="H86" s="15"/>
      <c r="I86" s="16"/>
    </row>
    <row r="87" spans="1:11" ht="14.25">
      <c r="A87" s="140">
        <v>2</v>
      </c>
      <c r="B87" s="139">
        <v>0</v>
      </c>
      <c r="C87" s="10">
        <v>36</v>
      </c>
      <c r="D87" s="11"/>
      <c r="E87" s="12"/>
      <c r="F87" s="13"/>
      <c r="G87" s="14"/>
      <c r="H87" s="15"/>
      <c r="I87" s="16"/>
    </row>
    <row r="88" spans="1:11" ht="14.25">
      <c r="A88" s="140">
        <v>2</v>
      </c>
      <c r="B88" s="139">
        <v>0</v>
      </c>
      <c r="C88" s="10">
        <v>37</v>
      </c>
      <c r="D88" s="11"/>
      <c r="E88" s="12"/>
      <c r="F88" s="13"/>
      <c r="G88" s="14"/>
      <c r="H88" s="15"/>
      <c r="I88" s="16"/>
    </row>
    <row r="89" spans="1:11" ht="14.25">
      <c r="A89" s="140">
        <v>2</v>
      </c>
      <c r="B89" s="139">
        <v>0</v>
      </c>
      <c r="C89" s="10">
        <v>38</v>
      </c>
      <c r="D89" s="11"/>
      <c r="E89" s="12"/>
      <c r="F89" s="13"/>
      <c r="G89" s="14"/>
      <c r="H89" s="15"/>
      <c r="I89" s="16"/>
    </row>
    <row r="90" spans="1:11" ht="14.25">
      <c r="A90" s="140">
        <v>2</v>
      </c>
      <c r="B90" s="139">
        <v>0</v>
      </c>
      <c r="C90" s="10">
        <v>39</v>
      </c>
      <c r="D90" s="11"/>
      <c r="E90" s="12"/>
      <c r="F90" s="13"/>
      <c r="G90" s="14"/>
      <c r="H90" s="15"/>
      <c r="I90" s="16"/>
    </row>
    <row r="91" spans="1:11" ht="14.25">
      <c r="A91" s="140">
        <v>2</v>
      </c>
      <c r="B91" s="139">
        <v>0</v>
      </c>
      <c r="C91" s="10">
        <v>40</v>
      </c>
      <c r="D91" s="11"/>
      <c r="E91" s="12"/>
      <c r="F91" s="13"/>
      <c r="G91" s="14"/>
      <c r="H91" s="15"/>
      <c r="I91" s="16"/>
    </row>
    <row r="92" spans="1:11" ht="14.25">
      <c r="A92" s="140">
        <v>2</v>
      </c>
      <c r="B92" s="139">
        <v>0</v>
      </c>
      <c r="C92" s="10">
        <v>41</v>
      </c>
      <c r="D92" s="11"/>
      <c r="E92" s="12"/>
      <c r="F92" s="13"/>
      <c r="G92" s="14"/>
      <c r="H92" s="15"/>
      <c r="I92" s="16"/>
      <c r="K92" s="1"/>
    </row>
    <row r="93" spans="1:11" ht="14.25">
      <c r="A93" s="140">
        <v>2</v>
      </c>
      <c r="B93" s="139">
        <v>0</v>
      </c>
      <c r="C93" s="10">
        <v>42</v>
      </c>
      <c r="D93" s="11"/>
      <c r="E93" s="12"/>
      <c r="F93" s="13"/>
      <c r="G93" s="14"/>
      <c r="H93" s="15"/>
      <c r="I93" s="16"/>
      <c r="K93" s="1"/>
    </row>
    <row r="94" spans="1:11" ht="14.25">
      <c r="A94" s="140">
        <v>2</v>
      </c>
      <c r="B94" s="139">
        <v>0</v>
      </c>
      <c r="C94" s="10">
        <v>43</v>
      </c>
      <c r="D94" s="11"/>
      <c r="E94" s="12"/>
      <c r="F94" s="13"/>
      <c r="G94" s="14"/>
      <c r="H94" s="15"/>
      <c r="I94" s="16"/>
    </row>
    <row r="95" spans="1:11" ht="14.25">
      <c r="A95" s="140">
        <v>2</v>
      </c>
      <c r="B95" s="139">
        <v>0</v>
      </c>
      <c r="C95" s="10">
        <v>44</v>
      </c>
      <c r="D95" s="11"/>
      <c r="E95" s="12"/>
      <c r="F95" s="13"/>
      <c r="G95" s="14"/>
      <c r="H95" s="15"/>
      <c r="I95" s="16"/>
    </row>
    <row r="96" spans="1:11" ht="14.25">
      <c r="A96" s="140">
        <v>2</v>
      </c>
      <c r="B96" s="139">
        <v>0</v>
      </c>
      <c r="C96" s="10">
        <v>45</v>
      </c>
      <c r="D96" s="11"/>
      <c r="E96" s="12"/>
      <c r="F96" s="13"/>
      <c r="G96" s="14"/>
      <c r="H96" s="15"/>
      <c r="I96" s="16"/>
    </row>
    <row r="97" spans="1:9" ht="14.25">
      <c r="A97" s="140">
        <v>2</v>
      </c>
      <c r="B97" s="139">
        <v>0</v>
      </c>
      <c r="C97" s="10">
        <v>46</v>
      </c>
      <c r="D97" s="11"/>
      <c r="E97" s="12"/>
      <c r="F97" s="13"/>
      <c r="G97" s="14"/>
      <c r="H97" s="15"/>
      <c r="I97" s="16"/>
    </row>
    <row r="98" spans="1:9" ht="14.25">
      <c r="A98" s="140">
        <v>2</v>
      </c>
      <c r="B98" s="139">
        <v>0</v>
      </c>
      <c r="C98" s="10">
        <v>47</v>
      </c>
      <c r="D98" s="11"/>
      <c r="E98" s="12"/>
      <c r="F98" s="13"/>
      <c r="G98" s="14"/>
      <c r="H98" s="15"/>
      <c r="I98" s="16"/>
    </row>
    <row r="99" spans="1:9" ht="14.25">
      <c r="A99" s="140">
        <v>2</v>
      </c>
      <c r="B99" s="139">
        <v>0</v>
      </c>
      <c r="C99" s="10">
        <v>48</v>
      </c>
      <c r="D99" s="11"/>
      <c r="E99" s="12"/>
      <c r="F99" s="13"/>
      <c r="G99" s="14"/>
      <c r="H99" s="15"/>
      <c r="I99" s="16"/>
    </row>
    <row r="100" spans="1:9" ht="14.25">
      <c r="A100" s="140">
        <v>2</v>
      </c>
      <c r="B100" s="139">
        <v>0</v>
      </c>
      <c r="C100" s="10">
        <v>49</v>
      </c>
      <c r="D100" s="11"/>
      <c r="E100" s="12"/>
      <c r="F100" s="13"/>
      <c r="G100" s="14"/>
      <c r="H100" s="15"/>
      <c r="I100" s="16"/>
    </row>
    <row r="101" spans="1:9" ht="14.25">
      <c r="A101" s="140">
        <v>2</v>
      </c>
      <c r="B101" s="139">
        <v>0</v>
      </c>
      <c r="C101" s="10">
        <v>50</v>
      </c>
      <c r="D101" s="11"/>
      <c r="E101" s="12"/>
      <c r="F101" s="13"/>
      <c r="G101" s="14"/>
      <c r="H101" s="15"/>
      <c r="I101" s="16"/>
    </row>
    <row r="102" spans="1:9" ht="14.25">
      <c r="A102" s="140">
        <v>3</v>
      </c>
      <c r="B102" s="139"/>
      <c r="C102" s="10">
        <v>1</v>
      </c>
      <c r="D102" s="11"/>
      <c r="E102" s="12"/>
      <c r="F102" s="13"/>
      <c r="G102" s="14"/>
      <c r="H102" s="15"/>
      <c r="I102" s="16"/>
    </row>
    <row r="103" spans="1:9" ht="14.25">
      <c r="A103" s="140">
        <v>3</v>
      </c>
      <c r="B103" s="139">
        <v>0</v>
      </c>
      <c r="C103" s="10">
        <v>2</v>
      </c>
      <c r="D103" s="11"/>
      <c r="E103" s="12"/>
      <c r="F103" s="13"/>
      <c r="G103" s="14"/>
      <c r="H103" s="15"/>
      <c r="I103" s="16"/>
    </row>
    <row r="104" spans="1:9" ht="14.25">
      <c r="A104" s="140">
        <v>3</v>
      </c>
      <c r="B104" s="139">
        <v>0</v>
      </c>
      <c r="C104" s="10">
        <v>3</v>
      </c>
      <c r="D104" s="11"/>
      <c r="E104" s="12"/>
      <c r="F104" s="13"/>
      <c r="G104" s="14"/>
      <c r="H104" s="15"/>
      <c r="I104" s="16"/>
    </row>
    <row r="105" spans="1:9" ht="14.25">
      <c r="A105" s="140">
        <v>3</v>
      </c>
      <c r="B105" s="139">
        <v>0</v>
      </c>
      <c r="C105" s="10">
        <v>4</v>
      </c>
      <c r="D105" s="11"/>
      <c r="E105" s="12"/>
      <c r="F105" s="13"/>
      <c r="G105" s="14"/>
      <c r="H105" s="15"/>
      <c r="I105" s="16"/>
    </row>
    <row r="106" spans="1:9" ht="14.25">
      <c r="A106" s="140">
        <v>3</v>
      </c>
      <c r="B106" s="139">
        <v>0</v>
      </c>
      <c r="C106" s="10">
        <v>5</v>
      </c>
      <c r="D106" s="11"/>
      <c r="E106" s="12"/>
      <c r="F106" s="13"/>
      <c r="G106" s="14"/>
      <c r="H106" s="15"/>
      <c r="I106" s="16"/>
    </row>
    <row r="107" spans="1:9" ht="14.25">
      <c r="A107" s="140">
        <v>3</v>
      </c>
      <c r="B107" s="139">
        <v>0</v>
      </c>
      <c r="C107" s="10">
        <v>6</v>
      </c>
      <c r="D107" s="11"/>
      <c r="E107" s="12"/>
      <c r="F107" s="13"/>
      <c r="G107" s="14"/>
      <c r="H107" s="15"/>
      <c r="I107" s="16"/>
    </row>
    <row r="108" spans="1:9" ht="14.25">
      <c r="A108" s="140">
        <v>3</v>
      </c>
      <c r="B108" s="139">
        <v>0</v>
      </c>
      <c r="C108" s="10">
        <v>7</v>
      </c>
      <c r="D108" s="11"/>
      <c r="E108" s="12"/>
      <c r="F108" s="13"/>
      <c r="G108" s="14"/>
      <c r="H108" s="15"/>
      <c r="I108" s="16"/>
    </row>
    <row r="109" spans="1:9" ht="14.25">
      <c r="A109" s="140">
        <v>3</v>
      </c>
      <c r="B109" s="139">
        <v>0</v>
      </c>
      <c r="C109" s="10">
        <v>8</v>
      </c>
      <c r="D109" s="11"/>
      <c r="E109" s="12"/>
      <c r="F109" s="13"/>
      <c r="G109" s="14"/>
      <c r="H109" s="15"/>
      <c r="I109" s="16"/>
    </row>
    <row r="110" spans="1:9" ht="14.25">
      <c r="A110" s="140">
        <v>3</v>
      </c>
      <c r="B110" s="139">
        <v>0</v>
      </c>
      <c r="C110" s="10">
        <v>9</v>
      </c>
      <c r="D110" s="11"/>
      <c r="E110" s="12"/>
      <c r="F110" s="13"/>
      <c r="G110" s="14"/>
      <c r="H110" s="15"/>
      <c r="I110" s="16"/>
    </row>
    <row r="111" spans="1:9" ht="14.25">
      <c r="A111" s="140">
        <v>3</v>
      </c>
      <c r="B111" s="139">
        <v>0</v>
      </c>
      <c r="C111" s="10">
        <v>10</v>
      </c>
      <c r="D111" s="11"/>
      <c r="E111" s="12"/>
      <c r="F111" s="13"/>
      <c r="G111" s="14"/>
      <c r="H111" s="15"/>
      <c r="I111" s="16"/>
    </row>
    <row r="112" spans="1:9" ht="14.25">
      <c r="A112" s="140">
        <v>3</v>
      </c>
      <c r="B112" s="139">
        <v>0</v>
      </c>
      <c r="C112" s="10">
        <v>11</v>
      </c>
      <c r="D112" s="11"/>
      <c r="E112" s="12"/>
      <c r="F112" s="13"/>
      <c r="G112" s="14"/>
      <c r="H112" s="15"/>
      <c r="I112" s="16"/>
    </row>
    <row r="113" spans="1:11" ht="14.25">
      <c r="A113" s="140">
        <v>3</v>
      </c>
      <c r="B113" s="139">
        <v>0</v>
      </c>
      <c r="C113" s="10">
        <v>12</v>
      </c>
      <c r="D113" s="11"/>
      <c r="E113" s="12"/>
      <c r="F113" s="13"/>
      <c r="G113" s="14"/>
      <c r="H113" s="15"/>
      <c r="I113" s="16"/>
    </row>
    <row r="114" spans="1:11" ht="14.25">
      <c r="A114" s="140">
        <v>3</v>
      </c>
      <c r="B114" s="139">
        <v>0</v>
      </c>
      <c r="C114" s="10">
        <v>13</v>
      </c>
      <c r="D114" s="11"/>
      <c r="E114" s="12"/>
      <c r="F114" s="13"/>
      <c r="G114" s="14"/>
      <c r="H114" s="15"/>
      <c r="I114" s="16"/>
    </row>
    <row r="115" spans="1:11" ht="14.25">
      <c r="A115" s="140">
        <v>3</v>
      </c>
      <c r="B115" s="139">
        <v>0</v>
      </c>
      <c r="C115" s="10">
        <v>14</v>
      </c>
      <c r="D115" s="11"/>
      <c r="E115" s="12"/>
      <c r="F115" s="13"/>
      <c r="G115" s="14"/>
      <c r="H115" s="15"/>
      <c r="I115" s="16"/>
    </row>
    <row r="116" spans="1:11" ht="14.25">
      <c r="A116" s="140">
        <v>3</v>
      </c>
      <c r="B116" s="139">
        <v>0</v>
      </c>
      <c r="C116" s="10">
        <v>15</v>
      </c>
      <c r="D116" s="11"/>
      <c r="E116" s="12"/>
      <c r="F116" s="13"/>
      <c r="G116" s="14"/>
      <c r="H116" s="15"/>
      <c r="I116" s="16"/>
    </row>
    <row r="117" spans="1:11" ht="14.25">
      <c r="A117" s="140">
        <v>3</v>
      </c>
      <c r="B117" s="139">
        <v>0</v>
      </c>
      <c r="C117" s="10">
        <v>16</v>
      </c>
      <c r="D117" s="11"/>
      <c r="E117" s="12"/>
      <c r="F117" s="13"/>
      <c r="G117" s="14"/>
      <c r="H117" s="15"/>
      <c r="I117" s="16"/>
    </row>
    <row r="118" spans="1:11" ht="14.25">
      <c r="A118" s="140">
        <v>3</v>
      </c>
      <c r="B118" s="139">
        <v>0</v>
      </c>
      <c r="C118" s="10">
        <v>17</v>
      </c>
      <c r="D118" s="11"/>
      <c r="E118" s="12"/>
      <c r="F118" s="13"/>
      <c r="G118" s="14"/>
      <c r="H118" s="15"/>
      <c r="I118" s="16"/>
    </row>
    <row r="119" spans="1:11" ht="14.25">
      <c r="A119" s="140">
        <v>3</v>
      </c>
      <c r="B119" s="139">
        <v>0</v>
      </c>
      <c r="C119" s="10">
        <v>18</v>
      </c>
      <c r="D119" s="11"/>
      <c r="E119" s="12"/>
      <c r="F119" s="13"/>
      <c r="G119" s="14"/>
      <c r="H119" s="15"/>
      <c r="I119" s="16"/>
    </row>
    <row r="120" spans="1:11" ht="14.25">
      <c r="A120" s="140">
        <v>3</v>
      </c>
      <c r="B120" s="139">
        <v>0</v>
      </c>
      <c r="C120" s="10">
        <v>19</v>
      </c>
      <c r="D120" s="11"/>
      <c r="E120" s="12"/>
      <c r="F120" s="13"/>
      <c r="G120" s="14"/>
      <c r="H120" s="15"/>
      <c r="I120" s="16"/>
    </row>
    <row r="121" spans="1:11" ht="14.25">
      <c r="A121" s="140">
        <v>3</v>
      </c>
      <c r="B121" s="139">
        <v>0</v>
      </c>
      <c r="C121" s="10">
        <v>20</v>
      </c>
      <c r="D121" s="11"/>
      <c r="E121" s="12"/>
      <c r="F121" s="13"/>
      <c r="G121" s="14"/>
      <c r="H121" s="15"/>
      <c r="I121" s="16"/>
    </row>
    <row r="122" spans="1:11" ht="14.25">
      <c r="A122" s="140">
        <v>3</v>
      </c>
      <c r="B122" s="139">
        <v>0</v>
      </c>
      <c r="C122" s="10">
        <v>21</v>
      </c>
      <c r="D122" s="11"/>
      <c r="E122" s="12"/>
      <c r="F122" s="13"/>
      <c r="G122" s="14"/>
      <c r="H122" s="15"/>
      <c r="I122" s="16"/>
      <c r="K122" s="1"/>
    </row>
    <row r="123" spans="1:11" ht="14.25">
      <c r="A123" s="140">
        <v>3</v>
      </c>
      <c r="B123" s="139">
        <v>0</v>
      </c>
      <c r="C123" s="10">
        <v>22</v>
      </c>
      <c r="D123" s="11"/>
      <c r="E123" s="12"/>
      <c r="F123" s="13"/>
      <c r="G123" s="14"/>
      <c r="H123" s="15"/>
      <c r="I123" s="16"/>
      <c r="K123" s="1"/>
    </row>
    <row r="124" spans="1:11" ht="14.25">
      <c r="A124" s="140">
        <v>3</v>
      </c>
      <c r="B124" s="139">
        <v>0</v>
      </c>
      <c r="C124" s="10">
        <v>23</v>
      </c>
      <c r="D124" s="11"/>
      <c r="E124" s="12"/>
      <c r="F124" s="13"/>
      <c r="G124" s="14"/>
      <c r="H124" s="15"/>
      <c r="I124" s="16"/>
    </row>
    <row r="125" spans="1:11" ht="14.25">
      <c r="A125" s="140">
        <v>3</v>
      </c>
      <c r="B125" s="139">
        <v>0</v>
      </c>
      <c r="C125" s="10">
        <v>24</v>
      </c>
      <c r="D125" s="11"/>
      <c r="E125" s="12"/>
      <c r="F125" s="13"/>
      <c r="G125" s="14"/>
      <c r="H125" s="15"/>
      <c r="I125" s="16"/>
    </row>
    <row r="126" spans="1:11" ht="14.25">
      <c r="A126" s="140">
        <v>3</v>
      </c>
      <c r="B126" s="139">
        <v>0</v>
      </c>
      <c r="C126" s="10">
        <v>25</v>
      </c>
      <c r="D126" s="11"/>
      <c r="E126" s="12"/>
      <c r="F126" s="13"/>
      <c r="G126" s="14"/>
      <c r="H126" s="15"/>
      <c r="I126" s="16"/>
    </row>
    <row r="127" spans="1:11" ht="14.25">
      <c r="A127" s="140">
        <v>3</v>
      </c>
      <c r="B127" s="139">
        <v>0</v>
      </c>
      <c r="C127" s="10">
        <v>26</v>
      </c>
      <c r="D127" s="11"/>
      <c r="E127" s="12"/>
      <c r="F127" s="13"/>
      <c r="G127" s="14"/>
      <c r="H127" s="15"/>
      <c r="I127" s="16"/>
    </row>
    <row r="128" spans="1:11" ht="14.25">
      <c r="A128" s="140">
        <v>3</v>
      </c>
      <c r="B128" s="139">
        <v>0</v>
      </c>
      <c r="C128" s="10">
        <v>27</v>
      </c>
      <c r="D128" s="11"/>
      <c r="E128" s="12"/>
      <c r="F128" s="13"/>
      <c r="G128" s="14"/>
      <c r="H128" s="15"/>
      <c r="I128" s="16"/>
    </row>
    <row r="129" spans="1:9" ht="14.25">
      <c r="A129" s="140">
        <v>3</v>
      </c>
      <c r="B129" s="139">
        <v>0</v>
      </c>
      <c r="C129" s="10">
        <v>28</v>
      </c>
      <c r="D129" s="11"/>
      <c r="E129" s="12"/>
      <c r="F129" s="13"/>
      <c r="G129" s="14"/>
      <c r="H129" s="15"/>
      <c r="I129" s="16"/>
    </row>
    <row r="130" spans="1:9" ht="14.25">
      <c r="A130" s="140">
        <v>3</v>
      </c>
      <c r="B130" s="139">
        <v>0</v>
      </c>
      <c r="C130" s="10">
        <v>29</v>
      </c>
      <c r="D130" s="11"/>
      <c r="E130" s="12"/>
      <c r="F130" s="13"/>
      <c r="G130" s="14"/>
      <c r="H130" s="15"/>
      <c r="I130" s="16"/>
    </row>
    <row r="131" spans="1:9" ht="14.25">
      <c r="A131" s="140">
        <v>3</v>
      </c>
      <c r="B131" s="139">
        <v>0</v>
      </c>
      <c r="C131" s="10">
        <v>30</v>
      </c>
      <c r="D131" s="11"/>
      <c r="E131" s="12"/>
      <c r="F131" s="13"/>
      <c r="G131" s="14"/>
      <c r="H131" s="15"/>
      <c r="I131" s="16"/>
    </row>
    <row r="132" spans="1:9" ht="14.25">
      <c r="A132" s="140">
        <v>3</v>
      </c>
      <c r="B132" s="139">
        <v>0</v>
      </c>
      <c r="C132" s="10">
        <v>31</v>
      </c>
      <c r="D132" s="11"/>
      <c r="E132" s="12"/>
      <c r="F132" s="13"/>
      <c r="G132" s="14"/>
      <c r="H132" s="15"/>
      <c r="I132" s="16"/>
    </row>
    <row r="133" spans="1:9" ht="14.25">
      <c r="A133" s="140">
        <v>3</v>
      </c>
      <c r="B133" s="139">
        <v>0</v>
      </c>
      <c r="C133" s="10">
        <v>32</v>
      </c>
      <c r="D133" s="11"/>
      <c r="E133" s="12"/>
      <c r="F133" s="13"/>
      <c r="G133" s="14"/>
      <c r="H133" s="15"/>
      <c r="I133" s="16"/>
    </row>
    <row r="134" spans="1:9" ht="14.25">
      <c r="A134" s="140">
        <v>3</v>
      </c>
      <c r="B134" s="139">
        <v>0</v>
      </c>
      <c r="C134" s="10">
        <v>33</v>
      </c>
      <c r="D134" s="11"/>
      <c r="E134" s="12"/>
      <c r="F134" s="13"/>
      <c r="G134" s="14"/>
      <c r="H134" s="15"/>
      <c r="I134" s="16"/>
    </row>
    <row r="135" spans="1:9" ht="14.25">
      <c r="A135" s="140">
        <v>3</v>
      </c>
      <c r="B135" s="139">
        <v>0</v>
      </c>
      <c r="C135" s="10">
        <v>34</v>
      </c>
      <c r="D135" s="11"/>
      <c r="E135" s="12"/>
      <c r="F135" s="13"/>
      <c r="G135" s="14"/>
      <c r="H135" s="15"/>
      <c r="I135" s="16"/>
    </row>
    <row r="136" spans="1:9" ht="14.25">
      <c r="A136" s="140">
        <v>3</v>
      </c>
      <c r="B136" s="139">
        <v>0</v>
      </c>
      <c r="C136" s="10">
        <v>35</v>
      </c>
      <c r="D136" s="11"/>
      <c r="E136" s="12"/>
      <c r="F136" s="13"/>
      <c r="G136" s="14"/>
      <c r="H136" s="15"/>
      <c r="I136" s="16"/>
    </row>
    <row r="137" spans="1:9" ht="14.25">
      <c r="A137" s="140">
        <v>3</v>
      </c>
      <c r="B137" s="139">
        <v>0</v>
      </c>
      <c r="C137" s="10">
        <v>36</v>
      </c>
      <c r="D137" s="11"/>
      <c r="E137" s="12"/>
      <c r="F137" s="13"/>
      <c r="G137" s="14"/>
      <c r="H137" s="15"/>
      <c r="I137" s="16"/>
    </row>
    <row r="138" spans="1:9" ht="14.25">
      <c r="A138" s="140">
        <v>3</v>
      </c>
      <c r="B138" s="139">
        <v>0</v>
      </c>
      <c r="C138" s="10">
        <v>37</v>
      </c>
      <c r="D138" s="11"/>
      <c r="E138" s="12"/>
      <c r="F138" s="13"/>
      <c r="G138" s="14"/>
      <c r="H138" s="15"/>
      <c r="I138" s="16"/>
    </row>
    <row r="139" spans="1:9" ht="14.25">
      <c r="A139" s="140">
        <v>3</v>
      </c>
      <c r="B139" s="139">
        <v>0</v>
      </c>
      <c r="C139" s="10">
        <v>38</v>
      </c>
      <c r="D139" s="11"/>
      <c r="E139" s="12"/>
      <c r="F139" s="13"/>
      <c r="G139" s="14"/>
      <c r="H139" s="15"/>
      <c r="I139" s="16"/>
    </row>
    <row r="140" spans="1:9" ht="14.25">
      <c r="A140" s="140">
        <v>3</v>
      </c>
      <c r="B140" s="139">
        <v>0</v>
      </c>
      <c r="C140" s="10">
        <v>39</v>
      </c>
      <c r="D140" s="11"/>
      <c r="E140" s="12"/>
      <c r="F140" s="13"/>
      <c r="G140" s="14"/>
      <c r="H140" s="15"/>
      <c r="I140" s="16"/>
    </row>
    <row r="141" spans="1:9" ht="14.25">
      <c r="A141" s="140">
        <v>3</v>
      </c>
      <c r="B141" s="139">
        <v>0</v>
      </c>
      <c r="C141" s="10">
        <v>40</v>
      </c>
      <c r="D141" s="11"/>
      <c r="E141" s="12"/>
      <c r="F141" s="13"/>
      <c r="G141" s="14"/>
      <c r="H141" s="15"/>
      <c r="I141" s="16"/>
    </row>
    <row r="142" spans="1:9" ht="14.25">
      <c r="A142" s="140">
        <v>3</v>
      </c>
      <c r="B142" s="139">
        <v>0</v>
      </c>
      <c r="C142" s="10">
        <v>41</v>
      </c>
      <c r="D142" s="11"/>
      <c r="E142" s="12"/>
      <c r="F142" s="13"/>
      <c r="G142" s="14"/>
      <c r="H142" s="15"/>
      <c r="I142" s="16"/>
    </row>
    <row r="143" spans="1:9" ht="14.25">
      <c r="A143" s="140">
        <v>3</v>
      </c>
      <c r="B143" s="139">
        <v>0</v>
      </c>
      <c r="C143" s="10">
        <v>42</v>
      </c>
      <c r="D143" s="11"/>
      <c r="E143" s="12"/>
      <c r="F143" s="13"/>
      <c r="G143" s="14"/>
      <c r="H143" s="15"/>
      <c r="I143" s="16"/>
    </row>
    <row r="144" spans="1:9" ht="14.25">
      <c r="A144" s="140">
        <v>3</v>
      </c>
      <c r="B144" s="139">
        <v>0</v>
      </c>
      <c r="C144" s="10">
        <v>43</v>
      </c>
      <c r="D144" s="11"/>
      <c r="E144" s="12"/>
      <c r="F144" s="13"/>
      <c r="G144" s="14"/>
      <c r="H144" s="15"/>
      <c r="I144" s="16"/>
    </row>
    <row r="145" spans="1:11" ht="14.25">
      <c r="A145" s="140">
        <v>3</v>
      </c>
      <c r="B145" s="139">
        <v>0</v>
      </c>
      <c r="C145" s="10">
        <v>44</v>
      </c>
      <c r="D145" s="11"/>
      <c r="E145" s="12"/>
      <c r="F145" s="13"/>
      <c r="G145" s="14"/>
      <c r="H145" s="15"/>
      <c r="I145" s="16"/>
    </row>
    <row r="146" spans="1:11" ht="14.25">
      <c r="A146" s="140">
        <v>3</v>
      </c>
      <c r="B146" s="139">
        <v>0</v>
      </c>
      <c r="C146" s="10">
        <v>45</v>
      </c>
      <c r="D146" s="11"/>
      <c r="E146" s="12"/>
      <c r="F146" s="13"/>
      <c r="G146" s="14"/>
      <c r="H146" s="15"/>
      <c r="I146" s="16"/>
    </row>
    <row r="147" spans="1:11" ht="14.25">
      <c r="A147" s="140">
        <v>3</v>
      </c>
      <c r="B147" s="139">
        <v>0</v>
      </c>
      <c r="C147" s="10">
        <v>46</v>
      </c>
      <c r="D147" s="11"/>
      <c r="E147" s="12"/>
      <c r="F147" s="13"/>
      <c r="G147" s="14"/>
      <c r="H147" s="15"/>
      <c r="I147" s="16"/>
    </row>
    <row r="148" spans="1:11" ht="14.25">
      <c r="A148" s="140">
        <v>3</v>
      </c>
      <c r="B148" s="139">
        <v>0</v>
      </c>
      <c r="C148" s="10">
        <v>47</v>
      </c>
      <c r="D148" s="11"/>
      <c r="E148" s="12"/>
      <c r="F148" s="13"/>
      <c r="G148" s="14"/>
      <c r="H148" s="15"/>
      <c r="I148" s="16"/>
    </row>
    <row r="149" spans="1:11" ht="14.25">
      <c r="A149" s="140">
        <v>3</v>
      </c>
      <c r="B149" s="139">
        <v>0</v>
      </c>
      <c r="C149" s="10">
        <v>48</v>
      </c>
      <c r="D149" s="11"/>
      <c r="E149" s="12"/>
      <c r="F149" s="13"/>
      <c r="G149" s="14"/>
      <c r="H149" s="15"/>
      <c r="I149" s="16"/>
    </row>
    <row r="150" spans="1:11" ht="14.25">
      <c r="A150" s="140">
        <v>3</v>
      </c>
      <c r="B150" s="139">
        <v>0</v>
      </c>
      <c r="C150" s="10">
        <v>49</v>
      </c>
      <c r="D150" s="11"/>
      <c r="E150" s="12"/>
      <c r="F150" s="13"/>
      <c r="G150" s="14"/>
      <c r="H150" s="15"/>
      <c r="I150" s="16"/>
    </row>
    <row r="151" spans="1:11" ht="14.25">
      <c r="A151" s="140">
        <v>3</v>
      </c>
      <c r="B151" s="139">
        <v>0</v>
      </c>
      <c r="C151" s="10">
        <v>50</v>
      </c>
      <c r="D151" s="11"/>
      <c r="E151" s="12"/>
      <c r="F151" s="13"/>
      <c r="G151" s="14"/>
      <c r="H151" s="15"/>
      <c r="I151" s="16"/>
    </row>
    <row r="152" spans="1:11" ht="14.25">
      <c r="A152" s="140">
        <v>4</v>
      </c>
      <c r="B152" s="139"/>
      <c r="C152" s="10">
        <v>1</v>
      </c>
      <c r="D152" s="11"/>
      <c r="E152" s="12"/>
      <c r="F152" s="13"/>
      <c r="G152" s="14"/>
      <c r="H152" s="15"/>
      <c r="I152" s="16"/>
      <c r="K152" s="1"/>
    </row>
    <row r="153" spans="1:11" ht="14.25">
      <c r="A153" s="140">
        <v>4</v>
      </c>
      <c r="B153" s="139">
        <v>0</v>
      </c>
      <c r="C153" s="10">
        <v>2</v>
      </c>
      <c r="D153" s="11"/>
      <c r="E153" s="12"/>
      <c r="F153" s="13"/>
      <c r="G153" s="14"/>
      <c r="H153" s="15"/>
      <c r="I153" s="16"/>
      <c r="K153" s="1"/>
    </row>
    <row r="154" spans="1:11" ht="14.25">
      <c r="A154" s="140">
        <v>4</v>
      </c>
      <c r="B154" s="139">
        <v>0</v>
      </c>
      <c r="C154" s="10">
        <v>3</v>
      </c>
      <c r="D154" s="11"/>
      <c r="E154" s="12"/>
      <c r="F154" s="13"/>
      <c r="G154" s="14"/>
      <c r="H154" s="15"/>
      <c r="I154" s="16"/>
    </row>
    <row r="155" spans="1:11" ht="14.25">
      <c r="A155" s="140">
        <v>4</v>
      </c>
      <c r="B155" s="139">
        <v>0</v>
      </c>
      <c r="C155" s="10">
        <v>4</v>
      </c>
      <c r="D155" s="11"/>
      <c r="E155" s="12"/>
      <c r="F155" s="13"/>
      <c r="G155" s="14"/>
      <c r="H155" s="15"/>
      <c r="I155" s="16"/>
    </row>
    <row r="156" spans="1:11" ht="14.25">
      <c r="A156" s="140">
        <v>4</v>
      </c>
      <c r="B156" s="139">
        <v>0</v>
      </c>
      <c r="C156" s="10">
        <v>5</v>
      </c>
      <c r="D156" s="11"/>
      <c r="E156" s="12"/>
      <c r="F156" s="13"/>
      <c r="G156" s="14"/>
      <c r="H156" s="15"/>
      <c r="I156" s="16"/>
    </row>
    <row r="157" spans="1:11" ht="14.25">
      <c r="A157" s="140">
        <v>4</v>
      </c>
      <c r="B157" s="139">
        <v>0</v>
      </c>
      <c r="C157" s="10">
        <v>6</v>
      </c>
      <c r="D157" s="11"/>
      <c r="E157" s="12"/>
      <c r="F157" s="13"/>
      <c r="G157" s="14"/>
      <c r="H157" s="15"/>
      <c r="I157" s="16"/>
    </row>
    <row r="158" spans="1:11" ht="14.25">
      <c r="A158" s="140">
        <v>4</v>
      </c>
      <c r="B158" s="139">
        <v>0</v>
      </c>
      <c r="C158" s="10">
        <v>7</v>
      </c>
      <c r="D158" s="11"/>
      <c r="E158" s="12"/>
      <c r="F158" s="13"/>
      <c r="G158" s="14"/>
      <c r="H158" s="15"/>
      <c r="I158" s="16"/>
    </row>
    <row r="159" spans="1:11" ht="14.25">
      <c r="A159" s="140">
        <v>4</v>
      </c>
      <c r="B159" s="139">
        <v>0</v>
      </c>
      <c r="C159" s="10">
        <v>8</v>
      </c>
      <c r="D159" s="11"/>
      <c r="E159" s="12"/>
      <c r="F159" s="13"/>
      <c r="G159" s="14"/>
      <c r="H159" s="15"/>
      <c r="I159" s="16"/>
    </row>
    <row r="160" spans="1:11" ht="14.25">
      <c r="A160" s="140">
        <v>4</v>
      </c>
      <c r="B160" s="139">
        <v>0</v>
      </c>
      <c r="C160" s="10">
        <v>9</v>
      </c>
      <c r="D160" s="11"/>
      <c r="E160" s="12"/>
      <c r="F160" s="13"/>
      <c r="G160" s="14"/>
      <c r="H160" s="15"/>
      <c r="I160" s="16"/>
    </row>
    <row r="161" spans="1:9" ht="14.25">
      <c r="A161" s="140">
        <v>4</v>
      </c>
      <c r="B161" s="139">
        <v>0</v>
      </c>
      <c r="C161" s="10">
        <v>10</v>
      </c>
      <c r="D161" s="11"/>
      <c r="E161" s="12"/>
      <c r="F161" s="13"/>
      <c r="G161" s="14"/>
      <c r="H161" s="15"/>
      <c r="I161" s="16"/>
    </row>
    <row r="162" spans="1:9" ht="14.25">
      <c r="A162" s="140">
        <v>4</v>
      </c>
      <c r="B162" s="139">
        <v>0</v>
      </c>
      <c r="C162" s="10">
        <v>11</v>
      </c>
      <c r="D162" s="11"/>
      <c r="E162" s="12"/>
      <c r="F162" s="13"/>
      <c r="G162" s="14"/>
      <c r="H162" s="15"/>
      <c r="I162" s="16"/>
    </row>
    <row r="163" spans="1:9" ht="14.25">
      <c r="A163" s="140">
        <v>4</v>
      </c>
      <c r="B163" s="139">
        <v>0</v>
      </c>
      <c r="C163" s="10">
        <v>12</v>
      </c>
      <c r="D163" s="11"/>
      <c r="E163" s="12"/>
      <c r="F163" s="13"/>
      <c r="G163" s="14"/>
      <c r="H163" s="15"/>
      <c r="I163" s="16"/>
    </row>
    <row r="164" spans="1:9" ht="14.25">
      <c r="A164" s="140">
        <v>4</v>
      </c>
      <c r="B164" s="139">
        <v>0</v>
      </c>
      <c r="C164" s="10">
        <v>13</v>
      </c>
      <c r="D164" s="11"/>
      <c r="E164" s="12"/>
      <c r="F164" s="13"/>
      <c r="G164" s="14"/>
      <c r="H164" s="15"/>
      <c r="I164" s="16"/>
    </row>
    <row r="165" spans="1:9" ht="14.25">
      <c r="A165" s="140">
        <v>4</v>
      </c>
      <c r="B165" s="139">
        <v>0</v>
      </c>
      <c r="C165" s="10">
        <v>14</v>
      </c>
      <c r="D165" s="11"/>
      <c r="E165" s="12"/>
      <c r="F165" s="13"/>
      <c r="G165" s="14"/>
      <c r="H165" s="15"/>
      <c r="I165" s="16"/>
    </row>
    <row r="166" spans="1:9" ht="14.25">
      <c r="A166" s="140">
        <v>4</v>
      </c>
      <c r="B166" s="139">
        <v>0</v>
      </c>
      <c r="C166" s="10">
        <v>15</v>
      </c>
      <c r="D166" s="11"/>
      <c r="E166" s="12"/>
      <c r="F166" s="13"/>
      <c r="G166" s="14"/>
      <c r="H166" s="15"/>
      <c r="I166" s="16"/>
    </row>
    <row r="167" spans="1:9" ht="14.25">
      <c r="A167" s="140">
        <v>4</v>
      </c>
      <c r="B167" s="139">
        <v>0</v>
      </c>
      <c r="C167" s="10">
        <v>16</v>
      </c>
      <c r="D167" s="11"/>
      <c r="E167" s="12"/>
      <c r="F167" s="13"/>
      <c r="G167" s="14"/>
      <c r="H167" s="15"/>
      <c r="I167" s="16"/>
    </row>
    <row r="168" spans="1:9" ht="14.25">
      <c r="A168" s="140">
        <v>4</v>
      </c>
      <c r="B168" s="139">
        <v>0</v>
      </c>
      <c r="C168" s="10">
        <v>17</v>
      </c>
      <c r="D168" s="11"/>
      <c r="E168" s="12"/>
      <c r="F168" s="13"/>
      <c r="G168" s="14"/>
      <c r="H168" s="15"/>
      <c r="I168" s="16"/>
    </row>
    <row r="169" spans="1:9" ht="14.25">
      <c r="A169" s="140">
        <v>4</v>
      </c>
      <c r="B169" s="139">
        <v>0</v>
      </c>
      <c r="C169" s="10">
        <v>18</v>
      </c>
      <c r="D169" s="11"/>
      <c r="E169" s="12"/>
      <c r="F169" s="13"/>
      <c r="G169" s="14"/>
      <c r="H169" s="15"/>
      <c r="I169" s="16"/>
    </row>
    <row r="170" spans="1:9" ht="14.25">
      <c r="A170" s="140">
        <v>4</v>
      </c>
      <c r="B170" s="139">
        <v>0</v>
      </c>
      <c r="C170" s="10">
        <v>19</v>
      </c>
      <c r="D170" s="11"/>
      <c r="E170" s="12"/>
      <c r="F170" s="13"/>
      <c r="G170" s="14"/>
      <c r="H170" s="15"/>
      <c r="I170" s="16"/>
    </row>
    <row r="171" spans="1:9" ht="14.25">
      <c r="A171" s="140">
        <v>4</v>
      </c>
      <c r="B171" s="139">
        <v>0</v>
      </c>
      <c r="C171" s="10">
        <v>20</v>
      </c>
      <c r="D171" s="11"/>
      <c r="E171" s="12"/>
      <c r="F171" s="13"/>
      <c r="G171" s="14"/>
      <c r="H171" s="15"/>
      <c r="I171" s="16"/>
    </row>
    <row r="172" spans="1:9" ht="14.25">
      <c r="A172" s="140">
        <v>4</v>
      </c>
      <c r="B172" s="139">
        <v>0</v>
      </c>
      <c r="C172" s="10">
        <v>21</v>
      </c>
      <c r="D172" s="11"/>
      <c r="E172" s="12"/>
      <c r="F172" s="13"/>
      <c r="G172" s="14"/>
      <c r="H172" s="15"/>
      <c r="I172" s="16"/>
    </row>
    <row r="173" spans="1:9" ht="14.25">
      <c r="A173" s="140">
        <v>4</v>
      </c>
      <c r="B173" s="139">
        <v>0</v>
      </c>
      <c r="C173" s="10">
        <v>22</v>
      </c>
      <c r="D173" s="11"/>
      <c r="E173" s="12"/>
      <c r="F173" s="13"/>
      <c r="G173" s="14"/>
      <c r="H173" s="15"/>
      <c r="I173" s="16"/>
    </row>
    <row r="174" spans="1:9" ht="14.25">
      <c r="A174" s="140">
        <v>4</v>
      </c>
      <c r="B174" s="139">
        <v>0</v>
      </c>
      <c r="C174" s="10">
        <v>23</v>
      </c>
      <c r="D174" s="11"/>
      <c r="E174" s="12"/>
      <c r="F174" s="13"/>
      <c r="G174" s="14"/>
      <c r="H174" s="15"/>
      <c r="I174" s="16"/>
    </row>
    <row r="175" spans="1:9" ht="14.25">
      <c r="A175" s="140">
        <v>4</v>
      </c>
      <c r="B175" s="139">
        <v>0</v>
      </c>
      <c r="C175" s="10">
        <v>24</v>
      </c>
      <c r="D175" s="11"/>
      <c r="E175" s="12"/>
      <c r="F175" s="13"/>
      <c r="G175" s="14"/>
      <c r="H175" s="15"/>
      <c r="I175" s="16"/>
    </row>
    <row r="176" spans="1:9" ht="14.25">
      <c r="A176" s="140">
        <v>4</v>
      </c>
      <c r="B176" s="139">
        <v>0</v>
      </c>
      <c r="C176" s="10">
        <v>25</v>
      </c>
      <c r="D176" s="11"/>
      <c r="E176" s="12"/>
      <c r="F176" s="13"/>
      <c r="G176" s="14"/>
      <c r="H176" s="15"/>
      <c r="I176" s="16"/>
    </row>
    <row r="177" spans="1:9" ht="14.25">
      <c r="A177" s="140">
        <v>4</v>
      </c>
      <c r="B177" s="139">
        <v>0</v>
      </c>
      <c r="C177" s="10">
        <v>26</v>
      </c>
      <c r="D177" s="11"/>
      <c r="E177" s="12"/>
      <c r="F177" s="13"/>
      <c r="G177" s="14"/>
      <c r="H177" s="15"/>
      <c r="I177" s="16"/>
    </row>
    <row r="178" spans="1:9" ht="14.25">
      <c r="A178" s="140">
        <v>4</v>
      </c>
      <c r="B178" s="139">
        <v>0</v>
      </c>
      <c r="C178" s="10">
        <v>27</v>
      </c>
      <c r="D178" s="11"/>
      <c r="E178" s="12"/>
      <c r="F178" s="13"/>
      <c r="G178" s="14"/>
      <c r="H178" s="15"/>
      <c r="I178" s="16"/>
    </row>
    <row r="179" spans="1:9" ht="14.25">
      <c r="A179" s="140">
        <v>4</v>
      </c>
      <c r="B179" s="139">
        <v>0</v>
      </c>
      <c r="C179" s="10">
        <v>28</v>
      </c>
      <c r="D179" s="11"/>
      <c r="E179" s="12"/>
      <c r="F179" s="13"/>
      <c r="G179" s="14"/>
      <c r="H179" s="15"/>
      <c r="I179" s="16"/>
    </row>
    <row r="180" spans="1:9" ht="14.25">
      <c r="A180" s="140">
        <v>4</v>
      </c>
      <c r="B180" s="139">
        <v>0</v>
      </c>
      <c r="C180" s="10">
        <v>29</v>
      </c>
      <c r="D180" s="11"/>
      <c r="E180" s="12"/>
      <c r="F180" s="13"/>
      <c r="G180" s="14"/>
      <c r="H180" s="15"/>
      <c r="I180" s="16"/>
    </row>
    <row r="181" spans="1:9" ht="14.25">
      <c r="A181" s="140">
        <v>4</v>
      </c>
      <c r="B181" s="139">
        <v>0</v>
      </c>
      <c r="C181" s="10">
        <v>30</v>
      </c>
      <c r="D181" s="11"/>
      <c r="E181" s="12"/>
      <c r="F181" s="13"/>
      <c r="G181" s="14"/>
      <c r="H181" s="15"/>
      <c r="I181" s="16"/>
    </row>
    <row r="182" spans="1:9" ht="14.25">
      <c r="A182" s="140">
        <v>4</v>
      </c>
      <c r="B182" s="139">
        <v>0</v>
      </c>
      <c r="C182" s="10">
        <v>31</v>
      </c>
      <c r="D182" s="11"/>
      <c r="E182" s="12"/>
      <c r="F182" s="13"/>
      <c r="G182" s="14"/>
      <c r="H182" s="15"/>
      <c r="I182" s="16"/>
    </row>
    <row r="183" spans="1:9" ht="14.25">
      <c r="A183" s="140">
        <v>4</v>
      </c>
      <c r="B183" s="139">
        <v>0</v>
      </c>
      <c r="C183" s="10">
        <v>32</v>
      </c>
      <c r="D183" s="11"/>
      <c r="E183" s="12"/>
      <c r="F183" s="13"/>
      <c r="G183" s="14"/>
      <c r="H183" s="15"/>
      <c r="I183" s="16"/>
    </row>
    <row r="184" spans="1:9" ht="14.25">
      <c r="A184" s="140">
        <v>4</v>
      </c>
      <c r="B184" s="139">
        <v>0</v>
      </c>
      <c r="C184" s="10">
        <v>33</v>
      </c>
      <c r="D184" s="11"/>
      <c r="E184" s="12"/>
      <c r="F184" s="13"/>
      <c r="G184" s="14"/>
      <c r="H184" s="15"/>
      <c r="I184" s="16"/>
    </row>
    <row r="185" spans="1:9" ht="14.25">
      <c r="A185" s="140">
        <v>4</v>
      </c>
      <c r="B185" s="139">
        <v>0</v>
      </c>
      <c r="C185" s="10">
        <v>34</v>
      </c>
      <c r="D185" s="11"/>
      <c r="E185" s="12"/>
      <c r="F185" s="13"/>
      <c r="G185" s="14"/>
      <c r="H185" s="15"/>
      <c r="I185" s="16"/>
    </row>
    <row r="186" spans="1:9" ht="14.25">
      <c r="A186" s="140">
        <v>4</v>
      </c>
      <c r="B186" s="139">
        <v>0</v>
      </c>
      <c r="C186" s="10">
        <v>35</v>
      </c>
      <c r="D186" s="11"/>
      <c r="E186" s="12"/>
      <c r="F186" s="13"/>
      <c r="G186" s="14"/>
      <c r="H186" s="15"/>
      <c r="I186" s="16"/>
    </row>
    <row r="187" spans="1:9" ht="14.25">
      <c r="A187" s="140">
        <v>4</v>
      </c>
      <c r="B187" s="139">
        <v>0</v>
      </c>
      <c r="C187" s="10">
        <v>36</v>
      </c>
      <c r="D187" s="11"/>
      <c r="E187" s="12"/>
      <c r="F187" s="13"/>
      <c r="G187" s="14"/>
      <c r="H187" s="15"/>
      <c r="I187" s="16"/>
    </row>
    <row r="188" spans="1:9" ht="14.25">
      <c r="A188" s="140">
        <v>4</v>
      </c>
      <c r="B188" s="139">
        <v>0</v>
      </c>
      <c r="C188" s="10">
        <v>37</v>
      </c>
      <c r="D188" s="11"/>
      <c r="E188" s="12"/>
      <c r="F188" s="13"/>
      <c r="G188" s="14"/>
      <c r="H188" s="15"/>
      <c r="I188" s="16"/>
    </row>
    <row r="189" spans="1:9" ht="14.25">
      <c r="A189" s="140">
        <v>4</v>
      </c>
      <c r="B189" s="139">
        <v>0</v>
      </c>
      <c r="C189" s="10">
        <v>38</v>
      </c>
      <c r="D189" s="11"/>
      <c r="E189" s="12"/>
      <c r="F189" s="13"/>
      <c r="G189" s="14"/>
      <c r="H189" s="15"/>
      <c r="I189" s="16"/>
    </row>
    <row r="190" spans="1:9" ht="14.25">
      <c r="A190" s="140">
        <v>4</v>
      </c>
      <c r="B190" s="139">
        <v>0</v>
      </c>
      <c r="C190" s="10">
        <v>39</v>
      </c>
      <c r="D190" s="11"/>
      <c r="E190" s="12"/>
      <c r="F190" s="13"/>
      <c r="G190" s="14"/>
      <c r="H190" s="15"/>
      <c r="I190" s="16"/>
    </row>
    <row r="191" spans="1:9" ht="14.25">
      <c r="A191" s="140">
        <v>4</v>
      </c>
      <c r="B191" s="139">
        <v>0</v>
      </c>
      <c r="C191" s="10">
        <v>40</v>
      </c>
      <c r="D191" s="11"/>
      <c r="E191" s="12"/>
      <c r="F191" s="13"/>
      <c r="G191" s="14"/>
      <c r="H191" s="15"/>
      <c r="I191" s="16"/>
    </row>
    <row r="192" spans="1:9" ht="14.25">
      <c r="A192" s="140">
        <v>4</v>
      </c>
      <c r="B192" s="139">
        <v>0</v>
      </c>
      <c r="C192" s="10">
        <v>41</v>
      </c>
      <c r="D192" s="11"/>
      <c r="E192" s="12"/>
      <c r="F192" s="13"/>
      <c r="G192" s="14"/>
      <c r="H192" s="15"/>
      <c r="I192" s="16"/>
    </row>
    <row r="193" spans="1:9" ht="14.25">
      <c r="A193" s="140">
        <v>4</v>
      </c>
      <c r="B193" s="139">
        <v>0</v>
      </c>
      <c r="C193" s="10">
        <v>42</v>
      </c>
      <c r="D193" s="11"/>
      <c r="E193" s="12"/>
      <c r="F193" s="13"/>
      <c r="G193" s="14"/>
      <c r="H193" s="15"/>
      <c r="I193" s="16"/>
    </row>
    <row r="194" spans="1:9" ht="14.25">
      <c r="A194" s="140">
        <v>4</v>
      </c>
      <c r="B194" s="139">
        <v>0</v>
      </c>
      <c r="C194" s="10">
        <v>43</v>
      </c>
      <c r="D194" s="11"/>
      <c r="E194" s="12"/>
      <c r="F194" s="13"/>
      <c r="G194" s="14"/>
      <c r="H194" s="15"/>
      <c r="I194" s="16"/>
    </row>
    <row r="195" spans="1:9" ht="14.25">
      <c r="A195" s="140">
        <v>4</v>
      </c>
      <c r="B195" s="139">
        <v>0</v>
      </c>
      <c r="C195" s="10">
        <v>44</v>
      </c>
      <c r="D195" s="11"/>
      <c r="E195" s="12"/>
      <c r="F195" s="13"/>
      <c r="G195" s="14"/>
      <c r="H195" s="15"/>
      <c r="I195" s="16"/>
    </row>
    <row r="196" spans="1:9" ht="14.25">
      <c r="A196" s="140">
        <v>4</v>
      </c>
      <c r="B196" s="139">
        <v>0</v>
      </c>
      <c r="C196" s="10">
        <v>45</v>
      </c>
      <c r="D196" s="11"/>
      <c r="E196" s="12"/>
      <c r="F196" s="13"/>
      <c r="G196" s="14"/>
      <c r="H196" s="15"/>
      <c r="I196" s="16"/>
    </row>
    <row r="197" spans="1:9" ht="14.25">
      <c r="A197" s="140">
        <v>4</v>
      </c>
      <c r="B197" s="139">
        <v>0</v>
      </c>
      <c r="C197" s="10">
        <v>46</v>
      </c>
      <c r="D197" s="11"/>
      <c r="E197" s="12"/>
      <c r="F197" s="13"/>
      <c r="G197" s="14"/>
      <c r="H197" s="15"/>
      <c r="I197" s="16"/>
    </row>
    <row r="198" spans="1:9" ht="14.25">
      <c r="A198" s="140">
        <v>4</v>
      </c>
      <c r="B198" s="139">
        <v>0</v>
      </c>
      <c r="C198" s="10">
        <v>47</v>
      </c>
      <c r="D198" s="11"/>
      <c r="E198" s="12"/>
      <c r="F198" s="13"/>
      <c r="G198" s="14"/>
      <c r="H198" s="15"/>
      <c r="I198" s="16"/>
    </row>
    <row r="199" spans="1:9" ht="14.25">
      <c r="A199" s="140">
        <v>4</v>
      </c>
      <c r="B199" s="139">
        <v>0</v>
      </c>
      <c r="C199" s="10">
        <v>48</v>
      </c>
      <c r="D199" s="11"/>
      <c r="E199" s="12"/>
      <c r="F199" s="13"/>
      <c r="G199" s="14"/>
      <c r="H199" s="15"/>
      <c r="I199" s="16"/>
    </row>
    <row r="200" spans="1:9" ht="14.25">
      <c r="A200" s="140">
        <v>4</v>
      </c>
      <c r="B200" s="139">
        <v>0</v>
      </c>
      <c r="C200" s="10">
        <v>49</v>
      </c>
      <c r="D200" s="11"/>
      <c r="E200" s="12"/>
      <c r="F200" s="13"/>
      <c r="G200" s="14"/>
      <c r="H200" s="15"/>
      <c r="I200" s="16"/>
    </row>
    <row r="201" spans="1:9" ht="14.25">
      <c r="A201" s="140">
        <v>4</v>
      </c>
      <c r="B201" s="139">
        <v>0</v>
      </c>
      <c r="C201" s="10">
        <v>50</v>
      </c>
      <c r="D201" s="11"/>
      <c r="E201" s="12"/>
      <c r="F201" s="13"/>
      <c r="G201" s="14"/>
      <c r="H201" s="15"/>
      <c r="I201" s="16"/>
    </row>
    <row r="202" spans="1:9" ht="14.25">
      <c r="A202" s="140">
        <v>5</v>
      </c>
      <c r="B202" s="139"/>
      <c r="C202" s="10">
        <v>1</v>
      </c>
      <c r="D202" s="11"/>
      <c r="E202" s="12"/>
      <c r="F202" s="13"/>
      <c r="G202" s="14"/>
      <c r="H202" s="15"/>
      <c r="I202" s="16"/>
    </row>
    <row r="203" spans="1:9" ht="14.25">
      <c r="A203" s="140">
        <v>5</v>
      </c>
      <c r="B203" s="139">
        <v>0</v>
      </c>
      <c r="C203" s="10">
        <v>2</v>
      </c>
      <c r="D203" s="11"/>
      <c r="E203" s="12"/>
      <c r="F203" s="13"/>
      <c r="G203" s="14"/>
      <c r="H203" s="15"/>
      <c r="I203" s="16"/>
    </row>
    <row r="204" spans="1:9" ht="14.25">
      <c r="A204" s="140">
        <v>5</v>
      </c>
      <c r="B204" s="139">
        <v>0</v>
      </c>
      <c r="C204" s="10">
        <v>3</v>
      </c>
      <c r="D204" s="11"/>
      <c r="E204" s="12"/>
      <c r="F204" s="13"/>
      <c r="G204" s="14"/>
      <c r="H204" s="15"/>
      <c r="I204" s="16"/>
    </row>
    <row r="205" spans="1:9" ht="14.25">
      <c r="A205" s="140">
        <v>5</v>
      </c>
      <c r="B205" s="139">
        <v>0</v>
      </c>
      <c r="C205" s="10">
        <v>4</v>
      </c>
      <c r="D205" s="11"/>
      <c r="E205" s="12"/>
      <c r="F205" s="13"/>
      <c r="G205" s="14"/>
      <c r="H205" s="15"/>
      <c r="I205" s="16"/>
    </row>
    <row r="206" spans="1:9" ht="14.25">
      <c r="A206" s="140">
        <v>5</v>
      </c>
      <c r="B206" s="139">
        <v>0</v>
      </c>
      <c r="C206" s="10">
        <v>5</v>
      </c>
      <c r="D206" s="11"/>
      <c r="E206" s="12"/>
      <c r="F206" s="13"/>
      <c r="G206" s="14"/>
      <c r="H206" s="15"/>
      <c r="I206" s="16"/>
    </row>
    <row r="207" spans="1:9" ht="14.25">
      <c r="A207" s="140">
        <v>5</v>
      </c>
      <c r="B207" s="139">
        <v>0</v>
      </c>
      <c r="C207" s="10">
        <v>6</v>
      </c>
      <c r="D207" s="11"/>
      <c r="E207" s="12"/>
      <c r="F207" s="13"/>
      <c r="G207" s="14"/>
      <c r="H207" s="15"/>
      <c r="I207" s="16"/>
    </row>
    <row r="208" spans="1:9" ht="14.25">
      <c r="A208" s="140">
        <v>5</v>
      </c>
      <c r="B208" s="139">
        <v>0</v>
      </c>
      <c r="C208" s="10">
        <v>7</v>
      </c>
      <c r="D208" s="11"/>
      <c r="E208" s="12"/>
      <c r="F208" s="13"/>
      <c r="G208" s="14"/>
      <c r="H208" s="15"/>
      <c r="I208" s="16"/>
    </row>
    <row r="209" spans="1:9" ht="14.25">
      <c r="A209" s="140">
        <v>5</v>
      </c>
      <c r="B209" s="139">
        <v>0</v>
      </c>
      <c r="C209" s="10">
        <v>8</v>
      </c>
      <c r="D209" s="11"/>
      <c r="E209" s="12"/>
      <c r="F209" s="13"/>
      <c r="G209" s="14"/>
      <c r="H209" s="15"/>
      <c r="I209" s="16"/>
    </row>
    <row r="210" spans="1:9" ht="14.25">
      <c r="A210" s="140">
        <v>5</v>
      </c>
      <c r="B210" s="139">
        <v>0</v>
      </c>
      <c r="C210" s="10">
        <v>9</v>
      </c>
      <c r="D210" s="11"/>
      <c r="E210" s="12"/>
      <c r="F210" s="13"/>
      <c r="G210" s="14"/>
      <c r="H210" s="15"/>
      <c r="I210" s="16"/>
    </row>
    <row r="211" spans="1:9" ht="14.25">
      <c r="A211" s="140">
        <v>5</v>
      </c>
      <c r="B211" s="139">
        <v>0</v>
      </c>
      <c r="C211" s="10">
        <v>10</v>
      </c>
      <c r="D211" s="11"/>
      <c r="E211" s="12"/>
      <c r="F211" s="13"/>
      <c r="G211" s="14"/>
      <c r="H211" s="15"/>
      <c r="I211" s="16"/>
    </row>
    <row r="212" spans="1:9" ht="14.25">
      <c r="A212" s="140">
        <v>5</v>
      </c>
      <c r="B212" s="139">
        <v>0</v>
      </c>
      <c r="C212" s="10">
        <v>11</v>
      </c>
      <c r="D212" s="11"/>
      <c r="E212" s="12"/>
      <c r="F212" s="13"/>
      <c r="G212" s="14"/>
      <c r="H212" s="15"/>
      <c r="I212" s="16"/>
    </row>
    <row r="213" spans="1:9" ht="14.25">
      <c r="A213" s="140">
        <v>5</v>
      </c>
      <c r="B213" s="139">
        <v>0</v>
      </c>
      <c r="C213" s="10">
        <v>12</v>
      </c>
      <c r="D213" s="11"/>
      <c r="E213" s="12"/>
      <c r="F213" s="13"/>
      <c r="G213" s="14"/>
      <c r="H213" s="15"/>
      <c r="I213" s="16"/>
    </row>
    <row r="214" spans="1:9" ht="14.25">
      <c r="A214" s="140">
        <v>5</v>
      </c>
      <c r="B214" s="139">
        <v>0</v>
      </c>
      <c r="C214" s="10">
        <v>13</v>
      </c>
      <c r="D214" s="11"/>
      <c r="E214" s="12"/>
      <c r="F214" s="13"/>
      <c r="G214" s="14"/>
      <c r="H214" s="15"/>
      <c r="I214" s="16"/>
    </row>
    <row r="215" spans="1:9" ht="14.25">
      <c r="A215" s="140">
        <v>5</v>
      </c>
      <c r="B215" s="139">
        <v>0</v>
      </c>
      <c r="C215" s="10">
        <v>14</v>
      </c>
      <c r="D215" s="11"/>
      <c r="E215" s="12"/>
      <c r="F215" s="13"/>
      <c r="G215" s="14"/>
      <c r="H215" s="15"/>
      <c r="I215" s="16"/>
    </row>
    <row r="216" spans="1:9" ht="14.25">
      <c r="A216" s="140">
        <v>5</v>
      </c>
      <c r="B216" s="139">
        <v>0</v>
      </c>
      <c r="C216" s="10">
        <v>15</v>
      </c>
      <c r="D216" s="11"/>
      <c r="E216" s="12"/>
      <c r="F216" s="13"/>
      <c r="G216" s="14"/>
      <c r="H216" s="15"/>
      <c r="I216" s="16"/>
    </row>
    <row r="217" spans="1:9" ht="14.25">
      <c r="A217" s="140">
        <v>5</v>
      </c>
      <c r="B217" s="139">
        <v>0</v>
      </c>
      <c r="C217" s="10">
        <v>16</v>
      </c>
      <c r="D217" s="11"/>
      <c r="E217" s="12"/>
      <c r="F217" s="13"/>
      <c r="G217" s="14"/>
      <c r="H217" s="15"/>
      <c r="I217" s="16"/>
    </row>
    <row r="218" spans="1:9" ht="14.25">
      <c r="A218" s="140">
        <v>5</v>
      </c>
      <c r="B218" s="139">
        <v>0</v>
      </c>
      <c r="C218" s="10">
        <v>17</v>
      </c>
      <c r="D218" s="11"/>
      <c r="E218" s="12"/>
      <c r="F218" s="13"/>
      <c r="G218" s="14"/>
      <c r="H218" s="15"/>
      <c r="I218" s="16"/>
    </row>
    <row r="219" spans="1:9" ht="14.25">
      <c r="A219" s="140">
        <v>5</v>
      </c>
      <c r="B219" s="139">
        <v>0</v>
      </c>
      <c r="C219" s="10">
        <v>18</v>
      </c>
      <c r="D219" s="11"/>
      <c r="E219" s="12"/>
      <c r="F219" s="13"/>
      <c r="G219" s="14"/>
      <c r="H219" s="15"/>
      <c r="I219" s="16"/>
    </row>
    <row r="220" spans="1:9" ht="14.25">
      <c r="A220" s="140">
        <v>5</v>
      </c>
      <c r="B220" s="139">
        <v>0</v>
      </c>
      <c r="C220" s="10">
        <v>19</v>
      </c>
      <c r="D220" s="11"/>
      <c r="E220" s="12"/>
      <c r="F220" s="13"/>
      <c r="G220" s="14"/>
      <c r="H220" s="15"/>
      <c r="I220" s="16"/>
    </row>
    <row r="221" spans="1:9" ht="14.25">
      <c r="A221" s="140">
        <v>5</v>
      </c>
      <c r="B221" s="139">
        <v>0</v>
      </c>
      <c r="C221" s="10">
        <v>20</v>
      </c>
      <c r="D221" s="11"/>
      <c r="E221" s="12"/>
      <c r="F221" s="13"/>
      <c r="G221" s="14"/>
      <c r="H221" s="15"/>
      <c r="I221" s="16"/>
    </row>
    <row r="222" spans="1:9" ht="14.25">
      <c r="A222" s="140">
        <v>5</v>
      </c>
      <c r="B222" s="139">
        <v>0</v>
      </c>
      <c r="C222" s="10">
        <v>21</v>
      </c>
      <c r="D222" s="11"/>
      <c r="E222" s="12"/>
      <c r="F222" s="13"/>
      <c r="G222" s="14"/>
      <c r="H222" s="15"/>
      <c r="I222" s="16"/>
    </row>
    <row r="223" spans="1:9" ht="14.25">
      <c r="A223" s="140">
        <v>5</v>
      </c>
      <c r="B223" s="139">
        <v>0</v>
      </c>
      <c r="C223" s="10">
        <v>22</v>
      </c>
      <c r="D223" s="11"/>
      <c r="E223" s="12"/>
      <c r="F223" s="13"/>
      <c r="G223" s="14"/>
      <c r="H223" s="15"/>
      <c r="I223" s="16"/>
    </row>
    <row r="224" spans="1:9" ht="14.25">
      <c r="A224" s="140">
        <v>5</v>
      </c>
      <c r="B224" s="139">
        <v>0</v>
      </c>
      <c r="C224" s="10">
        <v>23</v>
      </c>
      <c r="D224" s="11"/>
      <c r="E224" s="12"/>
      <c r="F224" s="13"/>
      <c r="G224" s="14"/>
      <c r="H224" s="15"/>
      <c r="I224" s="16"/>
    </row>
    <row r="225" spans="1:9" ht="14.25">
      <c r="A225" s="140">
        <v>5</v>
      </c>
      <c r="B225" s="139">
        <v>0</v>
      </c>
      <c r="C225" s="10">
        <v>24</v>
      </c>
      <c r="D225" s="11"/>
      <c r="E225" s="12"/>
      <c r="F225" s="13"/>
      <c r="G225" s="14"/>
      <c r="H225" s="15"/>
      <c r="I225" s="16"/>
    </row>
    <row r="226" spans="1:9" ht="14.25">
      <c r="A226" s="140">
        <v>5</v>
      </c>
      <c r="B226" s="139">
        <v>0</v>
      </c>
      <c r="C226" s="10">
        <v>25</v>
      </c>
      <c r="D226" s="11"/>
      <c r="E226" s="12"/>
      <c r="F226" s="13"/>
      <c r="G226" s="14"/>
      <c r="H226" s="15"/>
      <c r="I226" s="16"/>
    </row>
    <row r="227" spans="1:9" ht="14.25">
      <c r="A227" s="140">
        <v>5</v>
      </c>
      <c r="B227" s="139">
        <v>0</v>
      </c>
      <c r="C227" s="10">
        <v>26</v>
      </c>
      <c r="D227" s="11"/>
      <c r="E227" s="12"/>
      <c r="F227" s="13"/>
      <c r="G227" s="14"/>
      <c r="H227" s="15"/>
      <c r="I227" s="16"/>
    </row>
    <row r="228" spans="1:9" ht="14.25">
      <c r="A228" s="140">
        <v>5</v>
      </c>
      <c r="B228" s="139">
        <v>0</v>
      </c>
      <c r="C228" s="10">
        <v>27</v>
      </c>
      <c r="D228" s="11"/>
      <c r="E228" s="12"/>
      <c r="F228" s="13"/>
      <c r="G228" s="14"/>
      <c r="H228" s="15"/>
      <c r="I228" s="16"/>
    </row>
    <row r="229" spans="1:9" ht="14.25">
      <c r="A229" s="140">
        <v>5</v>
      </c>
      <c r="B229" s="139">
        <v>0</v>
      </c>
      <c r="C229" s="10">
        <v>28</v>
      </c>
      <c r="D229" s="11"/>
      <c r="E229" s="12"/>
      <c r="F229" s="13"/>
      <c r="G229" s="14"/>
      <c r="H229" s="15"/>
      <c r="I229" s="16"/>
    </row>
    <row r="230" spans="1:9" ht="14.25">
      <c r="A230" s="140">
        <v>5</v>
      </c>
      <c r="B230" s="139">
        <v>0</v>
      </c>
      <c r="C230" s="10">
        <v>29</v>
      </c>
      <c r="D230" s="11"/>
      <c r="E230" s="12"/>
      <c r="F230" s="13"/>
      <c r="G230" s="14"/>
      <c r="H230" s="15"/>
      <c r="I230" s="16"/>
    </row>
    <row r="231" spans="1:9" ht="14.25">
      <c r="A231" s="140">
        <v>5</v>
      </c>
      <c r="B231" s="139">
        <v>0</v>
      </c>
      <c r="C231" s="10">
        <v>30</v>
      </c>
      <c r="D231" s="11"/>
      <c r="E231" s="12"/>
      <c r="F231" s="13"/>
      <c r="G231" s="14"/>
      <c r="H231" s="15"/>
      <c r="I231" s="16"/>
    </row>
    <row r="232" spans="1:9" ht="14.25">
      <c r="A232" s="140">
        <v>5</v>
      </c>
      <c r="B232" s="139">
        <v>0</v>
      </c>
      <c r="C232" s="10">
        <v>31</v>
      </c>
      <c r="D232" s="11"/>
      <c r="E232" s="12"/>
      <c r="F232" s="13"/>
      <c r="G232" s="14"/>
      <c r="H232" s="15"/>
      <c r="I232" s="16"/>
    </row>
    <row r="233" spans="1:9" ht="14.25">
      <c r="A233" s="140">
        <v>5</v>
      </c>
      <c r="B233" s="139">
        <v>0</v>
      </c>
      <c r="C233" s="10">
        <v>32</v>
      </c>
      <c r="D233" s="11"/>
      <c r="E233" s="12"/>
      <c r="F233" s="13"/>
      <c r="G233" s="14"/>
      <c r="H233" s="15"/>
      <c r="I233" s="16"/>
    </row>
    <row r="234" spans="1:9" ht="14.25">
      <c r="A234" s="140">
        <v>5</v>
      </c>
      <c r="B234" s="139">
        <v>0</v>
      </c>
      <c r="C234" s="10">
        <v>33</v>
      </c>
      <c r="D234" s="11"/>
      <c r="E234" s="12"/>
      <c r="F234" s="13"/>
      <c r="G234" s="14"/>
      <c r="H234" s="15"/>
      <c r="I234" s="16"/>
    </row>
    <row r="235" spans="1:9" ht="14.25">
      <c r="A235" s="140">
        <v>5</v>
      </c>
      <c r="B235" s="139">
        <v>0</v>
      </c>
      <c r="C235" s="10">
        <v>34</v>
      </c>
      <c r="D235" s="11"/>
      <c r="E235" s="12"/>
      <c r="F235" s="13"/>
      <c r="G235" s="14"/>
      <c r="H235" s="15"/>
      <c r="I235" s="16"/>
    </row>
    <row r="236" spans="1:9" ht="14.25">
      <c r="A236" s="140">
        <v>5</v>
      </c>
      <c r="B236" s="139">
        <v>0</v>
      </c>
      <c r="C236" s="10">
        <v>35</v>
      </c>
      <c r="D236" s="11"/>
      <c r="E236" s="12"/>
      <c r="F236" s="13"/>
      <c r="G236" s="14"/>
      <c r="H236" s="15"/>
      <c r="I236" s="16"/>
    </row>
    <row r="237" spans="1:9" ht="14.25">
      <c r="A237" s="140">
        <v>5</v>
      </c>
      <c r="B237" s="139">
        <v>0</v>
      </c>
      <c r="C237" s="10">
        <v>36</v>
      </c>
      <c r="D237" s="11"/>
      <c r="E237" s="12"/>
      <c r="F237" s="13"/>
      <c r="G237" s="14"/>
      <c r="H237" s="15"/>
      <c r="I237" s="16"/>
    </row>
    <row r="238" spans="1:9" ht="14.25">
      <c r="A238" s="140">
        <v>5</v>
      </c>
      <c r="B238" s="139">
        <v>0</v>
      </c>
      <c r="C238" s="10">
        <v>37</v>
      </c>
      <c r="D238" s="11"/>
      <c r="E238" s="12"/>
      <c r="F238" s="13"/>
      <c r="G238" s="14"/>
      <c r="H238" s="15"/>
      <c r="I238" s="16"/>
    </row>
    <row r="239" spans="1:9" ht="14.25">
      <c r="A239" s="140">
        <v>5</v>
      </c>
      <c r="B239" s="139">
        <v>0</v>
      </c>
      <c r="C239" s="10">
        <v>38</v>
      </c>
      <c r="D239" s="11"/>
      <c r="E239" s="12"/>
      <c r="F239" s="13"/>
      <c r="G239" s="14"/>
      <c r="H239" s="15"/>
      <c r="I239" s="16"/>
    </row>
    <row r="240" spans="1:9" ht="14.25">
      <c r="A240" s="140">
        <v>5</v>
      </c>
      <c r="B240" s="139">
        <v>0</v>
      </c>
      <c r="C240" s="10">
        <v>39</v>
      </c>
      <c r="D240" s="11"/>
      <c r="E240" s="12"/>
      <c r="F240" s="13"/>
      <c r="G240" s="14"/>
      <c r="H240" s="15"/>
      <c r="I240" s="16"/>
    </row>
    <row r="241" spans="1:9" ht="14.25">
      <c r="A241" s="140">
        <v>5</v>
      </c>
      <c r="B241" s="139">
        <v>0</v>
      </c>
      <c r="C241" s="10">
        <v>40</v>
      </c>
      <c r="D241" s="11"/>
      <c r="E241" s="12"/>
      <c r="F241" s="13"/>
      <c r="G241" s="14"/>
      <c r="H241" s="15"/>
      <c r="I241" s="16"/>
    </row>
    <row r="242" spans="1:9" ht="14.25">
      <c r="A242" s="140">
        <v>5</v>
      </c>
      <c r="B242" s="139">
        <v>0</v>
      </c>
      <c r="C242" s="10">
        <v>41</v>
      </c>
      <c r="D242" s="11"/>
      <c r="E242" s="12"/>
      <c r="F242" s="13"/>
      <c r="G242" s="14"/>
      <c r="H242" s="15"/>
      <c r="I242" s="16"/>
    </row>
    <row r="243" spans="1:9" ht="14.25">
      <c r="A243" s="140">
        <v>5</v>
      </c>
      <c r="B243" s="139">
        <v>0</v>
      </c>
      <c r="C243" s="10">
        <v>42</v>
      </c>
      <c r="D243" s="11"/>
      <c r="E243" s="12"/>
      <c r="F243" s="13"/>
      <c r="G243" s="14"/>
      <c r="H243" s="15"/>
      <c r="I243" s="16"/>
    </row>
    <row r="244" spans="1:9" ht="14.25">
      <c r="A244" s="140">
        <v>5</v>
      </c>
      <c r="B244" s="139">
        <v>0</v>
      </c>
      <c r="C244" s="10">
        <v>43</v>
      </c>
      <c r="D244" s="11"/>
      <c r="E244" s="12"/>
      <c r="F244" s="13"/>
      <c r="G244" s="14"/>
      <c r="H244" s="15"/>
      <c r="I244" s="16"/>
    </row>
    <row r="245" spans="1:9" ht="14.25">
      <c r="A245" s="140">
        <v>5</v>
      </c>
      <c r="B245" s="139">
        <v>0</v>
      </c>
      <c r="C245" s="10">
        <v>44</v>
      </c>
      <c r="D245" s="11"/>
      <c r="E245" s="12"/>
      <c r="F245" s="13"/>
      <c r="G245" s="14"/>
      <c r="H245" s="15"/>
      <c r="I245" s="16"/>
    </row>
    <row r="246" spans="1:9" ht="14.25">
      <c r="A246" s="140">
        <v>5</v>
      </c>
      <c r="B246" s="139">
        <v>0</v>
      </c>
      <c r="C246" s="10">
        <v>45</v>
      </c>
      <c r="D246" s="11"/>
      <c r="E246" s="12"/>
      <c r="F246" s="13"/>
      <c r="G246" s="14"/>
      <c r="H246" s="15"/>
      <c r="I246" s="16"/>
    </row>
    <row r="247" spans="1:9" ht="14.25">
      <c r="A247" s="140">
        <v>5</v>
      </c>
      <c r="B247" s="139">
        <v>0</v>
      </c>
      <c r="C247" s="10">
        <v>46</v>
      </c>
      <c r="D247" s="11"/>
      <c r="E247" s="12"/>
      <c r="F247" s="13"/>
      <c r="G247" s="14"/>
      <c r="H247" s="15"/>
      <c r="I247" s="16"/>
    </row>
    <row r="248" spans="1:9" ht="14.25">
      <c r="A248" s="140">
        <v>5</v>
      </c>
      <c r="B248" s="139">
        <v>0</v>
      </c>
      <c r="C248" s="10">
        <v>47</v>
      </c>
      <c r="D248" s="11"/>
      <c r="E248" s="12"/>
      <c r="F248" s="13"/>
      <c r="G248" s="14"/>
      <c r="H248" s="15"/>
      <c r="I248" s="16"/>
    </row>
    <row r="249" spans="1:9" ht="14.25">
      <c r="A249" s="140">
        <v>5</v>
      </c>
      <c r="B249" s="139">
        <v>0</v>
      </c>
      <c r="C249" s="10">
        <v>48</v>
      </c>
      <c r="D249" s="11"/>
      <c r="E249" s="12"/>
      <c r="F249" s="13"/>
      <c r="G249" s="14"/>
      <c r="H249" s="15"/>
      <c r="I249" s="16"/>
    </row>
    <row r="250" spans="1:9" ht="14.25">
      <c r="A250" s="140">
        <v>5</v>
      </c>
      <c r="B250" s="139">
        <v>0</v>
      </c>
      <c r="C250" s="10">
        <v>49</v>
      </c>
      <c r="D250" s="11"/>
      <c r="E250" s="12"/>
      <c r="F250" s="13"/>
      <c r="G250" s="14"/>
      <c r="H250" s="15"/>
      <c r="I250" s="16"/>
    </row>
    <row r="251" spans="1:9" ht="14.25">
      <c r="A251" s="140">
        <v>5</v>
      </c>
      <c r="B251" s="139">
        <v>0</v>
      </c>
      <c r="C251" s="10">
        <v>50</v>
      </c>
      <c r="D251" s="11"/>
      <c r="E251" s="12"/>
      <c r="F251" s="13"/>
      <c r="G251" s="14"/>
      <c r="H251" s="15"/>
      <c r="I251" s="16"/>
    </row>
    <row r="252" spans="1:9" ht="14.25">
      <c r="A252" s="140">
        <v>6</v>
      </c>
      <c r="B252" s="139"/>
      <c r="C252" s="10">
        <v>1</v>
      </c>
      <c r="D252" s="11"/>
      <c r="E252" s="12"/>
      <c r="F252" s="13"/>
      <c r="G252" s="14"/>
      <c r="H252" s="15"/>
      <c r="I252" s="16"/>
    </row>
    <row r="253" spans="1:9" ht="14.25">
      <c r="A253" s="140">
        <v>6</v>
      </c>
      <c r="B253" s="139">
        <v>0</v>
      </c>
      <c r="C253" s="10">
        <v>2</v>
      </c>
      <c r="D253" s="11"/>
      <c r="E253" s="12"/>
      <c r="F253" s="13"/>
      <c r="G253" s="14"/>
      <c r="H253" s="15"/>
      <c r="I253" s="16"/>
    </row>
    <row r="254" spans="1:9" ht="14.25">
      <c r="A254" s="140">
        <v>6</v>
      </c>
      <c r="B254" s="139">
        <v>0</v>
      </c>
      <c r="C254" s="10">
        <v>3</v>
      </c>
      <c r="D254" s="11"/>
      <c r="E254" s="12"/>
      <c r="F254" s="13"/>
      <c r="G254" s="14"/>
      <c r="H254" s="15"/>
      <c r="I254" s="16"/>
    </row>
    <row r="255" spans="1:9" ht="14.25">
      <c r="A255" s="140">
        <v>6</v>
      </c>
      <c r="B255" s="139">
        <v>0</v>
      </c>
      <c r="C255" s="10">
        <v>4</v>
      </c>
      <c r="D255" s="11"/>
      <c r="E255" s="12"/>
      <c r="F255" s="13"/>
      <c r="G255" s="14"/>
      <c r="H255" s="15"/>
      <c r="I255" s="16"/>
    </row>
    <row r="256" spans="1:9" ht="14.25">
      <c r="A256" s="140">
        <v>6</v>
      </c>
      <c r="B256" s="139">
        <v>0</v>
      </c>
      <c r="C256" s="10">
        <v>5</v>
      </c>
      <c r="D256" s="11"/>
      <c r="E256" s="12"/>
      <c r="F256" s="13"/>
      <c r="G256" s="14"/>
      <c r="H256" s="15"/>
      <c r="I256" s="16"/>
    </row>
    <row r="257" spans="1:9" ht="14.25">
      <c r="A257" s="140">
        <v>6</v>
      </c>
      <c r="B257" s="139">
        <v>0</v>
      </c>
      <c r="C257" s="10">
        <v>6</v>
      </c>
      <c r="D257" s="11"/>
      <c r="E257" s="12"/>
      <c r="F257" s="13"/>
      <c r="G257" s="14"/>
      <c r="H257" s="15"/>
      <c r="I257" s="16"/>
    </row>
    <row r="258" spans="1:9" ht="14.25">
      <c r="A258" s="140">
        <v>6</v>
      </c>
      <c r="B258" s="139">
        <v>0</v>
      </c>
      <c r="C258" s="10">
        <v>7</v>
      </c>
      <c r="D258" s="11"/>
      <c r="E258" s="12"/>
      <c r="F258" s="13"/>
      <c r="G258" s="14"/>
      <c r="H258" s="15"/>
      <c r="I258" s="16"/>
    </row>
    <row r="259" spans="1:9" ht="14.25">
      <c r="A259" s="140">
        <v>6</v>
      </c>
      <c r="B259" s="139">
        <v>0</v>
      </c>
      <c r="C259" s="10">
        <v>8</v>
      </c>
      <c r="D259" s="11"/>
      <c r="E259" s="12"/>
      <c r="F259" s="13"/>
      <c r="G259" s="14"/>
      <c r="H259" s="15"/>
      <c r="I259" s="16"/>
    </row>
    <row r="260" spans="1:9" ht="14.25">
      <c r="A260" s="140">
        <v>6</v>
      </c>
      <c r="B260" s="139">
        <v>0</v>
      </c>
      <c r="C260" s="10">
        <v>9</v>
      </c>
      <c r="D260" s="11"/>
      <c r="E260" s="12"/>
      <c r="F260" s="13"/>
      <c r="G260" s="14"/>
      <c r="H260" s="15"/>
      <c r="I260" s="16"/>
    </row>
    <row r="261" spans="1:9" ht="14.25">
      <c r="A261" s="140">
        <v>6</v>
      </c>
      <c r="B261" s="139">
        <v>0</v>
      </c>
      <c r="C261" s="10">
        <v>10</v>
      </c>
      <c r="D261" s="11"/>
      <c r="E261" s="12"/>
      <c r="F261" s="13"/>
      <c r="G261" s="14"/>
      <c r="H261" s="15"/>
      <c r="I261" s="16"/>
    </row>
    <row r="262" spans="1:9" ht="14.25">
      <c r="A262" s="140">
        <v>6</v>
      </c>
      <c r="B262" s="139">
        <v>0</v>
      </c>
      <c r="C262" s="10">
        <v>11</v>
      </c>
      <c r="D262" s="11"/>
      <c r="E262" s="12"/>
      <c r="F262" s="13"/>
      <c r="G262" s="14"/>
      <c r="H262" s="15"/>
      <c r="I262" s="16"/>
    </row>
    <row r="263" spans="1:9" ht="14.25">
      <c r="A263" s="140">
        <v>6</v>
      </c>
      <c r="B263" s="139">
        <v>0</v>
      </c>
      <c r="C263" s="10">
        <v>12</v>
      </c>
      <c r="D263" s="11"/>
      <c r="E263" s="12"/>
      <c r="F263" s="13"/>
      <c r="G263" s="14"/>
      <c r="H263" s="15"/>
      <c r="I263" s="16"/>
    </row>
    <row r="264" spans="1:9" ht="14.25">
      <c r="A264" s="140">
        <v>6</v>
      </c>
      <c r="B264" s="139">
        <v>0</v>
      </c>
      <c r="C264" s="10">
        <v>13</v>
      </c>
      <c r="D264" s="11"/>
      <c r="E264" s="12"/>
      <c r="F264" s="13"/>
      <c r="G264" s="14"/>
      <c r="H264" s="15"/>
      <c r="I264" s="16"/>
    </row>
    <row r="265" spans="1:9" ht="14.25">
      <c r="A265" s="140">
        <v>6</v>
      </c>
      <c r="B265" s="139">
        <v>0</v>
      </c>
      <c r="C265" s="10">
        <v>14</v>
      </c>
      <c r="D265" s="11"/>
      <c r="E265" s="12"/>
      <c r="F265" s="13"/>
      <c r="G265" s="14"/>
      <c r="H265" s="15"/>
      <c r="I265" s="16"/>
    </row>
    <row r="266" spans="1:9" ht="14.25">
      <c r="A266" s="140">
        <v>6</v>
      </c>
      <c r="B266" s="139">
        <v>0</v>
      </c>
      <c r="C266" s="10">
        <v>15</v>
      </c>
      <c r="D266" s="11"/>
      <c r="E266" s="12"/>
      <c r="F266" s="13"/>
      <c r="G266" s="14"/>
      <c r="H266" s="15"/>
      <c r="I266" s="16"/>
    </row>
    <row r="267" spans="1:9" ht="14.25">
      <c r="A267" s="140">
        <v>6</v>
      </c>
      <c r="B267" s="139">
        <v>0</v>
      </c>
      <c r="C267" s="10">
        <v>16</v>
      </c>
      <c r="D267" s="11"/>
      <c r="E267" s="12"/>
      <c r="F267" s="13"/>
      <c r="G267" s="14"/>
      <c r="H267" s="15"/>
      <c r="I267" s="16"/>
    </row>
    <row r="268" spans="1:9" ht="14.25">
      <c r="A268" s="140">
        <v>6</v>
      </c>
      <c r="B268" s="139">
        <v>0</v>
      </c>
      <c r="C268" s="10">
        <v>17</v>
      </c>
      <c r="D268" s="11"/>
      <c r="E268" s="12"/>
      <c r="F268" s="13"/>
      <c r="G268" s="14"/>
      <c r="H268" s="15"/>
      <c r="I268" s="16"/>
    </row>
    <row r="269" spans="1:9" ht="14.25">
      <c r="A269" s="140">
        <v>6</v>
      </c>
      <c r="B269" s="139">
        <v>0</v>
      </c>
      <c r="C269" s="10">
        <v>18</v>
      </c>
      <c r="D269" s="11"/>
      <c r="E269" s="12"/>
      <c r="F269" s="13"/>
      <c r="G269" s="14"/>
      <c r="H269" s="15"/>
      <c r="I269" s="16"/>
    </row>
    <row r="270" spans="1:9" ht="14.25">
      <c r="A270" s="140">
        <v>6</v>
      </c>
      <c r="B270" s="139">
        <v>0</v>
      </c>
      <c r="C270" s="10">
        <v>19</v>
      </c>
      <c r="D270" s="11"/>
      <c r="E270" s="12"/>
      <c r="F270" s="13"/>
      <c r="G270" s="14"/>
      <c r="H270" s="15"/>
      <c r="I270" s="16"/>
    </row>
    <row r="271" spans="1:9" ht="14.25">
      <c r="A271" s="140">
        <v>6</v>
      </c>
      <c r="B271" s="139">
        <v>0</v>
      </c>
      <c r="C271" s="10">
        <v>20</v>
      </c>
      <c r="D271" s="11"/>
      <c r="E271" s="12"/>
      <c r="F271" s="13"/>
      <c r="G271" s="14"/>
      <c r="H271" s="15"/>
      <c r="I271" s="16"/>
    </row>
    <row r="272" spans="1:9" ht="14.25">
      <c r="A272" s="140">
        <v>6</v>
      </c>
      <c r="B272" s="139">
        <v>0</v>
      </c>
      <c r="C272" s="10">
        <v>21</v>
      </c>
      <c r="D272" s="11"/>
      <c r="E272" s="12"/>
      <c r="F272" s="13"/>
      <c r="G272" s="14"/>
      <c r="H272" s="15"/>
      <c r="I272" s="16"/>
    </row>
    <row r="273" spans="1:9" ht="14.25">
      <c r="A273" s="140">
        <v>6</v>
      </c>
      <c r="B273" s="139">
        <v>0</v>
      </c>
      <c r="C273" s="10">
        <v>22</v>
      </c>
      <c r="D273" s="11"/>
      <c r="E273" s="12"/>
      <c r="F273" s="13"/>
      <c r="G273" s="14"/>
      <c r="H273" s="15"/>
      <c r="I273" s="16"/>
    </row>
    <row r="274" spans="1:9" ht="14.25">
      <c r="A274" s="140">
        <v>6</v>
      </c>
      <c r="B274" s="139">
        <v>0</v>
      </c>
      <c r="C274" s="10">
        <v>23</v>
      </c>
      <c r="D274" s="11"/>
      <c r="E274" s="12"/>
      <c r="F274" s="13"/>
      <c r="G274" s="14"/>
      <c r="H274" s="15"/>
      <c r="I274" s="16"/>
    </row>
    <row r="275" spans="1:9" ht="14.25">
      <c r="A275" s="140">
        <v>6</v>
      </c>
      <c r="B275" s="139">
        <v>0</v>
      </c>
      <c r="C275" s="10">
        <v>24</v>
      </c>
      <c r="D275" s="11"/>
      <c r="E275" s="12"/>
      <c r="F275" s="13"/>
      <c r="G275" s="14"/>
      <c r="H275" s="15"/>
      <c r="I275" s="16"/>
    </row>
    <row r="276" spans="1:9" ht="14.25">
      <c r="A276" s="140">
        <v>6</v>
      </c>
      <c r="B276" s="139">
        <v>0</v>
      </c>
      <c r="C276" s="10">
        <v>25</v>
      </c>
      <c r="D276" s="11"/>
      <c r="E276" s="12"/>
      <c r="F276" s="13"/>
      <c r="G276" s="14"/>
      <c r="H276" s="15"/>
      <c r="I276" s="16"/>
    </row>
    <row r="277" spans="1:9" ht="14.25">
      <c r="A277" s="140">
        <v>6</v>
      </c>
      <c r="B277" s="139">
        <v>0</v>
      </c>
      <c r="C277" s="10">
        <v>26</v>
      </c>
      <c r="D277" s="11"/>
      <c r="E277" s="12"/>
      <c r="F277" s="13"/>
      <c r="G277" s="14"/>
      <c r="H277" s="15"/>
      <c r="I277" s="16"/>
    </row>
    <row r="278" spans="1:9" ht="14.25">
      <c r="A278" s="140">
        <v>6</v>
      </c>
      <c r="B278" s="139">
        <v>0</v>
      </c>
      <c r="C278" s="10">
        <v>27</v>
      </c>
      <c r="D278" s="11"/>
      <c r="E278" s="12"/>
      <c r="F278" s="13"/>
      <c r="G278" s="14"/>
      <c r="H278" s="15"/>
      <c r="I278" s="16"/>
    </row>
    <row r="279" spans="1:9" ht="14.25">
      <c r="A279" s="140">
        <v>6</v>
      </c>
      <c r="B279" s="139">
        <v>0</v>
      </c>
      <c r="C279" s="10">
        <v>28</v>
      </c>
      <c r="D279" s="11"/>
      <c r="E279" s="12"/>
      <c r="F279" s="13"/>
      <c r="G279" s="14"/>
      <c r="H279" s="15"/>
      <c r="I279" s="16"/>
    </row>
    <row r="280" spans="1:9" ht="14.25">
      <c r="A280" s="140">
        <v>6</v>
      </c>
      <c r="B280" s="139">
        <v>0</v>
      </c>
      <c r="C280" s="10">
        <v>29</v>
      </c>
      <c r="D280" s="11"/>
      <c r="E280" s="12"/>
      <c r="F280" s="13"/>
      <c r="G280" s="14"/>
      <c r="H280" s="15"/>
      <c r="I280" s="16"/>
    </row>
    <row r="281" spans="1:9" ht="14.25">
      <c r="A281" s="140">
        <v>6</v>
      </c>
      <c r="B281" s="139">
        <v>0</v>
      </c>
      <c r="C281" s="10">
        <v>30</v>
      </c>
      <c r="D281" s="11"/>
      <c r="E281" s="12"/>
      <c r="F281" s="13"/>
      <c r="G281" s="14"/>
      <c r="H281" s="15"/>
      <c r="I281" s="16"/>
    </row>
    <row r="282" spans="1:9" ht="14.25">
      <c r="A282" s="140">
        <v>6</v>
      </c>
      <c r="B282" s="139">
        <v>0</v>
      </c>
      <c r="C282" s="10">
        <v>31</v>
      </c>
      <c r="D282" s="11"/>
      <c r="E282" s="12"/>
      <c r="F282" s="13"/>
      <c r="G282" s="14"/>
      <c r="H282" s="15"/>
      <c r="I282" s="16"/>
    </row>
    <row r="283" spans="1:9" ht="14.25">
      <c r="A283" s="140">
        <v>6</v>
      </c>
      <c r="B283" s="139">
        <v>0</v>
      </c>
      <c r="C283" s="10">
        <v>32</v>
      </c>
      <c r="D283" s="11"/>
      <c r="E283" s="12"/>
      <c r="F283" s="13"/>
      <c r="G283" s="14"/>
      <c r="H283" s="15"/>
      <c r="I283" s="16"/>
    </row>
    <row r="284" spans="1:9" ht="14.25">
      <c r="A284" s="140">
        <v>6</v>
      </c>
      <c r="B284" s="139">
        <v>0</v>
      </c>
      <c r="C284" s="10">
        <v>33</v>
      </c>
      <c r="D284" s="11"/>
      <c r="E284" s="12"/>
      <c r="F284" s="13"/>
      <c r="G284" s="14"/>
      <c r="H284" s="15"/>
      <c r="I284" s="16"/>
    </row>
    <row r="285" spans="1:9" ht="14.25">
      <c r="A285" s="140">
        <v>6</v>
      </c>
      <c r="B285" s="139">
        <v>0</v>
      </c>
      <c r="C285" s="10">
        <v>34</v>
      </c>
      <c r="D285" s="11"/>
      <c r="E285" s="12"/>
      <c r="F285" s="13"/>
      <c r="G285" s="14"/>
      <c r="H285" s="15"/>
      <c r="I285" s="16"/>
    </row>
    <row r="286" spans="1:9" ht="14.25">
      <c r="A286" s="140">
        <v>6</v>
      </c>
      <c r="B286" s="139">
        <v>0</v>
      </c>
      <c r="C286" s="10">
        <v>35</v>
      </c>
      <c r="D286" s="11"/>
      <c r="E286" s="12"/>
      <c r="F286" s="13"/>
      <c r="G286" s="14"/>
      <c r="H286" s="15"/>
      <c r="I286" s="16"/>
    </row>
    <row r="287" spans="1:9" ht="14.25">
      <c r="A287" s="140">
        <v>6</v>
      </c>
      <c r="B287" s="139">
        <v>0</v>
      </c>
      <c r="C287" s="10">
        <v>36</v>
      </c>
      <c r="D287" s="11"/>
      <c r="E287" s="12"/>
      <c r="F287" s="13"/>
      <c r="G287" s="14"/>
      <c r="H287" s="15"/>
      <c r="I287" s="16"/>
    </row>
    <row r="288" spans="1:9" ht="14.25">
      <c r="A288" s="140">
        <v>6</v>
      </c>
      <c r="B288" s="139">
        <v>0</v>
      </c>
      <c r="C288" s="10">
        <v>37</v>
      </c>
      <c r="D288" s="11"/>
      <c r="E288" s="12"/>
      <c r="F288" s="13"/>
      <c r="G288" s="14"/>
      <c r="H288" s="15"/>
      <c r="I288" s="16"/>
    </row>
    <row r="289" spans="1:9" ht="14.25">
      <c r="A289" s="140">
        <v>6</v>
      </c>
      <c r="B289" s="139">
        <v>0</v>
      </c>
      <c r="C289" s="10">
        <v>38</v>
      </c>
      <c r="D289" s="11"/>
      <c r="E289" s="12"/>
      <c r="F289" s="13"/>
      <c r="G289" s="14"/>
      <c r="H289" s="15"/>
      <c r="I289" s="16"/>
    </row>
    <row r="290" spans="1:9" ht="14.25">
      <c r="A290" s="140">
        <v>6</v>
      </c>
      <c r="B290" s="139">
        <v>0</v>
      </c>
      <c r="C290" s="10">
        <v>39</v>
      </c>
      <c r="D290" s="11"/>
      <c r="E290" s="12"/>
      <c r="F290" s="13"/>
      <c r="G290" s="14"/>
      <c r="H290" s="15"/>
      <c r="I290" s="16"/>
    </row>
    <row r="291" spans="1:9" ht="14.25">
      <c r="A291" s="140">
        <v>6</v>
      </c>
      <c r="B291" s="139">
        <v>0</v>
      </c>
      <c r="C291" s="10">
        <v>40</v>
      </c>
      <c r="D291" s="11"/>
      <c r="E291" s="12"/>
      <c r="F291" s="13"/>
      <c r="G291" s="14"/>
      <c r="H291" s="15"/>
      <c r="I291" s="16"/>
    </row>
    <row r="292" spans="1:9" ht="14.25">
      <c r="A292" s="140">
        <v>6</v>
      </c>
      <c r="B292" s="139">
        <v>0</v>
      </c>
      <c r="C292" s="10">
        <v>41</v>
      </c>
      <c r="D292" s="11"/>
      <c r="E292" s="12"/>
      <c r="F292" s="13"/>
      <c r="G292" s="14"/>
      <c r="H292" s="15"/>
      <c r="I292" s="16"/>
    </row>
    <row r="293" spans="1:9" ht="14.25">
      <c r="A293" s="140">
        <v>6</v>
      </c>
      <c r="B293" s="139">
        <v>0</v>
      </c>
      <c r="C293" s="10">
        <v>42</v>
      </c>
      <c r="D293" s="11"/>
      <c r="E293" s="12"/>
      <c r="F293" s="13"/>
      <c r="G293" s="14"/>
      <c r="H293" s="15"/>
      <c r="I293" s="16"/>
    </row>
    <row r="294" spans="1:9" ht="14.25">
      <c r="A294" s="140">
        <v>6</v>
      </c>
      <c r="B294" s="139">
        <v>0</v>
      </c>
      <c r="C294" s="10">
        <v>43</v>
      </c>
      <c r="D294" s="11"/>
      <c r="E294" s="12"/>
      <c r="F294" s="13"/>
      <c r="G294" s="14"/>
      <c r="H294" s="15"/>
      <c r="I294" s="16"/>
    </row>
    <row r="295" spans="1:9" ht="14.25">
      <c r="A295" s="140">
        <v>6</v>
      </c>
      <c r="B295" s="139">
        <v>0</v>
      </c>
      <c r="C295" s="10">
        <v>44</v>
      </c>
      <c r="D295" s="11"/>
      <c r="E295" s="12"/>
      <c r="F295" s="13"/>
      <c r="G295" s="14"/>
      <c r="H295" s="15"/>
      <c r="I295" s="16"/>
    </row>
    <row r="296" spans="1:9" ht="14.25">
      <c r="A296" s="140">
        <v>6</v>
      </c>
      <c r="B296" s="139">
        <v>0</v>
      </c>
      <c r="C296" s="10">
        <v>45</v>
      </c>
      <c r="D296" s="11"/>
      <c r="E296" s="12"/>
      <c r="F296" s="13"/>
      <c r="G296" s="14"/>
      <c r="H296" s="15"/>
      <c r="I296" s="16"/>
    </row>
    <row r="297" spans="1:9" ht="14.25">
      <c r="A297" s="140">
        <v>6</v>
      </c>
      <c r="B297" s="139">
        <v>0</v>
      </c>
      <c r="C297" s="10">
        <v>46</v>
      </c>
      <c r="D297" s="11"/>
      <c r="E297" s="12"/>
      <c r="F297" s="13"/>
      <c r="G297" s="14"/>
      <c r="H297" s="15"/>
      <c r="I297" s="16"/>
    </row>
    <row r="298" spans="1:9" ht="14.25">
      <c r="A298" s="140">
        <v>6</v>
      </c>
      <c r="B298" s="139">
        <v>0</v>
      </c>
      <c r="C298" s="10">
        <v>47</v>
      </c>
      <c r="D298" s="11"/>
      <c r="E298" s="12"/>
      <c r="F298" s="13"/>
      <c r="G298" s="14"/>
      <c r="H298" s="15"/>
      <c r="I298" s="16"/>
    </row>
    <row r="299" spans="1:9" ht="14.25">
      <c r="A299" s="140">
        <v>6</v>
      </c>
      <c r="B299" s="139">
        <v>0</v>
      </c>
      <c r="C299" s="10">
        <v>48</v>
      </c>
      <c r="D299" s="11"/>
      <c r="E299" s="12"/>
      <c r="F299" s="13"/>
      <c r="G299" s="14"/>
      <c r="H299" s="15"/>
      <c r="I299" s="16"/>
    </row>
    <row r="300" spans="1:9" ht="14.25">
      <c r="A300" s="140">
        <v>6</v>
      </c>
      <c r="B300" s="139">
        <v>0</v>
      </c>
      <c r="C300" s="10">
        <v>49</v>
      </c>
      <c r="D300" s="11"/>
      <c r="E300" s="12"/>
      <c r="F300" s="13"/>
      <c r="G300" s="14"/>
      <c r="H300" s="15"/>
      <c r="I300" s="16"/>
    </row>
    <row r="301" spans="1:9" ht="14.25">
      <c r="A301" s="140">
        <v>6</v>
      </c>
      <c r="B301" s="139">
        <v>0</v>
      </c>
      <c r="C301" s="10">
        <v>50</v>
      </c>
      <c r="D301" s="11"/>
      <c r="E301" s="12"/>
      <c r="F301" s="13"/>
      <c r="G301" s="14"/>
      <c r="H301" s="15"/>
      <c r="I301" s="16"/>
    </row>
    <row r="302" spans="1:9" ht="14.25">
      <c r="A302" s="140">
        <v>7</v>
      </c>
      <c r="B302" s="139"/>
      <c r="C302" s="10">
        <v>1</v>
      </c>
      <c r="D302" s="11"/>
      <c r="E302" s="12"/>
      <c r="F302" s="13"/>
      <c r="G302" s="14"/>
      <c r="H302" s="15"/>
      <c r="I302" s="16"/>
    </row>
    <row r="303" spans="1:9" ht="14.25">
      <c r="A303" s="140">
        <v>7</v>
      </c>
      <c r="B303" s="139">
        <v>0</v>
      </c>
      <c r="C303" s="10">
        <v>2</v>
      </c>
      <c r="D303" s="11"/>
      <c r="E303" s="12"/>
      <c r="F303" s="13"/>
      <c r="G303" s="14"/>
      <c r="H303" s="15"/>
      <c r="I303" s="16"/>
    </row>
    <row r="304" spans="1:9" ht="14.25">
      <c r="A304" s="140">
        <v>7</v>
      </c>
      <c r="B304" s="139">
        <v>0</v>
      </c>
      <c r="C304" s="10">
        <v>3</v>
      </c>
      <c r="D304" s="11"/>
      <c r="E304" s="12"/>
      <c r="F304" s="13"/>
      <c r="G304" s="14"/>
      <c r="H304" s="15"/>
      <c r="I304" s="16"/>
    </row>
    <row r="305" spans="1:9" ht="14.25">
      <c r="A305" s="140">
        <v>7</v>
      </c>
      <c r="B305" s="139">
        <v>0</v>
      </c>
      <c r="C305" s="10">
        <v>4</v>
      </c>
      <c r="D305" s="11"/>
      <c r="E305" s="12"/>
      <c r="F305" s="13"/>
      <c r="G305" s="14"/>
      <c r="H305" s="15"/>
      <c r="I305" s="16"/>
    </row>
    <row r="306" spans="1:9" ht="14.25">
      <c r="A306" s="140">
        <v>7</v>
      </c>
      <c r="B306" s="139">
        <v>0</v>
      </c>
      <c r="C306" s="10">
        <v>5</v>
      </c>
      <c r="D306" s="11"/>
      <c r="E306" s="12"/>
      <c r="F306" s="13"/>
      <c r="G306" s="14"/>
      <c r="H306" s="15"/>
      <c r="I306" s="16"/>
    </row>
    <row r="307" spans="1:9" ht="14.25">
      <c r="A307" s="140">
        <v>7</v>
      </c>
      <c r="B307" s="139">
        <v>0</v>
      </c>
      <c r="C307" s="10">
        <v>6</v>
      </c>
      <c r="D307" s="11"/>
      <c r="E307" s="12"/>
      <c r="F307" s="13"/>
      <c r="G307" s="14"/>
      <c r="H307" s="15"/>
      <c r="I307" s="16"/>
    </row>
    <row r="308" spans="1:9" ht="14.25">
      <c r="A308" s="140">
        <v>7</v>
      </c>
      <c r="B308" s="139">
        <v>0</v>
      </c>
      <c r="C308" s="10">
        <v>7</v>
      </c>
      <c r="D308" s="11"/>
      <c r="E308" s="12"/>
      <c r="F308" s="13"/>
      <c r="G308" s="14"/>
      <c r="H308" s="15"/>
      <c r="I308" s="16"/>
    </row>
    <row r="309" spans="1:9" ht="14.25">
      <c r="A309" s="140">
        <v>7</v>
      </c>
      <c r="B309" s="139">
        <v>0</v>
      </c>
      <c r="C309" s="10">
        <v>8</v>
      </c>
      <c r="D309" s="11"/>
      <c r="E309" s="12"/>
      <c r="F309" s="13"/>
      <c r="G309" s="14"/>
      <c r="H309" s="15"/>
      <c r="I309" s="16"/>
    </row>
    <row r="310" spans="1:9" ht="14.25">
      <c r="A310" s="140">
        <v>7</v>
      </c>
      <c r="B310" s="139">
        <v>0</v>
      </c>
      <c r="C310" s="10">
        <v>9</v>
      </c>
      <c r="D310" s="11"/>
      <c r="E310" s="12"/>
      <c r="F310" s="13"/>
      <c r="G310" s="14"/>
      <c r="H310" s="15"/>
      <c r="I310" s="16"/>
    </row>
    <row r="311" spans="1:9" ht="14.25">
      <c r="A311" s="140">
        <v>7</v>
      </c>
      <c r="B311" s="139">
        <v>0</v>
      </c>
      <c r="C311" s="10">
        <v>10</v>
      </c>
      <c r="D311" s="11"/>
      <c r="E311" s="12"/>
      <c r="F311" s="13"/>
      <c r="G311" s="14"/>
      <c r="H311" s="15"/>
      <c r="I311" s="16"/>
    </row>
    <row r="312" spans="1:9" ht="14.25">
      <c r="A312" s="140">
        <v>7</v>
      </c>
      <c r="B312" s="139">
        <v>0</v>
      </c>
      <c r="C312" s="10">
        <v>11</v>
      </c>
      <c r="D312" s="11"/>
      <c r="E312" s="12"/>
      <c r="F312" s="13"/>
      <c r="G312" s="14"/>
      <c r="H312" s="15"/>
      <c r="I312" s="16"/>
    </row>
    <row r="313" spans="1:9" ht="14.25">
      <c r="A313" s="140">
        <v>7</v>
      </c>
      <c r="B313" s="139">
        <v>0</v>
      </c>
      <c r="C313" s="10">
        <v>12</v>
      </c>
      <c r="D313" s="11"/>
      <c r="E313" s="12"/>
      <c r="F313" s="13"/>
      <c r="G313" s="14"/>
      <c r="H313" s="15"/>
      <c r="I313" s="16"/>
    </row>
    <row r="314" spans="1:9" ht="14.25">
      <c r="A314" s="140">
        <v>7</v>
      </c>
      <c r="B314" s="139">
        <v>0</v>
      </c>
      <c r="C314" s="10">
        <v>13</v>
      </c>
      <c r="D314" s="11"/>
      <c r="E314" s="12"/>
      <c r="F314" s="13"/>
      <c r="G314" s="14"/>
      <c r="H314" s="15"/>
      <c r="I314" s="16"/>
    </row>
    <row r="315" spans="1:9" ht="14.25">
      <c r="A315" s="140">
        <v>7</v>
      </c>
      <c r="B315" s="139">
        <v>0</v>
      </c>
      <c r="C315" s="10">
        <v>14</v>
      </c>
      <c r="D315" s="11"/>
      <c r="E315" s="12"/>
      <c r="F315" s="13"/>
      <c r="G315" s="14"/>
      <c r="H315" s="15"/>
      <c r="I315" s="16"/>
    </row>
    <row r="316" spans="1:9" ht="14.25">
      <c r="A316" s="140">
        <v>7</v>
      </c>
      <c r="B316" s="139">
        <v>0</v>
      </c>
      <c r="C316" s="10">
        <v>15</v>
      </c>
      <c r="D316" s="11"/>
      <c r="E316" s="12"/>
      <c r="F316" s="13"/>
      <c r="G316" s="14"/>
      <c r="H316" s="15"/>
      <c r="I316" s="16"/>
    </row>
    <row r="317" spans="1:9" ht="14.25">
      <c r="A317" s="140">
        <v>7</v>
      </c>
      <c r="B317" s="139">
        <v>0</v>
      </c>
      <c r="C317" s="10">
        <v>16</v>
      </c>
      <c r="D317" s="11"/>
      <c r="E317" s="12"/>
      <c r="F317" s="13"/>
      <c r="G317" s="14"/>
      <c r="H317" s="15"/>
      <c r="I317" s="16"/>
    </row>
    <row r="318" spans="1:9" ht="14.25">
      <c r="A318" s="140">
        <v>7</v>
      </c>
      <c r="B318" s="139">
        <v>0</v>
      </c>
      <c r="C318" s="10">
        <v>17</v>
      </c>
      <c r="D318" s="11"/>
      <c r="E318" s="12"/>
      <c r="F318" s="13"/>
      <c r="G318" s="14"/>
      <c r="H318" s="15"/>
      <c r="I318" s="16"/>
    </row>
    <row r="319" spans="1:9" ht="14.25">
      <c r="A319" s="140">
        <v>7</v>
      </c>
      <c r="B319" s="139">
        <v>0</v>
      </c>
      <c r="C319" s="10">
        <v>18</v>
      </c>
      <c r="D319" s="11"/>
      <c r="E319" s="12"/>
      <c r="F319" s="13"/>
      <c r="G319" s="14"/>
      <c r="H319" s="15"/>
      <c r="I319" s="16"/>
    </row>
    <row r="320" spans="1:9" ht="14.25">
      <c r="A320" s="140">
        <v>7</v>
      </c>
      <c r="B320" s="139">
        <v>0</v>
      </c>
      <c r="C320" s="10">
        <v>19</v>
      </c>
      <c r="D320" s="11"/>
      <c r="E320" s="12"/>
      <c r="F320" s="13"/>
      <c r="G320" s="14"/>
      <c r="H320" s="15"/>
      <c r="I320" s="16"/>
    </row>
    <row r="321" spans="1:9" ht="14.25">
      <c r="A321" s="140">
        <v>7</v>
      </c>
      <c r="B321" s="139">
        <v>0</v>
      </c>
      <c r="C321" s="10">
        <v>20</v>
      </c>
      <c r="D321" s="11"/>
      <c r="E321" s="12"/>
      <c r="F321" s="13"/>
      <c r="G321" s="14"/>
      <c r="H321" s="15"/>
      <c r="I321" s="16"/>
    </row>
    <row r="322" spans="1:9" ht="14.25">
      <c r="A322" s="140">
        <v>7</v>
      </c>
      <c r="B322" s="139">
        <v>0</v>
      </c>
      <c r="C322" s="10">
        <v>21</v>
      </c>
      <c r="D322" s="11"/>
      <c r="E322" s="12"/>
      <c r="F322" s="13"/>
      <c r="G322" s="14"/>
      <c r="H322" s="15"/>
      <c r="I322" s="16"/>
    </row>
    <row r="323" spans="1:9" ht="14.25">
      <c r="A323" s="140">
        <v>7</v>
      </c>
      <c r="B323" s="139">
        <v>0</v>
      </c>
      <c r="C323" s="10">
        <v>22</v>
      </c>
      <c r="D323" s="11"/>
      <c r="E323" s="12"/>
      <c r="F323" s="13"/>
      <c r="G323" s="14"/>
      <c r="H323" s="15"/>
      <c r="I323" s="16"/>
    </row>
    <row r="324" spans="1:9" ht="14.25">
      <c r="A324" s="140">
        <v>7</v>
      </c>
      <c r="B324" s="139">
        <v>0</v>
      </c>
      <c r="C324" s="10">
        <v>23</v>
      </c>
      <c r="D324" s="11"/>
      <c r="E324" s="12"/>
      <c r="F324" s="13"/>
      <c r="G324" s="14"/>
      <c r="H324" s="15"/>
      <c r="I324" s="16"/>
    </row>
    <row r="325" spans="1:9" ht="14.25">
      <c r="A325" s="140">
        <v>7</v>
      </c>
      <c r="B325" s="139">
        <v>0</v>
      </c>
      <c r="C325" s="10">
        <v>24</v>
      </c>
      <c r="D325" s="11"/>
      <c r="E325" s="12"/>
      <c r="F325" s="13"/>
      <c r="G325" s="14"/>
      <c r="H325" s="15"/>
      <c r="I325" s="16"/>
    </row>
    <row r="326" spans="1:9" ht="14.25">
      <c r="A326" s="140">
        <v>7</v>
      </c>
      <c r="B326" s="139">
        <v>0</v>
      </c>
      <c r="C326" s="10">
        <v>25</v>
      </c>
      <c r="D326" s="11"/>
      <c r="E326" s="12"/>
      <c r="F326" s="13"/>
      <c r="G326" s="14"/>
      <c r="H326" s="15"/>
      <c r="I326" s="16"/>
    </row>
    <row r="327" spans="1:9" ht="14.25">
      <c r="A327" s="140">
        <v>7</v>
      </c>
      <c r="B327" s="139">
        <v>0</v>
      </c>
      <c r="C327" s="10">
        <v>26</v>
      </c>
      <c r="D327" s="11"/>
      <c r="E327" s="12"/>
      <c r="F327" s="13"/>
      <c r="G327" s="14"/>
      <c r="H327" s="15"/>
      <c r="I327" s="16"/>
    </row>
    <row r="328" spans="1:9" ht="14.25">
      <c r="A328" s="140">
        <v>7</v>
      </c>
      <c r="B328" s="139">
        <v>0</v>
      </c>
      <c r="C328" s="10">
        <v>27</v>
      </c>
      <c r="D328" s="11"/>
      <c r="E328" s="12"/>
      <c r="F328" s="13"/>
      <c r="G328" s="14"/>
      <c r="H328" s="15"/>
      <c r="I328" s="16"/>
    </row>
    <row r="329" spans="1:9" ht="14.25">
      <c r="A329" s="140">
        <v>7</v>
      </c>
      <c r="B329" s="139">
        <v>0</v>
      </c>
      <c r="C329" s="10">
        <v>28</v>
      </c>
      <c r="D329" s="11"/>
      <c r="E329" s="12"/>
      <c r="F329" s="13"/>
      <c r="G329" s="14"/>
      <c r="H329" s="15"/>
      <c r="I329" s="16"/>
    </row>
    <row r="330" spans="1:9" ht="14.25">
      <c r="A330" s="140">
        <v>7</v>
      </c>
      <c r="B330" s="139">
        <v>0</v>
      </c>
      <c r="C330" s="10">
        <v>29</v>
      </c>
      <c r="D330" s="11"/>
      <c r="E330" s="12"/>
      <c r="F330" s="13"/>
      <c r="G330" s="14"/>
      <c r="H330" s="15"/>
      <c r="I330" s="16"/>
    </row>
    <row r="331" spans="1:9" ht="14.25">
      <c r="A331" s="140">
        <v>7</v>
      </c>
      <c r="B331" s="139">
        <v>0</v>
      </c>
      <c r="C331" s="10">
        <v>30</v>
      </c>
      <c r="D331" s="11"/>
      <c r="E331" s="12"/>
      <c r="F331" s="13"/>
      <c r="G331" s="14"/>
      <c r="H331" s="15"/>
      <c r="I331" s="16"/>
    </row>
    <row r="332" spans="1:9" ht="14.25">
      <c r="A332" s="140">
        <v>7</v>
      </c>
      <c r="B332" s="139">
        <v>0</v>
      </c>
      <c r="C332" s="10">
        <v>31</v>
      </c>
      <c r="D332" s="11"/>
      <c r="E332" s="12"/>
      <c r="F332" s="13"/>
      <c r="G332" s="14"/>
      <c r="H332" s="15"/>
      <c r="I332" s="16"/>
    </row>
    <row r="333" spans="1:9" ht="14.25">
      <c r="A333" s="140">
        <v>7</v>
      </c>
      <c r="B333" s="139">
        <v>0</v>
      </c>
      <c r="C333" s="10">
        <v>32</v>
      </c>
      <c r="D333" s="11"/>
      <c r="E333" s="12"/>
      <c r="F333" s="13"/>
      <c r="G333" s="14"/>
      <c r="H333" s="15"/>
      <c r="I333" s="16"/>
    </row>
    <row r="334" spans="1:9" ht="14.25">
      <c r="A334" s="140">
        <v>7</v>
      </c>
      <c r="B334" s="139">
        <v>0</v>
      </c>
      <c r="C334" s="10">
        <v>33</v>
      </c>
      <c r="D334" s="11"/>
      <c r="E334" s="12"/>
      <c r="F334" s="13"/>
      <c r="G334" s="14"/>
      <c r="H334" s="15"/>
      <c r="I334" s="16"/>
    </row>
    <row r="335" spans="1:9" ht="14.25">
      <c r="A335" s="140">
        <v>7</v>
      </c>
      <c r="B335" s="139">
        <v>0</v>
      </c>
      <c r="C335" s="10">
        <v>34</v>
      </c>
      <c r="D335" s="11"/>
      <c r="E335" s="12"/>
      <c r="F335" s="13"/>
      <c r="G335" s="14"/>
      <c r="H335" s="15"/>
      <c r="I335" s="16"/>
    </row>
    <row r="336" spans="1:9" ht="14.25">
      <c r="A336" s="140">
        <v>7</v>
      </c>
      <c r="B336" s="139">
        <v>0</v>
      </c>
      <c r="C336" s="10">
        <v>35</v>
      </c>
      <c r="D336" s="11"/>
      <c r="E336" s="12"/>
      <c r="F336" s="13"/>
      <c r="G336" s="14"/>
      <c r="H336" s="15"/>
      <c r="I336" s="16"/>
    </row>
    <row r="337" spans="1:9" ht="14.25">
      <c r="A337" s="140">
        <v>7</v>
      </c>
      <c r="B337" s="139">
        <v>0</v>
      </c>
      <c r="C337" s="10">
        <v>36</v>
      </c>
      <c r="D337" s="11"/>
      <c r="E337" s="12"/>
      <c r="F337" s="13"/>
      <c r="G337" s="14"/>
      <c r="H337" s="15"/>
      <c r="I337" s="16"/>
    </row>
    <row r="338" spans="1:9" ht="14.25">
      <c r="A338" s="140">
        <v>7</v>
      </c>
      <c r="B338" s="139">
        <v>0</v>
      </c>
      <c r="C338" s="10">
        <v>37</v>
      </c>
      <c r="D338" s="11"/>
      <c r="E338" s="12"/>
      <c r="F338" s="13"/>
      <c r="G338" s="14"/>
      <c r="H338" s="15"/>
      <c r="I338" s="16"/>
    </row>
    <row r="339" spans="1:9" ht="14.25">
      <c r="A339" s="140">
        <v>7</v>
      </c>
      <c r="B339" s="139">
        <v>0</v>
      </c>
      <c r="C339" s="10">
        <v>38</v>
      </c>
      <c r="D339" s="11"/>
      <c r="E339" s="12"/>
      <c r="F339" s="13"/>
      <c r="G339" s="14"/>
      <c r="H339" s="15"/>
      <c r="I339" s="16"/>
    </row>
    <row r="340" spans="1:9" ht="14.25">
      <c r="A340" s="140">
        <v>7</v>
      </c>
      <c r="B340" s="139">
        <v>0</v>
      </c>
      <c r="C340" s="10">
        <v>39</v>
      </c>
      <c r="D340" s="11"/>
      <c r="E340" s="12"/>
      <c r="F340" s="13"/>
      <c r="G340" s="14"/>
      <c r="H340" s="15"/>
      <c r="I340" s="16"/>
    </row>
    <row r="341" spans="1:9" ht="14.25">
      <c r="A341" s="140">
        <v>7</v>
      </c>
      <c r="B341" s="139">
        <v>0</v>
      </c>
      <c r="C341" s="10">
        <v>40</v>
      </c>
      <c r="D341" s="11"/>
      <c r="E341" s="12"/>
      <c r="F341" s="13"/>
      <c r="G341" s="14"/>
      <c r="H341" s="15"/>
      <c r="I341" s="16"/>
    </row>
    <row r="342" spans="1:9" ht="14.25">
      <c r="A342" s="140">
        <v>7</v>
      </c>
      <c r="B342" s="139">
        <v>0</v>
      </c>
      <c r="C342" s="10">
        <v>41</v>
      </c>
      <c r="D342" s="11"/>
      <c r="E342" s="12"/>
      <c r="F342" s="13"/>
      <c r="G342" s="14"/>
      <c r="H342" s="15"/>
      <c r="I342" s="16"/>
    </row>
    <row r="343" spans="1:9" ht="14.25">
      <c r="A343" s="140">
        <v>7</v>
      </c>
      <c r="B343" s="139">
        <v>0</v>
      </c>
      <c r="C343" s="10">
        <v>42</v>
      </c>
      <c r="D343" s="11"/>
      <c r="E343" s="12"/>
      <c r="F343" s="13"/>
      <c r="G343" s="14"/>
      <c r="H343" s="15"/>
      <c r="I343" s="16"/>
    </row>
    <row r="344" spans="1:9" ht="14.25">
      <c r="A344" s="140">
        <v>7</v>
      </c>
      <c r="B344" s="139">
        <v>0</v>
      </c>
      <c r="C344" s="10">
        <v>43</v>
      </c>
      <c r="D344" s="11"/>
      <c r="E344" s="12"/>
      <c r="F344" s="13"/>
      <c r="G344" s="14"/>
      <c r="H344" s="15"/>
      <c r="I344" s="16"/>
    </row>
    <row r="345" spans="1:9" ht="14.25">
      <c r="A345" s="140">
        <v>7</v>
      </c>
      <c r="B345" s="139">
        <v>0</v>
      </c>
      <c r="C345" s="10">
        <v>44</v>
      </c>
      <c r="D345" s="11"/>
      <c r="E345" s="12"/>
      <c r="F345" s="13"/>
      <c r="G345" s="14"/>
      <c r="H345" s="15"/>
      <c r="I345" s="16"/>
    </row>
    <row r="346" spans="1:9" ht="14.25">
      <c r="A346" s="140">
        <v>7</v>
      </c>
      <c r="B346" s="139">
        <v>0</v>
      </c>
      <c r="C346" s="10">
        <v>45</v>
      </c>
      <c r="D346" s="11"/>
      <c r="E346" s="12"/>
      <c r="F346" s="13"/>
      <c r="G346" s="14"/>
      <c r="H346" s="15"/>
      <c r="I346" s="16"/>
    </row>
    <row r="347" spans="1:9" ht="14.25">
      <c r="A347" s="140">
        <v>7</v>
      </c>
      <c r="B347" s="139">
        <v>0</v>
      </c>
      <c r="C347" s="10">
        <v>46</v>
      </c>
      <c r="D347" s="11"/>
      <c r="E347" s="12"/>
      <c r="F347" s="13"/>
      <c r="G347" s="14"/>
      <c r="H347" s="15"/>
      <c r="I347" s="16"/>
    </row>
    <row r="348" spans="1:9" ht="14.25">
      <c r="A348" s="140">
        <v>7</v>
      </c>
      <c r="B348" s="139">
        <v>0</v>
      </c>
      <c r="C348" s="10">
        <v>47</v>
      </c>
      <c r="D348" s="11"/>
      <c r="E348" s="12"/>
      <c r="F348" s="13"/>
      <c r="G348" s="14"/>
      <c r="H348" s="15"/>
      <c r="I348" s="16"/>
    </row>
    <row r="349" spans="1:9" ht="14.25">
      <c r="A349" s="140">
        <v>7</v>
      </c>
      <c r="B349" s="139">
        <v>0</v>
      </c>
      <c r="C349" s="10">
        <v>48</v>
      </c>
      <c r="D349" s="11"/>
      <c r="E349" s="12"/>
      <c r="F349" s="13"/>
      <c r="G349" s="14"/>
      <c r="H349" s="15"/>
      <c r="I349" s="16"/>
    </row>
    <row r="350" spans="1:9" ht="14.25">
      <c r="A350" s="140">
        <v>7</v>
      </c>
      <c r="B350" s="139">
        <v>0</v>
      </c>
      <c r="C350" s="10">
        <v>49</v>
      </c>
      <c r="D350" s="11"/>
      <c r="E350" s="12"/>
      <c r="F350" s="13"/>
      <c r="G350" s="14"/>
      <c r="H350" s="15"/>
      <c r="I350" s="16"/>
    </row>
    <row r="351" spans="1:9" ht="14.25">
      <c r="A351" s="140">
        <v>7</v>
      </c>
      <c r="B351" s="139">
        <v>0</v>
      </c>
      <c r="C351" s="10">
        <v>50</v>
      </c>
      <c r="D351" s="11"/>
      <c r="E351" s="12"/>
      <c r="F351" s="13"/>
      <c r="G351" s="14"/>
      <c r="H351" s="15"/>
      <c r="I351" s="16"/>
    </row>
    <row r="352" spans="1:9" ht="14.25">
      <c r="A352" s="140">
        <v>8</v>
      </c>
      <c r="B352" s="139"/>
      <c r="C352" s="10">
        <v>1</v>
      </c>
      <c r="D352" s="11"/>
      <c r="E352" s="12"/>
      <c r="F352" s="13"/>
      <c r="G352" s="14"/>
      <c r="H352" s="15"/>
      <c r="I352" s="16"/>
    </row>
    <row r="353" spans="1:9" ht="14.25">
      <c r="A353" s="140">
        <v>8</v>
      </c>
      <c r="B353" s="139">
        <v>0</v>
      </c>
      <c r="C353" s="10">
        <v>2</v>
      </c>
      <c r="D353" s="11"/>
      <c r="E353" s="12"/>
      <c r="F353" s="13"/>
      <c r="G353" s="14"/>
      <c r="H353" s="15"/>
      <c r="I353" s="16"/>
    </row>
    <row r="354" spans="1:9" ht="14.25">
      <c r="A354" s="140">
        <v>8</v>
      </c>
      <c r="B354" s="139">
        <v>0</v>
      </c>
      <c r="C354" s="10">
        <v>3</v>
      </c>
      <c r="D354" s="11"/>
      <c r="E354" s="12"/>
      <c r="F354" s="13"/>
      <c r="G354" s="14"/>
      <c r="H354" s="15"/>
      <c r="I354" s="16"/>
    </row>
    <row r="355" spans="1:9" ht="14.25">
      <c r="A355" s="140">
        <v>8</v>
      </c>
      <c r="B355" s="139">
        <v>0</v>
      </c>
      <c r="C355" s="10">
        <v>4</v>
      </c>
      <c r="D355" s="11"/>
      <c r="E355" s="12"/>
      <c r="F355" s="13"/>
      <c r="G355" s="14"/>
      <c r="H355" s="15"/>
      <c r="I355" s="16"/>
    </row>
    <row r="356" spans="1:9" ht="14.25">
      <c r="A356" s="140">
        <v>8</v>
      </c>
      <c r="B356" s="139">
        <v>0</v>
      </c>
      <c r="C356" s="10">
        <v>5</v>
      </c>
      <c r="D356" s="11"/>
      <c r="E356" s="12"/>
      <c r="F356" s="13"/>
      <c r="G356" s="14"/>
      <c r="H356" s="15"/>
      <c r="I356" s="16"/>
    </row>
    <row r="357" spans="1:9" ht="14.25">
      <c r="A357" s="140">
        <v>8</v>
      </c>
      <c r="B357" s="139">
        <v>0</v>
      </c>
      <c r="C357" s="10">
        <v>6</v>
      </c>
      <c r="D357" s="11"/>
      <c r="E357" s="12"/>
      <c r="F357" s="13"/>
      <c r="G357" s="14"/>
      <c r="H357" s="15"/>
      <c r="I357" s="16"/>
    </row>
    <row r="358" spans="1:9" ht="14.25">
      <c r="A358" s="140">
        <v>8</v>
      </c>
      <c r="B358" s="139">
        <v>0</v>
      </c>
      <c r="C358" s="10">
        <v>7</v>
      </c>
      <c r="D358" s="11"/>
      <c r="E358" s="12"/>
      <c r="F358" s="13"/>
      <c r="G358" s="14"/>
      <c r="H358" s="15"/>
      <c r="I358" s="16"/>
    </row>
    <row r="359" spans="1:9" ht="14.25">
      <c r="A359" s="140">
        <v>8</v>
      </c>
      <c r="B359" s="139">
        <v>0</v>
      </c>
      <c r="C359" s="10">
        <v>8</v>
      </c>
      <c r="D359" s="11"/>
      <c r="E359" s="12"/>
      <c r="F359" s="13"/>
      <c r="G359" s="14"/>
      <c r="H359" s="15"/>
      <c r="I359" s="16"/>
    </row>
    <row r="360" spans="1:9" ht="14.25">
      <c r="A360" s="140">
        <v>8</v>
      </c>
      <c r="B360" s="139">
        <v>0</v>
      </c>
      <c r="C360" s="10">
        <v>9</v>
      </c>
      <c r="D360" s="11"/>
      <c r="E360" s="12"/>
      <c r="F360" s="13"/>
      <c r="G360" s="14"/>
      <c r="H360" s="15"/>
      <c r="I360" s="16"/>
    </row>
    <row r="361" spans="1:9" ht="14.25">
      <c r="A361" s="140">
        <v>8</v>
      </c>
      <c r="B361" s="139">
        <v>0</v>
      </c>
      <c r="C361" s="10">
        <v>10</v>
      </c>
      <c r="D361" s="11"/>
      <c r="E361" s="12"/>
      <c r="F361" s="13"/>
      <c r="G361" s="14"/>
      <c r="H361" s="15"/>
      <c r="I361" s="16"/>
    </row>
    <row r="362" spans="1:9" ht="14.25">
      <c r="A362" s="140">
        <v>8</v>
      </c>
      <c r="B362" s="139">
        <v>0</v>
      </c>
      <c r="C362" s="10">
        <v>11</v>
      </c>
      <c r="D362" s="11"/>
      <c r="E362" s="12"/>
      <c r="F362" s="13"/>
      <c r="G362" s="14"/>
      <c r="H362" s="15"/>
      <c r="I362" s="16"/>
    </row>
    <row r="363" spans="1:9" ht="14.25">
      <c r="A363" s="140">
        <v>8</v>
      </c>
      <c r="B363" s="139">
        <v>0</v>
      </c>
      <c r="C363" s="10">
        <v>12</v>
      </c>
      <c r="D363" s="11"/>
      <c r="E363" s="12"/>
      <c r="F363" s="13"/>
      <c r="G363" s="14"/>
      <c r="H363" s="15"/>
      <c r="I363" s="16"/>
    </row>
    <row r="364" spans="1:9" ht="14.25">
      <c r="A364" s="140">
        <v>8</v>
      </c>
      <c r="B364" s="139">
        <v>0</v>
      </c>
      <c r="C364" s="10">
        <v>13</v>
      </c>
      <c r="D364" s="11"/>
      <c r="E364" s="12"/>
      <c r="F364" s="13"/>
      <c r="G364" s="14"/>
      <c r="H364" s="15"/>
      <c r="I364" s="16"/>
    </row>
    <row r="365" spans="1:9" ht="14.25">
      <c r="A365" s="140">
        <v>8</v>
      </c>
      <c r="B365" s="139">
        <v>0</v>
      </c>
      <c r="C365" s="10">
        <v>14</v>
      </c>
      <c r="D365" s="11"/>
      <c r="E365" s="12"/>
      <c r="F365" s="13"/>
      <c r="G365" s="14"/>
      <c r="H365" s="15"/>
      <c r="I365" s="16"/>
    </row>
    <row r="366" spans="1:9" ht="14.25">
      <c r="A366" s="140">
        <v>8</v>
      </c>
      <c r="B366" s="139">
        <v>0</v>
      </c>
      <c r="C366" s="10">
        <v>15</v>
      </c>
      <c r="D366" s="11"/>
      <c r="E366" s="12"/>
      <c r="F366" s="13"/>
      <c r="G366" s="14"/>
      <c r="H366" s="15"/>
      <c r="I366" s="16"/>
    </row>
    <row r="367" spans="1:9" ht="14.25">
      <c r="A367" s="140">
        <v>8</v>
      </c>
      <c r="B367" s="139">
        <v>0</v>
      </c>
      <c r="C367" s="10">
        <v>16</v>
      </c>
      <c r="D367" s="11"/>
      <c r="E367" s="12"/>
      <c r="F367" s="13"/>
      <c r="G367" s="14"/>
      <c r="H367" s="15"/>
      <c r="I367" s="16"/>
    </row>
    <row r="368" spans="1:9" ht="14.25">
      <c r="A368" s="140">
        <v>8</v>
      </c>
      <c r="B368" s="139">
        <v>0</v>
      </c>
      <c r="C368" s="10">
        <v>17</v>
      </c>
      <c r="D368" s="11"/>
      <c r="E368" s="12"/>
      <c r="F368" s="13"/>
      <c r="G368" s="14"/>
      <c r="H368" s="15"/>
      <c r="I368" s="16"/>
    </row>
    <row r="369" spans="1:9" ht="14.25">
      <c r="A369" s="140">
        <v>8</v>
      </c>
      <c r="B369" s="139">
        <v>0</v>
      </c>
      <c r="C369" s="10">
        <v>18</v>
      </c>
      <c r="D369" s="11"/>
      <c r="E369" s="12"/>
      <c r="F369" s="13"/>
      <c r="G369" s="14"/>
      <c r="H369" s="15"/>
      <c r="I369" s="16"/>
    </row>
    <row r="370" spans="1:9" ht="14.25">
      <c r="A370" s="140">
        <v>8</v>
      </c>
      <c r="B370" s="139">
        <v>0</v>
      </c>
      <c r="C370" s="10">
        <v>19</v>
      </c>
      <c r="D370" s="11"/>
      <c r="E370" s="12"/>
      <c r="F370" s="13"/>
      <c r="G370" s="14"/>
      <c r="H370" s="15"/>
      <c r="I370" s="16"/>
    </row>
    <row r="371" spans="1:9" ht="14.25">
      <c r="A371" s="140">
        <v>8</v>
      </c>
      <c r="B371" s="139">
        <v>0</v>
      </c>
      <c r="C371" s="10">
        <v>20</v>
      </c>
      <c r="D371" s="11"/>
      <c r="E371" s="12"/>
      <c r="F371" s="13"/>
      <c r="G371" s="14"/>
      <c r="H371" s="15"/>
      <c r="I371" s="16"/>
    </row>
    <row r="372" spans="1:9" ht="14.25">
      <c r="A372" s="140">
        <v>8</v>
      </c>
      <c r="B372" s="139">
        <v>0</v>
      </c>
      <c r="C372" s="10">
        <v>21</v>
      </c>
      <c r="D372" s="11"/>
      <c r="E372" s="12"/>
      <c r="F372" s="13"/>
      <c r="G372" s="14"/>
      <c r="H372" s="15"/>
      <c r="I372" s="16"/>
    </row>
    <row r="373" spans="1:9" ht="14.25">
      <c r="A373" s="140">
        <v>8</v>
      </c>
      <c r="B373" s="139">
        <v>0</v>
      </c>
      <c r="C373" s="10">
        <v>22</v>
      </c>
      <c r="D373" s="11"/>
      <c r="E373" s="12"/>
      <c r="F373" s="13"/>
      <c r="G373" s="14"/>
      <c r="H373" s="15"/>
      <c r="I373" s="16"/>
    </row>
    <row r="374" spans="1:9" ht="14.25">
      <c r="A374" s="140">
        <v>8</v>
      </c>
      <c r="B374" s="139">
        <v>0</v>
      </c>
      <c r="C374" s="10">
        <v>23</v>
      </c>
      <c r="D374" s="11"/>
      <c r="E374" s="12"/>
      <c r="F374" s="13"/>
      <c r="G374" s="14"/>
      <c r="H374" s="15"/>
      <c r="I374" s="16"/>
    </row>
    <row r="375" spans="1:9" ht="14.25">
      <c r="A375" s="140">
        <v>8</v>
      </c>
      <c r="B375" s="139">
        <v>0</v>
      </c>
      <c r="C375" s="10">
        <v>24</v>
      </c>
      <c r="D375" s="11"/>
      <c r="E375" s="12"/>
      <c r="F375" s="13"/>
      <c r="G375" s="14"/>
      <c r="H375" s="15"/>
      <c r="I375" s="16"/>
    </row>
    <row r="376" spans="1:9" ht="14.25">
      <c r="A376" s="140">
        <v>8</v>
      </c>
      <c r="B376" s="139">
        <v>0</v>
      </c>
      <c r="C376" s="10">
        <v>25</v>
      </c>
      <c r="D376" s="11"/>
      <c r="E376" s="12"/>
      <c r="F376" s="13"/>
      <c r="G376" s="14"/>
      <c r="H376" s="15"/>
      <c r="I376" s="16"/>
    </row>
    <row r="377" spans="1:9" ht="14.25">
      <c r="A377" s="140">
        <v>8</v>
      </c>
      <c r="B377" s="139">
        <v>0</v>
      </c>
      <c r="C377" s="10">
        <v>26</v>
      </c>
      <c r="D377" s="11"/>
      <c r="E377" s="12"/>
      <c r="F377" s="13"/>
      <c r="G377" s="14"/>
      <c r="H377" s="15"/>
      <c r="I377" s="16"/>
    </row>
    <row r="378" spans="1:9" ht="14.25">
      <c r="A378" s="140">
        <v>8</v>
      </c>
      <c r="B378" s="139">
        <v>0</v>
      </c>
      <c r="C378" s="10">
        <v>27</v>
      </c>
      <c r="D378" s="11"/>
      <c r="E378" s="12"/>
      <c r="F378" s="13"/>
      <c r="G378" s="14"/>
      <c r="H378" s="15"/>
      <c r="I378" s="16"/>
    </row>
    <row r="379" spans="1:9" ht="14.25">
      <c r="A379" s="140">
        <v>8</v>
      </c>
      <c r="B379" s="139">
        <v>0</v>
      </c>
      <c r="C379" s="10">
        <v>28</v>
      </c>
      <c r="D379" s="11"/>
      <c r="E379" s="12"/>
      <c r="F379" s="13"/>
      <c r="G379" s="14"/>
      <c r="H379" s="15"/>
      <c r="I379" s="16"/>
    </row>
    <row r="380" spans="1:9" ht="14.25">
      <c r="A380" s="140">
        <v>8</v>
      </c>
      <c r="B380" s="139">
        <v>0</v>
      </c>
      <c r="C380" s="10">
        <v>29</v>
      </c>
      <c r="D380" s="11"/>
      <c r="E380" s="12"/>
      <c r="F380" s="13"/>
      <c r="G380" s="14"/>
      <c r="H380" s="15"/>
      <c r="I380" s="16"/>
    </row>
    <row r="381" spans="1:9" ht="14.25">
      <c r="A381" s="140">
        <v>8</v>
      </c>
      <c r="B381" s="139">
        <v>0</v>
      </c>
      <c r="C381" s="10">
        <v>30</v>
      </c>
      <c r="D381" s="11"/>
      <c r="E381" s="12"/>
      <c r="F381" s="13"/>
      <c r="G381" s="14"/>
      <c r="H381" s="15"/>
      <c r="I381" s="16"/>
    </row>
    <row r="382" spans="1:9" ht="14.25">
      <c r="A382" s="140">
        <v>8</v>
      </c>
      <c r="B382" s="139">
        <v>0</v>
      </c>
      <c r="C382" s="10">
        <v>31</v>
      </c>
      <c r="D382" s="11"/>
      <c r="E382" s="12"/>
      <c r="F382" s="13"/>
      <c r="G382" s="14"/>
      <c r="H382" s="15"/>
      <c r="I382" s="16"/>
    </row>
    <row r="383" spans="1:9" ht="14.25">
      <c r="A383" s="140">
        <v>8</v>
      </c>
      <c r="B383" s="139">
        <v>0</v>
      </c>
      <c r="C383" s="10">
        <v>32</v>
      </c>
      <c r="D383" s="11"/>
      <c r="E383" s="12"/>
      <c r="F383" s="13"/>
      <c r="G383" s="14"/>
      <c r="H383" s="15"/>
      <c r="I383" s="16"/>
    </row>
    <row r="384" spans="1:9" ht="14.25">
      <c r="A384" s="140">
        <v>8</v>
      </c>
      <c r="B384" s="139">
        <v>0</v>
      </c>
      <c r="C384" s="10">
        <v>33</v>
      </c>
      <c r="D384" s="11"/>
      <c r="E384" s="12"/>
      <c r="F384" s="13"/>
      <c r="G384" s="14"/>
      <c r="H384" s="15"/>
      <c r="I384" s="16"/>
    </row>
    <row r="385" spans="1:9" ht="14.25">
      <c r="A385" s="140">
        <v>8</v>
      </c>
      <c r="B385" s="139">
        <v>0</v>
      </c>
      <c r="C385" s="10">
        <v>34</v>
      </c>
      <c r="D385" s="11"/>
      <c r="E385" s="12"/>
      <c r="F385" s="13"/>
      <c r="G385" s="14"/>
      <c r="H385" s="15"/>
      <c r="I385" s="16"/>
    </row>
    <row r="386" spans="1:9" ht="14.25">
      <c r="A386" s="140">
        <v>8</v>
      </c>
      <c r="B386" s="139">
        <v>0</v>
      </c>
      <c r="C386" s="10">
        <v>35</v>
      </c>
      <c r="D386" s="11"/>
      <c r="E386" s="12"/>
      <c r="F386" s="13"/>
      <c r="G386" s="14"/>
      <c r="H386" s="15"/>
      <c r="I386" s="16"/>
    </row>
    <row r="387" spans="1:9" ht="14.25">
      <c r="A387" s="140">
        <v>8</v>
      </c>
      <c r="B387" s="139">
        <v>0</v>
      </c>
      <c r="C387" s="10">
        <v>36</v>
      </c>
      <c r="D387" s="11"/>
      <c r="E387" s="12"/>
      <c r="F387" s="13"/>
      <c r="G387" s="14"/>
      <c r="H387" s="15"/>
      <c r="I387" s="16"/>
    </row>
    <row r="388" spans="1:9" ht="14.25">
      <c r="A388" s="140">
        <v>8</v>
      </c>
      <c r="B388" s="139">
        <v>0</v>
      </c>
      <c r="C388" s="10">
        <v>37</v>
      </c>
      <c r="D388" s="11"/>
      <c r="E388" s="12"/>
      <c r="F388" s="13"/>
      <c r="G388" s="14"/>
      <c r="H388" s="15"/>
      <c r="I388" s="16"/>
    </row>
    <row r="389" spans="1:9" ht="14.25">
      <c r="A389" s="140">
        <v>8</v>
      </c>
      <c r="B389" s="139">
        <v>0</v>
      </c>
      <c r="C389" s="10">
        <v>38</v>
      </c>
      <c r="D389" s="11"/>
      <c r="E389" s="12"/>
      <c r="F389" s="13"/>
      <c r="G389" s="14"/>
      <c r="H389" s="15"/>
      <c r="I389" s="16"/>
    </row>
    <row r="390" spans="1:9" ht="14.25">
      <c r="A390" s="140">
        <v>8</v>
      </c>
      <c r="B390" s="139">
        <v>0</v>
      </c>
      <c r="C390" s="10">
        <v>39</v>
      </c>
      <c r="D390" s="11"/>
      <c r="E390" s="12"/>
      <c r="F390" s="13"/>
      <c r="G390" s="14"/>
      <c r="H390" s="15"/>
      <c r="I390" s="16"/>
    </row>
    <row r="391" spans="1:9" ht="14.25">
      <c r="A391" s="140">
        <v>8</v>
      </c>
      <c r="B391" s="139">
        <v>0</v>
      </c>
      <c r="C391" s="10">
        <v>40</v>
      </c>
      <c r="D391" s="11"/>
      <c r="E391" s="12"/>
      <c r="F391" s="13"/>
      <c r="G391" s="14"/>
      <c r="H391" s="15"/>
      <c r="I391" s="16"/>
    </row>
    <row r="392" spans="1:9" ht="14.25">
      <c r="A392" s="140">
        <v>8</v>
      </c>
      <c r="B392" s="139">
        <v>0</v>
      </c>
      <c r="C392" s="10">
        <v>41</v>
      </c>
      <c r="D392" s="11"/>
      <c r="E392" s="12"/>
      <c r="F392" s="13"/>
      <c r="G392" s="14"/>
      <c r="H392" s="15"/>
      <c r="I392" s="16"/>
    </row>
    <row r="393" spans="1:9" ht="14.25">
      <c r="A393" s="140">
        <v>8</v>
      </c>
      <c r="B393" s="139">
        <v>0</v>
      </c>
      <c r="C393" s="10">
        <v>42</v>
      </c>
      <c r="D393" s="11"/>
      <c r="E393" s="12"/>
      <c r="F393" s="13"/>
      <c r="G393" s="14"/>
      <c r="H393" s="15"/>
      <c r="I393" s="16"/>
    </row>
    <row r="394" spans="1:9" ht="14.25">
      <c r="A394" s="140">
        <v>8</v>
      </c>
      <c r="B394" s="139">
        <v>0</v>
      </c>
      <c r="C394" s="10">
        <v>43</v>
      </c>
      <c r="D394" s="11"/>
      <c r="E394" s="12"/>
      <c r="F394" s="13"/>
      <c r="G394" s="14"/>
      <c r="H394" s="15"/>
      <c r="I394" s="16"/>
    </row>
    <row r="395" spans="1:9" ht="14.25">
      <c r="A395" s="140">
        <v>8</v>
      </c>
      <c r="B395" s="139">
        <v>0</v>
      </c>
      <c r="C395" s="10">
        <v>44</v>
      </c>
      <c r="D395" s="11"/>
      <c r="E395" s="12"/>
      <c r="F395" s="13"/>
      <c r="G395" s="14"/>
      <c r="H395" s="15"/>
      <c r="I395" s="16"/>
    </row>
    <row r="396" spans="1:9" ht="14.25">
      <c r="A396" s="140">
        <v>8</v>
      </c>
      <c r="B396" s="139">
        <v>0</v>
      </c>
      <c r="C396" s="10">
        <v>45</v>
      </c>
      <c r="D396" s="11"/>
      <c r="E396" s="12"/>
      <c r="F396" s="13"/>
      <c r="G396" s="14"/>
      <c r="H396" s="15"/>
      <c r="I396" s="16"/>
    </row>
    <row r="397" spans="1:9" ht="14.25">
      <c r="A397" s="140">
        <v>8</v>
      </c>
      <c r="B397" s="139">
        <v>0</v>
      </c>
      <c r="C397" s="10">
        <v>46</v>
      </c>
      <c r="D397" s="11"/>
      <c r="E397" s="12"/>
      <c r="F397" s="13"/>
      <c r="G397" s="14"/>
      <c r="H397" s="15"/>
      <c r="I397" s="16"/>
    </row>
    <row r="398" spans="1:9" ht="14.25">
      <c r="A398" s="140">
        <v>8</v>
      </c>
      <c r="B398" s="139">
        <v>0</v>
      </c>
      <c r="C398" s="10">
        <v>47</v>
      </c>
      <c r="D398" s="11"/>
      <c r="E398" s="12"/>
      <c r="F398" s="13"/>
      <c r="G398" s="14"/>
      <c r="H398" s="15"/>
      <c r="I398" s="16"/>
    </row>
    <row r="399" spans="1:9" ht="14.25">
      <c r="A399" s="140">
        <v>8</v>
      </c>
      <c r="B399" s="139">
        <v>0</v>
      </c>
      <c r="C399" s="10">
        <v>48</v>
      </c>
      <c r="D399" s="11"/>
      <c r="E399" s="12"/>
      <c r="F399" s="13"/>
      <c r="G399" s="14"/>
      <c r="H399" s="15"/>
      <c r="I399" s="16"/>
    </row>
    <row r="400" spans="1:9" ht="14.25">
      <c r="A400" s="140">
        <v>8</v>
      </c>
      <c r="B400" s="139">
        <v>0</v>
      </c>
      <c r="C400" s="10">
        <v>49</v>
      </c>
      <c r="D400" s="11"/>
      <c r="E400" s="12"/>
      <c r="F400" s="13"/>
      <c r="G400" s="14"/>
      <c r="H400" s="15"/>
      <c r="I400" s="16"/>
    </row>
    <row r="401" spans="1:9" ht="14.25">
      <c r="A401" s="140">
        <v>8</v>
      </c>
      <c r="B401" s="139">
        <v>0</v>
      </c>
      <c r="C401" s="10">
        <v>50</v>
      </c>
      <c r="D401" s="11"/>
      <c r="E401" s="12"/>
      <c r="F401" s="13"/>
      <c r="G401" s="14"/>
      <c r="H401" s="15"/>
      <c r="I401" s="16"/>
    </row>
    <row r="402" spans="1:9" ht="14.25">
      <c r="A402" s="140">
        <v>9</v>
      </c>
      <c r="B402" s="139"/>
      <c r="C402" s="10">
        <v>1</v>
      </c>
      <c r="D402" s="11"/>
      <c r="E402" s="12"/>
      <c r="F402" s="13"/>
      <c r="G402" s="14"/>
      <c r="H402" s="15"/>
      <c r="I402" s="16"/>
    </row>
    <row r="403" spans="1:9" ht="14.25">
      <c r="A403" s="140">
        <v>9</v>
      </c>
      <c r="B403" s="139">
        <v>0</v>
      </c>
      <c r="C403" s="10">
        <v>2</v>
      </c>
      <c r="D403" s="11"/>
      <c r="E403" s="12"/>
      <c r="F403" s="13"/>
      <c r="G403" s="14"/>
      <c r="H403" s="15"/>
      <c r="I403" s="16"/>
    </row>
    <row r="404" spans="1:9" ht="14.25">
      <c r="A404" s="140">
        <v>9</v>
      </c>
      <c r="B404" s="139">
        <v>0</v>
      </c>
      <c r="C404" s="10">
        <v>3</v>
      </c>
      <c r="D404" s="11"/>
      <c r="E404" s="12"/>
      <c r="F404" s="13"/>
      <c r="G404" s="14"/>
      <c r="H404" s="15"/>
      <c r="I404" s="16"/>
    </row>
    <row r="405" spans="1:9" ht="14.25">
      <c r="A405" s="140">
        <v>9</v>
      </c>
      <c r="B405" s="139">
        <v>0</v>
      </c>
      <c r="C405" s="10">
        <v>4</v>
      </c>
      <c r="D405" s="11"/>
      <c r="E405" s="12"/>
      <c r="F405" s="13"/>
      <c r="G405" s="14"/>
      <c r="H405" s="15"/>
      <c r="I405" s="16"/>
    </row>
    <row r="406" spans="1:9" ht="14.25">
      <c r="A406" s="140">
        <v>9</v>
      </c>
      <c r="B406" s="139">
        <v>0</v>
      </c>
      <c r="C406" s="10">
        <v>5</v>
      </c>
      <c r="D406" s="11"/>
      <c r="E406" s="12"/>
      <c r="F406" s="13"/>
      <c r="G406" s="14"/>
      <c r="H406" s="15"/>
      <c r="I406" s="16"/>
    </row>
    <row r="407" spans="1:9" ht="14.25">
      <c r="A407" s="140">
        <v>9</v>
      </c>
      <c r="B407" s="139">
        <v>0</v>
      </c>
      <c r="C407" s="10">
        <v>6</v>
      </c>
      <c r="D407" s="11"/>
      <c r="E407" s="12"/>
      <c r="F407" s="13"/>
      <c r="G407" s="14"/>
      <c r="H407" s="15"/>
      <c r="I407" s="16"/>
    </row>
    <row r="408" spans="1:9" ht="14.25">
      <c r="A408" s="140">
        <v>9</v>
      </c>
      <c r="B408" s="139">
        <v>0</v>
      </c>
      <c r="C408" s="10">
        <v>7</v>
      </c>
      <c r="D408" s="11"/>
      <c r="E408" s="12"/>
      <c r="F408" s="13"/>
      <c r="G408" s="14"/>
      <c r="H408" s="15"/>
      <c r="I408" s="16"/>
    </row>
    <row r="409" spans="1:9" ht="14.25">
      <c r="A409" s="140">
        <v>9</v>
      </c>
      <c r="B409" s="139">
        <v>0</v>
      </c>
      <c r="C409" s="10">
        <v>8</v>
      </c>
      <c r="D409" s="11"/>
      <c r="E409" s="12"/>
      <c r="F409" s="13"/>
      <c r="G409" s="14"/>
      <c r="H409" s="15"/>
      <c r="I409" s="16"/>
    </row>
    <row r="410" spans="1:9" ht="14.25">
      <c r="A410" s="140">
        <v>9</v>
      </c>
      <c r="B410" s="139">
        <v>0</v>
      </c>
      <c r="C410" s="10">
        <v>9</v>
      </c>
      <c r="D410" s="11"/>
      <c r="E410" s="12"/>
      <c r="F410" s="13"/>
      <c r="G410" s="14"/>
      <c r="H410" s="15"/>
      <c r="I410" s="16"/>
    </row>
    <row r="411" spans="1:9" ht="14.25">
      <c r="A411" s="140">
        <v>9</v>
      </c>
      <c r="B411" s="139">
        <v>0</v>
      </c>
      <c r="C411" s="10">
        <v>10</v>
      </c>
      <c r="D411" s="11"/>
      <c r="E411" s="12"/>
      <c r="F411" s="13"/>
      <c r="G411" s="14"/>
      <c r="H411" s="15"/>
      <c r="I411" s="16"/>
    </row>
    <row r="412" spans="1:9" ht="14.25">
      <c r="A412" s="140">
        <v>9</v>
      </c>
      <c r="B412" s="139">
        <v>0</v>
      </c>
      <c r="C412" s="10">
        <v>11</v>
      </c>
      <c r="D412" s="11"/>
      <c r="E412" s="12"/>
      <c r="F412" s="13"/>
      <c r="G412" s="14"/>
      <c r="H412" s="15"/>
      <c r="I412" s="16"/>
    </row>
    <row r="413" spans="1:9" ht="14.25">
      <c r="A413" s="140">
        <v>9</v>
      </c>
      <c r="B413" s="139">
        <v>0</v>
      </c>
      <c r="C413" s="10">
        <v>12</v>
      </c>
      <c r="D413" s="11"/>
      <c r="E413" s="12"/>
      <c r="F413" s="13"/>
      <c r="G413" s="14"/>
      <c r="H413" s="15"/>
      <c r="I413" s="16"/>
    </row>
    <row r="414" spans="1:9" ht="14.25">
      <c r="A414" s="140">
        <v>9</v>
      </c>
      <c r="B414" s="139">
        <v>0</v>
      </c>
      <c r="C414" s="10">
        <v>13</v>
      </c>
      <c r="D414" s="11"/>
      <c r="E414" s="12"/>
      <c r="F414" s="13"/>
      <c r="G414" s="14"/>
      <c r="H414" s="15"/>
      <c r="I414" s="16"/>
    </row>
    <row r="415" spans="1:9" ht="14.25">
      <c r="A415" s="140">
        <v>9</v>
      </c>
      <c r="B415" s="139">
        <v>0</v>
      </c>
      <c r="C415" s="10">
        <v>14</v>
      </c>
      <c r="D415" s="11"/>
      <c r="E415" s="12"/>
      <c r="F415" s="13"/>
      <c r="G415" s="14"/>
      <c r="H415" s="15"/>
      <c r="I415" s="16"/>
    </row>
    <row r="416" spans="1:9" ht="14.25">
      <c r="A416" s="140">
        <v>9</v>
      </c>
      <c r="B416" s="139">
        <v>0</v>
      </c>
      <c r="C416" s="10">
        <v>15</v>
      </c>
      <c r="D416" s="11"/>
      <c r="E416" s="12"/>
      <c r="F416" s="13"/>
      <c r="G416" s="14"/>
      <c r="H416" s="15"/>
      <c r="I416" s="16"/>
    </row>
    <row r="417" spans="1:9" ht="14.25">
      <c r="A417" s="140">
        <v>9</v>
      </c>
      <c r="B417" s="139">
        <v>0</v>
      </c>
      <c r="C417" s="10">
        <v>16</v>
      </c>
      <c r="D417" s="11"/>
      <c r="E417" s="12"/>
      <c r="F417" s="13"/>
      <c r="G417" s="14"/>
      <c r="H417" s="15"/>
      <c r="I417" s="16"/>
    </row>
    <row r="418" spans="1:9" ht="14.25">
      <c r="A418" s="140">
        <v>9</v>
      </c>
      <c r="B418" s="139">
        <v>0</v>
      </c>
      <c r="C418" s="10">
        <v>17</v>
      </c>
      <c r="D418" s="11"/>
      <c r="E418" s="12"/>
      <c r="F418" s="13"/>
      <c r="G418" s="14"/>
      <c r="H418" s="15"/>
      <c r="I418" s="16"/>
    </row>
    <row r="419" spans="1:9" ht="14.25">
      <c r="A419" s="140">
        <v>9</v>
      </c>
      <c r="B419" s="139">
        <v>0</v>
      </c>
      <c r="C419" s="10">
        <v>18</v>
      </c>
      <c r="D419" s="11"/>
      <c r="E419" s="12"/>
      <c r="F419" s="13"/>
      <c r="G419" s="14"/>
      <c r="H419" s="15"/>
      <c r="I419" s="16"/>
    </row>
    <row r="420" spans="1:9" ht="14.25">
      <c r="A420" s="140">
        <v>9</v>
      </c>
      <c r="B420" s="139">
        <v>0</v>
      </c>
      <c r="C420" s="10">
        <v>19</v>
      </c>
      <c r="D420" s="11"/>
      <c r="E420" s="12"/>
      <c r="F420" s="13"/>
      <c r="G420" s="14"/>
      <c r="H420" s="15"/>
      <c r="I420" s="16"/>
    </row>
    <row r="421" spans="1:9" ht="14.25">
      <c r="A421" s="140">
        <v>9</v>
      </c>
      <c r="B421" s="139">
        <v>0</v>
      </c>
      <c r="C421" s="10">
        <v>20</v>
      </c>
      <c r="D421" s="11"/>
      <c r="E421" s="12"/>
      <c r="F421" s="13"/>
      <c r="G421" s="14"/>
      <c r="H421" s="15"/>
      <c r="I421" s="16"/>
    </row>
    <row r="422" spans="1:9" ht="14.25">
      <c r="A422" s="140">
        <v>9</v>
      </c>
      <c r="B422" s="139">
        <v>0</v>
      </c>
      <c r="C422" s="10">
        <v>21</v>
      </c>
      <c r="D422" s="11"/>
      <c r="E422" s="12"/>
      <c r="F422" s="13"/>
      <c r="G422" s="14"/>
      <c r="H422" s="15"/>
      <c r="I422" s="16"/>
    </row>
    <row r="423" spans="1:9" ht="14.25">
      <c r="A423" s="140">
        <v>9</v>
      </c>
      <c r="B423" s="139">
        <v>0</v>
      </c>
      <c r="C423" s="10">
        <v>22</v>
      </c>
      <c r="D423" s="11"/>
      <c r="E423" s="12"/>
      <c r="F423" s="13"/>
      <c r="G423" s="14"/>
      <c r="H423" s="15"/>
      <c r="I423" s="16"/>
    </row>
    <row r="424" spans="1:9" ht="14.25">
      <c r="A424" s="140">
        <v>9</v>
      </c>
      <c r="B424" s="139">
        <v>0</v>
      </c>
      <c r="C424" s="10">
        <v>23</v>
      </c>
      <c r="D424" s="11"/>
      <c r="E424" s="12"/>
      <c r="F424" s="13"/>
      <c r="G424" s="14"/>
      <c r="H424" s="15"/>
      <c r="I424" s="16"/>
    </row>
    <row r="425" spans="1:9" ht="14.25">
      <c r="A425" s="140">
        <v>9</v>
      </c>
      <c r="B425" s="139">
        <v>0</v>
      </c>
      <c r="C425" s="10">
        <v>24</v>
      </c>
      <c r="D425" s="11"/>
      <c r="E425" s="12"/>
      <c r="F425" s="13"/>
      <c r="G425" s="14"/>
      <c r="H425" s="15"/>
      <c r="I425" s="16"/>
    </row>
    <row r="426" spans="1:9" ht="14.25">
      <c r="A426" s="140">
        <v>9</v>
      </c>
      <c r="B426" s="139">
        <v>0</v>
      </c>
      <c r="C426" s="10">
        <v>25</v>
      </c>
      <c r="D426" s="11"/>
      <c r="E426" s="12"/>
      <c r="F426" s="13"/>
      <c r="G426" s="14"/>
      <c r="H426" s="15"/>
      <c r="I426" s="16"/>
    </row>
    <row r="427" spans="1:9" ht="14.25">
      <c r="A427" s="140">
        <v>9</v>
      </c>
      <c r="B427" s="139">
        <v>0</v>
      </c>
      <c r="C427" s="10">
        <v>26</v>
      </c>
      <c r="D427" s="11"/>
      <c r="E427" s="12"/>
      <c r="F427" s="13"/>
      <c r="G427" s="14"/>
      <c r="H427" s="15"/>
      <c r="I427" s="16"/>
    </row>
    <row r="428" spans="1:9" ht="14.25">
      <c r="A428" s="140">
        <v>9</v>
      </c>
      <c r="B428" s="139">
        <v>0</v>
      </c>
      <c r="C428" s="10">
        <v>27</v>
      </c>
      <c r="D428" s="11"/>
      <c r="E428" s="12"/>
      <c r="F428" s="13"/>
      <c r="G428" s="14"/>
      <c r="H428" s="15"/>
      <c r="I428" s="16"/>
    </row>
    <row r="429" spans="1:9" ht="14.25">
      <c r="A429" s="140">
        <v>9</v>
      </c>
      <c r="B429" s="139">
        <v>0</v>
      </c>
      <c r="C429" s="10">
        <v>28</v>
      </c>
      <c r="D429" s="11"/>
      <c r="E429" s="12"/>
      <c r="F429" s="13"/>
      <c r="G429" s="14"/>
      <c r="H429" s="15"/>
      <c r="I429" s="16"/>
    </row>
    <row r="430" spans="1:9" ht="14.25">
      <c r="A430" s="140">
        <v>9</v>
      </c>
      <c r="B430" s="139">
        <v>0</v>
      </c>
      <c r="C430" s="10">
        <v>29</v>
      </c>
      <c r="D430" s="11"/>
      <c r="E430" s="12"/>
      <c r="F430" s="13"/>
      <c r="G430" s="14"/>
      <c r="H430" s="15"/>
      <c r="I430" s="16"/>
    </row>
    <row r="431" spans="1:9" ht="14.25">
      <c r="A431" s="140">
        <v>9</v>
      </c>
      <c r="B431" s="139">
        <v>0</v>
      </c>
      <c r="C431" s="10">
        <v>30</v>
      </c>
      <c r="D431" s="11"/>
      <c r="E431" s="12"/>
      <c r="F431" s="13"/>
      <c r="G431" s="14"/>
      <c r="H431" s="15"/>
      <c r="I431" s="16"/>
    </row>
    <row r="432" spans="1:9" ht="14.25">
      <c r="A432" s="140">
        <v>9</v>
      </c>
      <c r="B432" s="139">
        <v>0</v>
      </c>
      <c r="C432" s="10">
        <v>31</v>
      </c>
      <c r="D432" s="11"/>
      <c r="E432" s="12"/>
      <c r="F432" s="13"/>
      <c r="G432" s="14"/>
      <c r="H432" s="15"/>
      <c r="I432" s="16"/>
    </row>
    <row r="433" spans="1:9" ht="14.25">
      <c r="A433" s="140">
        <v>9</v>
      </c>
      <c r="B433" s="139">
        <v>0</v>
      </c>
      <c r="C433" s="10">
        <v>32</v>
      </c>
      <c r="D433" s="11"/>
      <c r="E433" s="12"/>
      <c r="F433" s="13"/>
      <c r="G433" s="14"/>
      <c r="H433" s="15"/>
      <c r="I433" s="16"/>
    </row>
    <row r="434" spans="1:9" ht="14.25">
      <c r="A434" s="140">
        <v>9</v>
      </c>
      <c r="B434" s="139">
        <v>0</v>
      </c>
      <c r="C434" s="10">
        <v>33</v>
      </c>
      <c r="D434" s="11"/>
      <c r="E434" s="12"/>
      <c r="F434" s="13"/>
      <c r="G434" s="14"/>
      <c r="H434" s="15"/>
      <c r="I434" s="16"/>
    </row>
    <row r="435" spans="1:9" ht="14.25">
      <c r="A435" s="140">
        <v>9</v>
      </c>
      <c r="B435" s="139">
        <v>0</v>
      </c>
      <c r="C435" s="10">
        <v>34</v>
      </c>
      <c r="D435" s="11"/>
      <c r="E435" s="12"/>
      <c r="F435" s="13"/>
      <c r="G435" s="14"/>
      <c r="H435" s="15"/>
      <c r="I435" s="16"/>
    </row>
    <row r="436" spans="1:9" ht="14.25">
      <c r="A436" s="140">
        <v>9</v>
      </c>
      <c r="B436" s="139">
        <v>0</v>
      </c>
      <c r="C436" s="10">
        <v>35</v>
      </c>
      <c r="D436" s="11"/>
      <c r="E436" s="12"/>
      <c r="F436" s="13"/>
      <c r="G436" s="14"/>
      <c r="H436" s="15"/>
      <c r="I436" s="16"/>
    </row>
    <row r="437" spans="1:9" ht="14.25">
      <c r="A437" s="140">
        <v>9</v>
      </c>
      <c r="B437" s="139">
        <v>0</v>
      </c>
      <c r="C437" s="10">
        <v>36</v>
      </c>
      <c r="D437" s="11"/>
      <c r="E437" s="12"/>
      <c r="F437" s="13"/>
      <c r="G437" s="14"/>
      <c r="H437" s="15"/>
      <c r="I437" s="16"/>
    </row>
    <row r="438" spans="1:9" ht="14.25">
      <c r="A438" s="140">
        <v>9</v>
      </c>
      <c r="B438" s="139">
        <v>0</v>
      </c>
      <c r="C438" s="10">
        <v>37</v>
      </c>
      <c r="D438" s="11"/>
      <c r="E438" s="12"/>
      <c r="F438" s="13"/>
      <c r="G438" s="14"/>
      <c r="H438" s="15"/>
      <c r="I438" s="16"/>
    </row>
    <row r="439" spans="1:9" ht="14.25">
      <c r="A439" s="140">
        <v>9</v>
      </c>
      <c r="B439" s="139">
        <v>0</v>
      </c>
      <c r="C439" s="10">
        <v>38</v>
      </c>
      <c r="D439" s="11"/>
      <c r="E439" s="12"/>
      <c r="F439" s="13"/>
      <c r="G439" s="14"/>
      <c r="H439" s="15"/>
      <c r="I439" s="16"/>
    </row>
    <row r="440" spans="1:9" ht="14.25">
      <c r="A440" s="140">
        <v>9</v>
      </c>
      <c r="B440" s="139">
        <v>0</v>
      </c>
      <c r="C440" s="10">
        <v>39</v>
      </c>
      <c r="D440" s="11"/>
      <c r="E440" s="12"/>
      <c r="F440" s="13"/>
      <c r="G440" s="14"/>
      <c r="H440" s="15"/>
      <c r="I440" s="16"/>
    </row>
    <row r="441" spans="1:9" ht="14.25">
      <c r="A441" s="140">
        <v>9</v>
      </c>
      <c r="B441" s="139">
        <v>0</v>
      </c>
      <c r="C441" s="10">
        <v>40</v>
      </c>
      <c r="D441" s="11"/>
      <c r="E441" s="12"/>
      <c r="F441" s="13"/>
      <c r="G441" s="14"/>
      <c r="H441" s="15"/>
      <c r="I441" s="16"/>
    </row>
    <row r="442" spans="1:9" ht="14.25">
      <c r="A442" s="140">
        <v>9</v>
      </c>
      <c r="B442" s="139">
        <v>0</v>
      </c>
      <c r="C442" s="10">
        <v>41</v>
      </c>
      <c r="D442" s="11"/>
      <c r="E442" s="12"/>
      <c r="F442" s="13"/>
      <c r="G442" s="14"/>
      <c r="H442" s="15"/>
      <c r="I442" s="16"/>
    </row>
    <row r="443" spans="1:9" ht="14.25">
      <c r="A443" s="140">
        <v>9</v>
      </c>
      <c r="B443" s="139">
        <v>0</v>
      </c>
      <c r="C443" s="10">
        <v>42</v>
      </c>
      <c r="D443" s="11"/>
      <c r="E443" s="12"/>
      <c r="F443" s="13"/>
      <c r="G443" s="14"/>
      <c r="H443" s="15"/>
      <c r="I443" s="16"/>
    </row>
    <row r="444" spans="1:9" ht="14.25">
      <c r="A444" s="140">
        <v>9</v>
      </c>
      <c r="B444" s="139">
        <v>0</v>
      </c>
      <c r="C444" s="10">
        <v>43</v>
      </c>
      <c r="D444" s="11"/>
      <c r="E444" s="12"/>
      <c r="F444" s="13"/>
      <c r="G444" s="14"/>
      <c r="H444" s="15"/>
      <c r="I444" s="16"/>
    </row>
    <row r="445" spans="1:9" ht="14.25">
      <c r="A445" s="140">
        <v>9</v>
      </c>
      <c r="B445" s="139">
        <v>0</v>
      </c>
      <c r="C445" s="10">
        <v>44</v>
      </c>
      <c r="D445" s="11"/>
      <c r="E445" s="12"/>
      <c r="F445" s="13"/>
      <c r="G445" s="14"/>
      <c r="H445" s="15"/>
      <c r="I445" s="16"/>
    </row>
    <row r="446" spans="1:9" ht="14.25">
      <c r="A446" s="140">
        <v>9</v>
      </c>
      <c r="B446" s="139">
        <v>0</v>
      </c>
      <c r="C446" s="10">
        <v>45</v>
      </c>
      <c r="D446" s="11"/>
      <c r="E446" s="12"/>
      <c r="F446" s="13"/>
      <c r="G446" s="14"/>
      <c r="H446" s="15"/>
      <c r="I446" s="16"/>
    </row>
    <row r="447" spans="1:9" ht="14.25">
      <c r="A447" s="140">
        <v>9</v>
      </c>
      <c r="B447" s="139">
        <v>0</v>
      </c>
      <c r="C447" s="10">
        <v>46</v>
      </c>
      <c r="D447" s="11"/>
      <c r="E447" s="12"/>
      <c r="F447" s="13"/>
      <c r="G447" s="14"/>
      <c r="H447" s="15"/>
      <c r="I447" s="16"/>
    </row>
    <row r="448" spans="1:9" ht="14.25">
      <c r="A448" s="140">
        <v>9</v>
      </c>
      <c r="B448" s="139">
        <v>0</v>
      </c>
      <c r="C448" s="10">
        <v>47</v>
      </c>
      <c r="D448" s="11"/>
      <c r="E448" s="12"/>
      <c r="F448" s="13"/>
      <c r="G448" s="14"/>
      <c r="H448" s="15"/>
      <c r="I448" s="16"/>
    </row>
    <row r="449" spans="1:9" ht="14.25">
      <c r="A449" s="140">
        <v>9</v>
      </c>
      <c r="B449" s="139">
        <v>0</v>
      </c>
      <c r="C449" s="10">
        <v>48</v>
      </c>
      <c r="D449" s="11"/>
      <c r="E449" s="12"/>
      <c r="F449" s="13"/>
      <c r="G449" s="14"/>
      <c r="H449" s="15"/>
      <c r="I449" s="16"/>
    </row>
    <row r="450" spans="1:9" ht="14.25">
      <c r="A450" s="140">
        <v>9</v>
      </c>
      <c r="B450" s="139">
        <v>0</v>
      </c>
      <c r="C450" s="10">
        <v>49</v>
      </c>
      <c r="D450" s="11"/>
      <c r="E450" s="12"/>
      <c r="F450" s="13"/>
      <c r="G450" s="14"/>
      <c r="H450" s="15"/>
      <c r="I450" s="16"/>
    </row>
    <row r="451" spans="1:9" ht="14.25">
      <c r="A451" s="140">
        <v>9</v>
      </c>
      <c r="B451" s="139">
        <v>0</v>
      </c>
      <c r="C451" s="10">
        <v>50</v>
      </c>
      <c r="D451" s="11"/>
      <c r="E451" s="12"/>
      <c r="F451" s="13"/>
      <c r="G451" s="14"/>
      <c r="H451" s="15"/>
      <c r="I451" s="16"/>
    </row>
    <row r="452" spans="1:9" ht="14.25">
      <c r="A452" s="140">
        <v>10</v>
      </c>
      <c r="B452" s="139"/>
      <c r="C452" s="10">
        <v>1</v>
      </c>
      <c r="D452" s="11"/>
      <c r="E452" s="12"/>
      <c r="F452" s="13"/>
      <c r="G452" s="14"/>
      <c r="H452" s="15"/>
      <c r="I452" s="16"/>
    </row>
    <row r="453" spans="1:9" ht="14.25">
      <c r="A453" s="140">
        <v>10</v>
      </c>
      <c r="B453" s="139">
        <v>0</v>
      </c>
      <c r="C453" s="10">
        <v>2</v>
      </c>
      <c r="D453" s="11"/>
      <c r="E453" s="12"/>
      <c r="F453" s="13"/>
      <c r="G453" s="14"/>
      <c r="H453" s="15" t="e">
        <v>#REF!</v>
      </c>
      <c r="I453" s="16"/>
    </row>
    <row r="454" spans="1:9" ht="14.25">
      <c r="A454" s="140">
        <v>10</v>
      </c>
      <c r="B454" s="139">
        <v>0</v>
      </c>
      <c r="C454" s="10">
        <v>3</v>
      </c>
      <c r="D454" s="11"/>
      <c r="E454" s="12"/>
      <c r="F454" s="13"/>
      <c r="G454" s="14"/>
      <c r="H454" s="15" t="e">
        <v>#REF!</v>
      </c>
      <c r="I454" s="16"/>
    </row>
    <row r="455" spans="1:9" ht="14.25">
      <c r="A455" s="140">
        <v>10</v>
      </c>
      <c r="B455" s="139">
        <v>0</v>
      </c>
      <c r="C455" s="10">
        <v>4</v>
      </c>
      <c r="D455" s="11"/>
      <c r="E455" s="12"/>
      <c r="F455" s="13"/>
      <c r="G455" s="14"/>
      <c r="H455" s="15" t="e">
        <v>#REF!</v>
      </c>
      <c r="I455" s="16"/>
    </row>
    <row r="456" spans="1:9" ht="14.25">
      <c r="A456" s="140">
        <v>10</v>
      </c>
      <c r="B456" s="139">
        <v>0</v>
      </c>
      <c r="C456" s="10">
        <v>5</v>
      </c>
      <c r="D456" s="11"/>
      <c r="E456" s="12"/>
      <c r="F456" s="13"/>
      <c r="G456" s="14"/>
      <c r="H456" s="15" t="e">
        <v>#REF!</v>
      </c>
      <c r="I456" s="16"/>
    </row>
    <row r="457" spans="1:9" ht="14.25">
      <c r="A457" s="140">
        <v>10</v>
      </c>
      <c r="B457" s="139">
        <v>0</v>
      </c>
      <c r="C457" s="10">
        <v>6</v>
      </c>
      <c r="D457" s="11"/>
      <c r="E457" s="12"/>
      <c r="F457" s="13"/>
      <c r="G457" s="14"/>
      <c r="H457" s="15" t="e">
        <v>#REF!</v>
      </c>
      <c r="I457" s="16"/>
    </row>
    <row r="458" spans="1:9" ht="14.25">
      <c r="A458" s="140">
        <v>10</v>
      </c>
      <c r="B458" s="139">
        <v>0</v>
      </c>
      <c r="C458" s="10">
        <v>7</v>
      </c>
      <c r="D458" s="11"/>
      <c r="E458" s="12"/>
      <c r="F458" s="13"/>
      <c r="G458" s="14"/>
      <c r="H458" s="15" t="e">
        <v>#REF!</v>
      </c>
      <c r="I458" s="16"/>
    </row>
    <row r="459" spans="1:9" ht="14.25">
      <c r="A459" s="140">
        <v>10</v>
      </c>
      <c r="B459" s="139">
        <v>0</v>
      </c>
      <c r="C459" s="10">
        <v>8</v>
      </c>
      <c r="D459" s="11"/>
      <c r="E459" s="12"/>
      <c r="F459" s="13"/>
      <c r="G459" s="14"/>
      <c r="H459" s="15" t="e">
        <v>#REF!</v>
      </c>
      <c r="I459" s="16"/>
    </row>
    <row r="460" spans="1:9" ht="14.25">
      <c r="A460" s="140">
        <v>10</v>
      </c>
      <c r="B460" s="139">
        <v>0</v>
      </c>
      <c r="C460" s="10">
        <v>9</v>
      </c>
      <c r="D460" s="11"/>
      <c r="E460" s="12"/>
      <c r="F460" s="13"/>
      <c r="G460" s="14"/>
      <c r="H460" s="15" t="e">
        <v>#REF!</v>
      </c>
      <c r="I460" s="16"/>
    </row>
    <row r="461" spans="1:9" ht="14.25">
      <c r="A461" s="140">
        <v>10</v>
      </c>
      <c r="B461" s="139">
        <v>0</v>
      </c>
      <c r="C461" s="10">
        <v>10</v>
      </c>
      <c r="D461" s="11"/>
      <c r="E461" s="12"/>
      <c r="F461" s="13"/>
      <c r="G461" s="14"/>
      <c r="H461" s="15" t="e">
        <v>#REF!</v>
      </c>
      <c r="I461" s="16"/>
    </row>
    <row r="462" spans="1:9" ht="14.25">
      <c r="A462" s="140">
        <v>10</v>
      </c>
      <c r="B462" s="139">
        <v>0</v>
      </c>
      <c r="C462" s="10">
        <v>11</v>
      </c>
      <c r="D462" s="11"/>
      <c r="E462" s="12"/>
      <c r="F462" s="13"/>
      <c r="G462" s="14"/>
      <c r="H462" s="15" t="e">
        <v>#REF!</v>
      </c>
      <c r="I462" s="16"/>
    </row>
    <row r="463" spans="1:9" ht="14.25">
      <c r="A463" s="140">
        <v>10</v>
      </c>
      <c r="B463" s="139">
        <v>0</v>
      </c>
      <c r="C463" s="10">
        <v>12</v>
      </c>
      <c r="D463" s="11"/>
      <c r="E463" s="12"/>
      <c r="F463" s="13"/>
      <c r="G463" s="14"/>
      <c r="H463" s="15" t="e">
        <v>#REF!</v>
      </c>
      <c r="I463" s="16"/>
    </row>
    <row r="464" spans="1:9" ht="14.25">
      <c r="A464" s="140">
        <v>10</v>
      </c>
      <c r="B464" s="139">
        <v>0</v>
      </c>
      <c r="C464" s="10">
        <v>13</v>
      </c>
      <c r="D464" s="11"/>
      <c r="E464" s="12"/>
      <c r="F464" s="13"/>
      <c r="G464" s="14"/>
      <c r="H464" s="15" t="e">
        <v>#REF!</v>
      </c>
      <c r="I464" s="16"/>
    </row>
    <row r="465" spans="1:9" ht="14.25">
      <c r="A465" s="140">
        <v>10</v>
      </c>
      <c r="B465" s="139">
        <v>0</v>
      </c>
      <c r="C465" s="10">
        <v>14</v>
      </c>
      <c r="D465" s="11"/>
      <c r="E465" s="12"/>
      <c r="F465" s="13"/>
      <c r="G465" s="14"/>
      <c r="H465" s="15" t="e">
        <v>#REF!</v>
      </c>
      <c r="I465" s="16"/>
    </row>
    <row r="466" spans="1:9" ht="14.25">
      <c r="A466" s="140">
        <v>10</v>
      </c>
      <c r="B466" s="139">
        <v>0</v>
      </c>
      <c r="C466" s="10">
        <v>15</v>
      </c>
      <c r="D466" s="11"/>
      <c r="E466" s="12"/>
      <c r="F466" s="13"/>
      <c r="G466" s="14"/>
      <c r="H466" s="15" t="e">
        <v>#REF!</v>
      </c>
      <c r="I466" s="16"/>
    </row>
    <row r="467" spans="1:9" ht="14.25">
      <c r="A467" s="140">
        <v>10</v>
      </c>
      <c r="B467" s="139">
        <v>0</v>
      </c>
      <c r="C467" s="10">
        <v>16</v>
      </c>
      <c r="D467" s="11"/>
      <c r="E467" s="12"/>
      <c r="F467" s="13"/>
      <c r="G467" s="14"/>
      <c r="H467" s="15" t="e">
        <v>#REF!</v>
      </c>
      <c r="I467" s="16"/>
    </row>
    <row r="468" spans="1:9" ht="14.25">
      <c r="A468" s="140">
        <v>10</v>
      </c>
      <c r="B468" s="139">
        <v>0</v>
      </c>
      <c r="C468" s="10">
        <v>17</v>
      </c>
      <c r="D468" s="11"/>
      <c r="E468" s="12"/>
      <c r="F468" s="13"/>
      <c r="G468" s="14"/>
      <c r="H468" s="15" t="e">
        <v>#REF!</v>
      </c>
      <c r="I468" s="16"/>
    </row>
    <row r="469" spans="1:9" ht="14.25">
      <c r="A469" s="140">
        <v>10</v>
      </c>
      <c r="B469" s="139">
        <v>0</v>
      </c>
      <c r="C469" s="10">
        <v>18</v>
      </c>
      <c r="D469" s="11"/>
      <c r="E469" s="12"/>
      <c r="F469" s="13"/>
      <c r="G469" s="14"/>
      <c r="H469" s="15" t="e">
        <v>#REF!</v>
      </c>
      <c r="I469" s="16"/>
    </row>
    <row r="470" spans="1:9" ht="14.25">
      <c r="A470" s="140">
        <v>10</v>
      </c>
      <c r="B470" s="139">
        <v>0</v>
      </c>
      <c r="C470" s="10">
        <v>19</v>
      </c>
      <c r="D470" s="11"/>
      <c r="E470" s="12"/>
      <c r="F470" s="13"/>
      <c r="G470" s="14"/>
      <c r="H470" s="15" t="e">
        <v>#REF!</v>
      </c>
      <c r="I470" s="16"/>
    </row>
    <row r="471" spans="1:9" ht="14.25">
      <c r="A471" s="140">
        <v>10</v>
      </c>
      <c r="B471" s="139">
        <v>0</v>
      </c>
      <c r="C471" s="10">
        <v>20</v>
      </c>
      <c r="D471" s="11"/>
      <c r="E471" s="12"/>
      <c r="F471" s="13"/>
      <c r="G471" s="14"/>
      <c r="H471" s="15" t="e">
        <v>#REF!</v>
      </c>
      <c r="I471" s="16"/>
    </row>
    <row r="472" spans="1:9" ht="14.25">
      <c r="A472" s="140">
        <v>10</v>
      </c>
      <c r="B472" s="139">
        <v>0</v>
      </c>
      <c r="C472" s="10">
        <v>21</v>
      </c>
      <c r="D472" s="11"/>
      <c r="E472" s="12"/>
      <c r="F472" s="13"/>
      <c r="G472" s="14"/>
      <c r="H472" s="15" t="e">
        <v>#REF!</v>
      </c>
      <c r="I472" s="16"/>
    </row>
    <row r="473" spans="1:9" ht="14.25">
      <c r="A473" s="140">
        <v>10</v>
      </c>
      <c r="B473" s="139">
        <v>0</v>
      </c>
      <c r="C473" s="10">
        <v>22</v>
      </c>
      <c r="D473" s="11"/>
      <c r="E473" s="12"/>
      <c r="F473" s="13"/>
      <c r="G473" s="14"/>
      <c r="H473" s="15" t="e">
        <v>#REF!</v>
      </c>
      <c r="I473" s="16"/>
    </row>
    <row r="474" spans="1:9" ht="14.25">
      <c r="A474" s="140">
        <v>10</v>
      </c>
      <c r="B474" s="139">
        <v>0</v>
      </c>
      <c r="C474" s="10">
        <v>23</v>
      </c>
      <c r="D474" s="11"/>
      <c r="E474" s="12"/>
      <c r="F474" s="13"/>
      <c r="G474" s="14"/>
      <c r="H474" s="15" t="e">
        <v>#REF!</v>
      </c>
      <c r="I474" s="16"/>
    </row>
    <row r="475" spans="1:9" ht="14.25">
      <c r="A475" s="140">
        <v>10</v>
      </c>
      <c r="B475" s="139">
        <v>0</v>
      </c>
      <c r="C475" s="10">
        <v>24</v>
      </c>
      <c r="D475" s="11"/>
      <c r="E475" s="12"/>
      <c r="F475" s="13"/>
      <c r="G475" s="14"/>
      <c r="H475" s="15" t="e">
        <v>#REF!</v>
      </c>
      <c r="I475" s="16"/>
    </row>
    <row r="476" spans="1:9" ht="14.25">
      <c r="A476" s="140">
        <v>10</v>
      </c>
      <c r="B476" s="139">
        <v>0</v>
      </c>
      <c r="C476" s="10">
        <v>25</v>
      </c>
      <c r="D476" s="11"/>
      <c r="E476" s="12"/>
      <c r="F476" s="13"/>
      <c r="G476" s="14"/>
      <c r="H476" s="15" t="e">
        <v>#REF!</v>
      </c>
      <c r="I476" s="16"/>
    </row>
    <row r="477" spans="1:9" ht="14.25">
      <c r="A477" s="140">
        <v>10</v>
      </c>
      <c r="B477" s="139">
        <v>0</v>
      </c>
      <c r="C477" s="10">
        <v>26</v>
      </c>
      <c r="D477" s="11"/>
      <c r="E477" s="12"/>
      <c r="F477" s="13"/>
      <c r="G477" s="14"/>
      <c r="H477" s="15" t="e">
        <v>#REF!</v>
      </c>
      <c r="I477" s="16"/>
    </row>
    <row r="478" spans="1:9" ht="14.25">
      <c r="A478" s="140">
        <v>10</v>
      </c>
      <c r="B478" s="139">
        <v>0</v>
      </c>
      <c r="C478" s="10">
        <v>27</v>
      </c>
      <c r="D478" s="11"/>
      <c r="E478" s="12"/>
      <c r="F478" s="13"/>
      <c r="G478" s="14"/>
      <c r="H478" s="15" t="e">
        <v>#REF!</v>
      </c>
      <c r="I478" s="16"/>
    </row>
    <row r="479" spans="1:9" ht="14.25">
      <c r="A479" s="140">
        <v>10</v>
      </c>
      <c r="B479" s="139">
        <v>0</v>
      </c>
      <c r="C479" s="10">
        <v>28</v>
      </c>
      <c r="D479" s="11"/>
      <c r="E479" s="12"/>
      <c r="F479" s="13"/>
      <c r="G479" s="14"/>
      <c r="H479" s="15" t="e">
        <v>#REF!</v>
      </c>
      <c r="I479" s="16"/>
    </row>
    <row r="480" spans="1:9" ht="14.25">
      <c r="A480" s="140">
        <v>10</v>
      </c>
      <c r="B480" s="139">
        <v>0</v>
      </c>
      <c r="C480" s="10">
        <v>29</v>
      </c>
      <c r="D480" s="11"/>
      <c r="E480" s="12"/>
      <c r="F480" s="13"/>
      <c r="G480" s="14"/>
      <c r="H480" s="15" t="e">
        <v>#REF!</v>
      </c>
      <c r="I480" s="16"/>
    </row>
    <row r="481" spans="1:9" ht="14.25">
      <c r="A481" s="140">
        <v>10</v>
      </c>
      <c r="B481" s="139">
        <v>0</v>
      </c>
      <c r="C481" s="10">
        <v>30</v>
      </c>
      <c r="D481" s="11"/>
      <c r="E481" s="12"/>
      <c r="F481" s="13"/>
      <c r="G481" s="14"/>
      <c r="H481" s="15" t="e">
        <v>#REF!</v>
      </c>
      <c r="I481" s="16"/>
    </row>
    <row r="482" spans="1:9" ht="14.25">
      <c r="A482" s="140">
        <v>10</v>
      </c>
      <c r="B482" s="139">
        <v>0</v>
      </c>
      <c r="C482" s="10">
        <v>31</v>
      </c>
      <c r="D482" s="11"/>
      <c r="E482" s="12"/>
      <c r="F482" s="13"/>
      <c r="G482" s="14"/>
      <c r="H482" s="15" t="e">
        <v>#REF!</v>
      </c>
      <c r="I482" s="16"/>
    </row>
    <row r="483" spans="1:9" ht="14.25">
      <c r="A483" s="140">
        <v>10</v>
      </c>
      <c r="B483" s="139">
        <v>0</v>
      </c>
      <c r="C483" s="10">
        <v>32</v>
      </c>
      <c r="D483" s="11"/>
      <c r="E483" s="12"/>
      <c r="F483" s="13"/>
      <c r="G483" s="14"/>
      <c r="H483" s="15" t="e">
        <v>#REF!</v>
      </c>
      <c r="I483" s="16"/>
    </row>
    <row r="484" spans="1:9" ht="14.25">
      <c r="A484" s="140">
        <v>10</v>
      </c>
      <c r="B484" s="139">
        <v>0</v>
      </c>
      <c r="C484" s="10">
        <v>33</v>
      </c>
      <c r="D484" s="11"/>
      <c r="E484" s="12"/>
      <c r="F484" s="13"/>
      <c r="G484" s="14"/>
      <c r="H484" s="15" t="e">
        <v>#REF!</v>
      </c>
      <c r="I484" s="16"/>
    </row>
    <row r="485" spans="1:9" ht="14.25">
      <c r="A485" s="140">
        <v>10</v>
      </c>
      <c r="B485" s="139">
        <v>0</v>
      </c>
      <c r="C485" s="10">
        <v>34</v>
      </c>
      <c r="D485" s="11"/>
      <c r="E485" s="12"/>
      <c r="F485" s="13"/>
      <c r="G485" s="14"/>
      <c r="H485" s="15" t="e">
        <v>#REF!</v>
      </c>
      <c r="I485" s="16"/>
    </row>
    <row r="486" spans="1:9" ht="14.25">
      <c r="A486" s="140">
        <v>10</v>
      </c>
      <c r="B486" s="139">
        <v>0</v>
      </c>
      <c r="C486" s="10">
        <v>35</v>
      </c>
      <c r="D486" s="11"/>
      <c r="E486" s="12"/>
      <c r="F486" s="13"/>
      <c r="G486" s="14"/>
      <c r="H486" s="15" t="e">
        <v>#REF!</v>
      </c>
      <c r="I486" s="16"/>
    </row>
    <row r="487" spans="1:9" ht="14.25">
      <c r="A487" s="140">
        <v>10</v>
      </c>
      <c r="B487" s="139">
        <v>0</v>
      </c>
      <c r="C487" s="10">
        <v>36</v>
      </c>
      <c r="D487" s="11"/>
      <c r="E487" s="12"/>
      <c r="F487" s="13"/>
      <c r="G487" s="14"/>
      <c r="H487" s="15" t="e">
        <v>#REF!</v>
      </c>
      <c r="I487" s="16"/>
    </row>
    <row r="488" spans="1:9" ht="14.25">
      <c r="A488" s="140">
        <v>10</v>
      </c>
      <c r="B488" s="139">
        <v>0</v>
      </c>
      <c r="C488" s="10">
        <v>37</v>
      </c>
      <c r="D488" s="11"/>
      <c r="E488" s="12"/>
      <c r="F488" s="13"/>
      <c r="G488" s="14"/>
      <c r="H488" s="15" t="e">
        <v>#REF!</v>
      </c>
      <c r="I488" s="16"/>
    </row>
    <row r="489" spans="1:9" ht="14.25">
      <c r="A489" s="140">
        <v>10</v>
      </c>
      <c r="B489" s="139">
        <v>0</v>
      </c>
      <c r="C489" s="10">
        <v>38</v>
      </c>
      <c r="D489" s="11"/>
      <c r="E489" s="12"/>
      <c r="F489" s="13"/>
      <c r="G489" s="14"/>
      <c r="H489" s="15" t="e">
        <v>#REF!</v>
      </c>
      <c r="I489" s="16"/>
    </row>
    <row r="490" spans="1:9" ht="14.25">
      <c r="A490" s="140">
        <v>10</v>
      </c>
      <c r="B490" s="139">
        <v>0</v>
      </c>
      <c r="C490" s="10">
        <v>39</v>
      </c>
      <c r="D490" s="11"/>
      <c r="E490" s="12"/>
      <c r="F490" s="13"/>
      <c r="G490" s="14"/>
      <c r="H490" s="15" t="e">
        <v>#REF!</v>
      </c>
      <c r="I490" s="16"/>
    </row>
    <row r="491" spans="1:9" ht="14.25">
      <c r="A491" s="140">
        <v>10</v>
      </c>
      <c r="B491" s="139">
        <v>0</v>
      </c>
      <c r="C491" s="10">
        <v>40</v>
      </c>
      <c r="D491" s="11"/>
      <c r="E491" s="12"/>
      <c r="F491" s="13"/>
      <c r="G491" s="14"/>
      <c r="H491" s="15" t="e">
        <v>#REF!</v>
      </c>
      <c r="I491" s="16"/>
    </row>
    <row r="492" spans="1:9" ht="14.25">
      <c r="A492" s="140">
        <v>10</v>
      </c>
      <c r="B492" s="139">
        <v>0</v>
      </c>
      <c r="C492" s="10">
        <v>41</v>
      </c>
      <c r="D492" s="11"/>
      <c r="E492" s="12"/>
      <c r="F492" s="13"/>
      <c r="G492" s="14"/>
      <c r="H492" s="15" t="e">
        <v>#REF!</v>
      </c>
      <c r="I492" s="16"/>
    </row>
    <row r="493" spans="1:9" ht="14.25">
      <c r="A493" s="140">
        <v>10</v>
      </c>
      <c r="B493" s="139">
        <v>0</v>
      </c>
      <c r="C493" s="10">
        <v>42</v>
      </c>
      <c r="D493" s="11"/>
      <c r="E493" s="12"/>
      <c r="F493" s="13"/>
      <c r="G493" s="14"/>
      <c r="H493" s="15" t="e">
        <v>#REF!</v>
      </c>
      <c r="I493" s="16"/>
    </row>
    <row r="494" spans="1:9" ht="14.25">
      <c r="A494" s="140">
        <v>10</v>
      </c>
      <c r="B494" s="139">
        <v>0</v>
      </c>
      <c r="C494" s="10">
        <v>43</v>
      </c>
      <c r="D494" s="11"/>
      <c r="E494" s="12"/>
      <c r="F494" s="13"/>
      <c r="G494" s="14"/>
      <c r="H494" s="15" t="e">
        <v>#REF!</v>
      </c>
      <c r="I494" s="16"/>
    </row>
    <row r="495" spans="1:9" ht="14.25">
      <c r="A495" s="140">
        <v>10</v>
      </c>
      <c r="B495" s="139">
        <v>0</v>
      </c>
      <c r="C495" s="10">
        <v>44</v>
      </c>
      <c r="D495" s="11"/>
      <c r="E495" s="12"/>
      <c r="F495" s="13"/>
      <c r="G495" s="14"/>
      <c r="H495" s="15" t="e">
        <v>#REF!</v>
      </c>
      <c r="I495" s="16"/>
    </row>
    <row r="496" spans="1:9" ht="14.25">
      <c r="A496" s="140">
        <v>10</v>
      </c>
      <c r="B496" s="139">
        <v>0</v>
      </c>
      <c r="C496" s="10">
        <v>45</v>
      </c>
      <c r="D496" s="11"/>
      <c r="E496" s="12"/>
      <c r="F496" s="13"/>
      <c r="G496" s="14"/>
      <c r="H496" s="15" t="e">
        <v>#REF!</v>
      </c>
      <c r="I496" s="16"/>
    </row>
    <row r="497" spans="1:9" ht="14.25">
      <c r="A497" s="140">
        <v>10</v>
      </c>
      <c r="B497" s="139">
        <v>0</v>
      </c>
      <c r="C497" s="10">
        <v>46</v>
      </c>
      <c r="D497" s="11"/>
      <c r="E497" s="12"/>
      <c r="F497" s="13"/>
      <c r="G497" s="14"/>
      <c r="H497" s="15" t="e">
        <v>#REF!</v>
      </c>
      <c r="I497" s="16"/>
    </row>
    <row r="498" spans="1:9" ht="14.25">
      <c r="A498" s="140">
        <v>10</v>
      </c>
      <c r="B498" s="139">
        <v>0</v>
      </c>
      <c r="C498" s="10">
        <v>47</v>
      </c>
      <c r="D498" s="11"/>
      <c r="E498" s="12"/>
      <c r="F498" s="13"/>
      <c r="G498" s="14"/>
      <c r="H498" s="15" t="e">
        <v>#REF!</v>
      </c>
      <c r="I498" s="16"/>
    </row>
    <row r="499" spans="1:9" ht="14.25">
      <c r="A499" s="140">
        <v>10</v>
      </c>
      <c r="B499" s="139">
        <v>0</v>
      </c>
      <c r="C499" s="10">
        <v>48</v>
      </c>
      <c r="D499" s="11"/>
      <c r="E499" s="12"/>
      <c r="F499" s="13"/>
      <c r="G499" s="14"/>
      <c r="H499" s="15" t="e">
        <v>#REF!</v>
      </c>
      <c r="I499" s="16"/>
    </row>
    <row r="500" spans="1:9" ht="14.25">
      <c r="A500" s="140">
        <v>10</v>
      </c>
      <c r="B500" s="139">
        <v>0</v>
      </c>
      <c r="C500" s="10">
        <v>49</v>
      </c>
      <c r="D500" s="11"/>
      <c r="E500" s="12"/>
      <c r="F500" s="13"/>
      <c r="G500" s="14"/>
      <c r="H500" s="15" t="e">
        <v>#REF!</v>
      </c>
      <c r="I500" s="16"/>
    </row>
    <row r="501" spans="1:9" ht="14.25">
      <c r="A501" s="140">
        <v>10</v>
      </c>
      <c r="B501" s="139">
        <v>0</v>
      </c>
      <c r="C501" s="10">
        <v>50</v>
      </c>
      <c r="D501" s="11"/>
      <c r="E501" s="12"/>
      <c r="F501" s="13"/>
      <c r="G501" s="14"/>
      <c r="H501" s="15" t="e">
        <v>#REF!</v>
      </c>
      <c r="I501" s="16"/>
    </row>
    <row r="506" spans="1:9">
      <c r="E506" s="2" t="s">
        <v>123</v>
      </c>
      <c r="F506" s="2" t="s">
        <v>13</v>
      </c>
    </row>
    <row r="507" spans="1:9">
      <c r="E507" s="2" t="s">
        <v>124</v>
      </c>
      <c r="F507" s="2" t="s">
        <v>5</v>
      </c>
    </row>
    <row r="508" spans="1:9">
      <c r="F508" s="2" t="s">
        <v>6</v>
      </c>
    </row>
    <row r="509" spans="1:9">
      <c r="F509" s="2" t="s">
        <v>7</v>
      </c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I61" workbookViewId="0">
      <selection activeCell="AW77" sqref="AW77"/>
    </sheetView>
  </sheetViews>
  <sheetFormatPr defaultRowHeight="12.75"/>
  <cols>
    <col min="1" max="1" width="4.125" style="2" customWidth="1"/>
    <col min="2" max="6" width="7" style="2" customWidth="1"/>
    <col min="7" max="11" width="7" style="1" customWidth="1"/>
    <col min="12" max="12" width="6.625" style="2" customWidth="1"/>
    <col min="13" max="13" width="4.625" style="2" customWidth="1"/>
    <col min="14" max="14" width="6.125" style="2" customWidth="1"/>
    <col min="15" max="15" width="4.375" style="2" customWidth="1"/>
    <col min="16" max="16" width="5.5" style="2" customWidth="1"/>
    <col min="17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9"/>
      <c r="C1" s="289"/>
      <c r="D1" s="1"/>
      <c r="E1" s="289"/>
      <c r="F1" s="289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92" t="s">
        <v>23</v>
      </c>
      <c r="B4" s="293"/>
      <c r="C4" s="293"/>
      <c r="D4" s="293"/>
      <c r="E4" s="293"/>
      <c r="F4" s="293"/>
      <c r="G4" s="293"/>
      <c r="H4" s="293"/>
      <c r="I4" s="293"/>
      <c r="J4" s="293"/>
      <c r="K4" s="294"/>
      <c r="L4" s="290"/>
      <c r="M4" s="291"/>
      <c r="O4" s="234" t="s">
        <v>95</v>
      </c>
      <c r="P4" s="2">
        <f>DIAG!W1</f>
        <v>1</v>
      </c>
    </row>
    <row r="5" spans="1:28" ht="14.25">
      <c r="A5" s="20" t="s">
        <v>24</v>
      </c>
      <c r="B5" s="21" t="str">
        <f>CONCATENATE(" 1-",'Entrada de Dados'!B2)</f>
        <v xml:space="preserve"> 1-EU</v>
      </c>
      <c r="C5" s="21" t="str">
        <f>CONCATENATE(" 2-",'Entrada de Dados'!B56)</f>
        <v xml:space="preserve"> 2-0</v>
      </c>
      <c r="D5" s="21" t="str">
        <f>CONCATENATE(" 3-",'Entrada de Dados'!B110)</f>
        <v xml:space="preserve"> 3-0</v>
      </c>
      <c r="E5" s="21" t="str">
        <f>CONCATENATE(" 4-",'Entrada de Dados'!B164)</f>
        <v xml:space="preserve"> 4-0</v>
      </c>
      <c r="F5" s="21" t="str">
        <f>CONCATENATE(" 5-",'Entrada de Dados'!B218)</f>
        <v xml:space="preserve"> 5-0</v>
      </c>
      <c r="G5" s="21" t="str">
        <f>CONCATENATE(" 6-",'Entrada de Dados'!B272)</f>
        <v xml:space="preserve"> 6-0</v>
      </c>
      <c r="H5" s="21" t="str">
        <f>CONCATENATE(" 7-",'Entrada de Dados'!B326)</f>
        <v xml:space="preserve"> 7-0</v>
      </c>
      <c r="I5" s="21" t="str">
        <f>CONCATENATE(" 8-",'Entrada de Dados'!B380)</f>
        <v xml:space="preserve"> 8-0</v>
      </c>
      <c r="J5" s="21" t="str">
        <f>CONCATENATE(" 9-",'Entrada de Dados'!B434)</f>
        <v xml:space="preserve"> 9-0</v>
      </c>
      <c r="K5" s="21" t="str">
        <f>CONCATENATE("10-",'Entrada de Dados'!B488)</f>
        <v>10-0</v>
      </c>
      <c r="L5" s="21" t="s">
        <v>1</v>
      </c>
      <c r="O5" s="234" t="s">
        <v>93</v>
      </c>
      <c r="P5" s="269">
        <f ca="1">IF(P4=0,0,MAX(OFFSET(Q4,1,1,1,P4)))</f>
        <v>0</v>
      </c>
      <c r="R5" s="269">
        <f t="shared" ref="R5:AA5" si="0">B9</f>
        <v>0</v>
      </c>
      <c r="S5" s="269">
        <f t="shared" si="0"/>
        <v>0</v>
      </c>
      <c r="T5" s="269">
        <f t="shared" si="0"/>
        <v>0</v>
      </c>
      <c r="U5" s="269">
        <f t="shared" si="0"/>
        <v>0</v>
      </c>
      <c r="V5" s="269">
        <f t="shared" si="0"/>
        <v>0</v>
      </c>
      <c r="W5" s="269">
        <f t="shared" si="0"/>
        <v>0</v>
      </c>
      <c r="X5" s="269">
        <f t="shared" si="0"/>
        <v>0</v>
      </c>
      <c r="Y5" s="269">
        <f t="shared" si="0"/>
        <v>0</v>
      </c>
      <c r="Z5" s="269">
        <f t="shared" si="0"/>
        <v>0</v>
      </c>
      <c r="AA5" s="269">
        <f t="shared" si="0"/>
        <v>0</v>
      </c>
    </row>
    <row r="6" spans="1:28">
      <c r="A6" s="22" t="s">
        <v>5</v>
      </c>
      <c r="B6" s="264">
        <f>'Entrada de Dados'!I52</f>
        <v>0</v>
      </c>
      <c r="C6" s="264">
        <f>'Entrada de Dados'!I106</f>
        <v>0</v>
      </c>
      <c r="D6" s="264">
        <f>'Entrada de Dados'!I160</f>
        <v>0</v>
      </c>
      <c r="E6" s="264">
        <f>'Entrada de Dados'!I214</f>
        <v>0</v>
      </c>
      <c r="F6" s="264">
        <f>'Entrada de Dados'!I268</f>
        <v>0</v>
      </c>
      <c r="G6" s="264">
        <f>'Entrada de Dados'!I322</f>
        <v>0</v>
      </c>
      <c r="H6" s="264">
        <f>'Entrada de Dados'!I376</f>
        <v>0</v>
      </c>
      <c r="I6" s="264">
        <f>'Entrada de Dados'!I430</f>
        <v>0</v>
      </c>
      <c r="J6" s="264">
        <f>'Entrada de Dados'!I484</f>
        <v>0</v>
      </c>
      <c r="K6" s="264">
        <f>'Entrada de Dados'!I538</f>
        <v>0</v>
      </c>
      <c r="L6" s="264">
        <f>SUMPRODUCT(B6:K6,DIAG!$W$21:$AF$21,DIAG!$W$31:$AF$31)</f>
        <v>0</v>
      </c>
      <c r="M6" s="23"/>
      <c r="N6" s="176"/>
      <c r="O6" s="234" t="s">
        <v>94</v>
      </c>
      <c r="P6" s="269">
        <f ca="1">IF(P4=0,0,MIN(OFFSET(Q4,1,1,1,P4)))</f>
        <v>0</v>
      </c>
      <c r="R6" s="235">
        <f>IF(R5=0,0,LOG(R5/$P$6,10))</f>
        <v>0</v>
      </c>
      <c r="S6" s="235">
        <f t="shared" ref="S6:AA6" si="1">IF(S5=0,0,LOG(S5/$P$6,10))</f>
        <v>0</v>
      </c>
      <c r="T6" s="235">
        <f t="shared" si="1"/>
        <v>0</v>
      </c>
      <c r="U6" s="235">
        <f t="shared" si="1"/>
        <v>0</v>
      </c>
      <c r="V6" s="235">
        <f t="shared" si="1"/>
        <v>0</v>
      </c>
      <c r="W6" s="235">
        <f t="shared" si="1"/>
        <v>0</v>
      </c>
      <c r="X6" s="235">
        <f t="shared" si="1"/>
        <v>0</v>
      </c>
      <c r="Y6" s="235">
        <f t="shared" si="1"/>
        <v>0</v>
      </c>
      <c r="Z6" s="235">
        <f t="shared" si="1"/>
        <v>0</v>
      </c>
      <c r="AA6" s="235">
        <f t="shared" si="1"/>
        <v>0</v>
      </c>
    </row>
    <row r="7" spans="1:28">
      <c r="A7" s="22" t="s">
        <v>6</v>
      </c>
      <c r="B7" s="264">
        <f>'Entrada de Dados'!I53</f>
        <v>0</v>
      </c>
      <c r="C7" s="264">
        <f>'Entrada de Dados'!I107</f>
        <v>0</v>
      </c>
      <c r="D7" s="264">
        <f>'Entrada de Dados'!I161</f>
        <v>0</v>
      </c>
      <c r="E7" s="264">
        <f>'Entrada de Dados'!I215</f>
        <v>0</v>
      </c>
      <c r="F7" s="264">
        <f>'Entrada de Dados'!I269</f>
        <v>0</v>
      </c>
      <c r="G7" s="264">
        <f>'Entrada de Dados'!I323</f>
        <v>0</v>
      </c>
      <c r="H7" s="264">
        <f>'Entrada de Dados'!I377</f>
        <v>0</v>
      </c>
      <c r="I7" s="264">
        <f>'Entrada de Dados'!I431</f>
        <v>0</v>
      </c>
      <c r="J7" s="264">
        <f>'Entrada de Dados'!I485</f>
        <v>0</v>
      </c>
      <c r="K7" s="264">
        <f>'Entrada de Dados'!I539</f>
        <v>0</v>
      </c>
      <c r="L7" s="264">
        <f>SUMPRODUCT(B7:K7,DIAG!$W$21:$AF$21,DIAG!$W$31:$AF$31)</f>
        <v>0</v>
      </c>
      <c r="M7" s="24"/>
      <c r="N7" s="176"/>
      <c r="P7" s="233"/>
    </row>
    <row r="8" spans="1:28">
      <c r="A8" s="25" t="s">
        <v>7</v>
      </c>
      <c r="B8" s="265">
        <f>'Entrada de Dados'!I54</f>
        <v>0</v>
      </c>
      <c r="C8" s="265">
        <f>'Entrada de Dados'!I108</f>
        <v>0</v>
      </c>
      <c r="D8" s="265">
        <f>'Entrada de Dados'!I162</f>
        <v>0</v>
      </c>
      <c r="E8" s="265">
        <f>'Entrada de Dados'!I216</f>
        <v>0</v>
      </c>
      <c r="F8" s="265">
        <f>'Entrada de Dados'!I270</f>
        <v>0</v>
      </c>
      <c r="G8" s="265">
        <f>'Entrada de Dados'!I324</f>
        <v>0</v>
      </c>
      <c r="H8" s="264">
        <f>'Entrada de Dados'!I378</f>
        <v>0</v>
      </c>
      <c r="I8" s="264">
        <f>'Entrada de Dados'!I432</f>
        <v>0</v>
      </c>
      <c r="J8" s="264">
        <f>'Entrada de Dados'!I486</f>
        <v>0</v>
      </c>
      <c r="K8" s="264">
        <f>'Entrada de Dados'!I540</f>
        <v>0</v>
      </c>
      <c r="L8" s="264">
        <f>SUMPRODUCT(B8:K8,DIAG!$W$21:$AF$21,DIAG!$W$31:$AF$31)</f>
        <v>0</v>
      </c>
      <c r="M8" s="24"/>
      <c r="N8" s="176"/>
      <c r="O8" s="2" t="s">
        <v>96</v>
      </c>
      <c r="P8" s="269">
        <f ca="1">IF(OR(P4=0,P5=P6),1,LOG(P5/P6,10))</f>
        <v>1</v>
      </c>
      <c r="R8" s="235">
        <f ca="1">R6/$P$8</f>
        <v>0</v>
      </c>
      <c r="S8" s="235">
        <f t="shared" ref="S8:AA8" ca="1" si="2">S6/$P$8</f>
        <v>0</v>
      </c>
      <c r="T8" s="235">
        <f t="shared" ca="1" si="2"/>
        <v>0</v>
      </c>
      <c r="U8" s="235">
        <f t="shared" ca="1" si="2"/>
        <v>0</v>
      </c>
      <c r="V8" s="235">
        <f t="shared" ca="1" si="2"/>
        <v>0</v>
      </c>
      <c r="W8" s="235">
        <f t="shared" ca="1" si="2"/>
        <v>0</v>
      </c>
      <c r="X8" s="235">
        <f t="shared" ca="1" si="2"/>
        <v>0</v>
      </c>
      <c r="Y8" s="235">
        <f t="shared" ca="1" si="2"/>
        <v>0</v>
      </c>
      <c r="Z8" s="235">
        <f t="shared" ca="1" si="2"/>
        <v>0</v>
      </c>
      <c r="AA8" s="235">
        <f t="shared" ca="1" si="2"/>
        <v>0</v>
      </c>
    </row>
    <row r="9" spans="1:28">
      <c r="A9" s="25" t="s">
        <v>21</v>
      </c>
      <c r="B9" s="266">
        <f>'Entrada de Dados'!I55</f>
        <v>0</v>
      </c>
      <c r="C9" s="266">
        <f>'Entrada de Dados'!I109</f>
        <v>0</v>
      </c>
      <c r="D9" s="266">
        <f>'Entrada de Dados'!I163</f>
        <v>0</v>
      </c>
      <c r="E9" s="266">
        <f>'Entrada de Dados'!I217</f>
        <v>0</v>
      </c>
      <c r="F9" s="266">
        <f>'Entrada de Dados'!I271</f>
        <v>0</v>
      </c>
      <c r="G9" s="266">
        <f>'Entrada de Dados'!I325</f>
        <v>0</v>
      </c>
      <c r="H9" s="267">
        <f>'Entrada de Dados'!I379</f>
        <v>0</v>
      </c>
      <c r="I9" s="268">
        <f>'Entrada de Dados'!I433</f>
        <v>0</v>
      </c>
      <c r="J9" s="268">
        <f>'Entrada de Dados'!I487</f>
        <v>0</v>
      </c>
      <c r="K9" s="268">
        <f>'Entrada de Dados'!I541</f>
        <v>0</v>
      </c>
      <c r="L9" s="268">
        <f>SUM(L6:L8)</f>
        <v>0</v>
      </c>
      <c r="M9" s="24"/>
      <c r="N9" s="176"/>
      <c r="Q9" s="235"/>
      <c r="R9" s="235"/>
      <c r="S9" s="235"/>
      <c r="T9" s="235"/>
      <c r="U9" s="235"/>
      <c r="V9" s="235"/>
      <c r="W9" s="235"/>
      <c r="X9" s="235"/>
      <c r="Y9" s="235"/>
      <c r="Z9" s="235"/>
    </row>
    <row r="10" spans="1:28" ht="14.25">
      <c r="A10" s="26" t="s">
        <v>25</v>
      </c>
      <c r="B10" s="27"/>
      <c r="C10" s="28"/>
      <c r="D10" s="28"/>
      <c r="E10" s="29"/>
      <c r="F10" s="29"/>
      <c r="G10" s="29"/>
      <c r="H10" s="29"/>
      <c r="I10" s="29"/>
      <c r="J10" s="29"/>
      <c r="K10" s="29"/>
      <c r="L10" s="29"/>
      <c r="N10" s="176"/>
      <c r="O10" s="2" t="s">
        <v>14</v>
      </c>
      <c r="R10" s="235">
        <f ca="1">ROUND(10*R8,0)</f>
        <v>0</v>
      </c>
      <c r="S10" s="235">
        <f t="shared" ref="S10:AA10" ca="1" si="3">ROUND(10*S8,0)</f>
        <v>0</v>
      </c>
      <c r="T10" s="235">
        <f t="shared" ca="1" si="3"/>
        <v>0</v>
      </c>
      <c r="U10" s="235">
        <f t="shared" ca="1" si="3"/>
        <v>0</v>
      </c>
      <c r="V10" s="235">
        <f t="shared" ca="1" si="3"/>
        <v>0</v>
      </c>
      <c r="W10" s="235">
        <f t="shared" ca="1" si="3"/>
        <v>0</v>
      </c>
      <c r="X10" s="235">
        <f t="shared" ca="1" si="3"/>
        <v>0</v>
      </c>
      <c r="Y10" s="235">
        <f t="shared" ca="1" si="3"/>
        <v>0</v>
      </c>
      <c r="Z10" s="235">
        <f t="shared" ca="1" si="3"/>
        <v>0</v>
      </c>
      <c r="AA10" s="235">
        <f t="shared" ca="1" si="3"/>
        <v>0</v>
      </c>
      <c r="AB10" s="233"/>
    </row>
    <row r="11" spans="1:28" ht="14.25">
      <c r="A11" s="26" t="s">
        <v>17</v>
      </c>
      <c r="B11" s="30" t="e">
        <f>B6/B$9</f>
        <v>#DIV/0!</v>
      </c>
      <c r="C11" s="30" t="e">
        <f t="shared" ref="C11:L11" si="4">C6/C$9</f>
        <v>#DIV/0!</v>
      </c>
      <c r="D11" s="30" t="e">
        <f t="shared" si="4"/>
        <v>#DIV/0!</v>
      </c>
      <c r="E11" s="30" t="e">
        <f t="shared" si="4"/>
        <v>#DIV/0!</v>
      </c>
      <c r="F11" s="30" t="e">
        <f t="shared" si="4"/>
        <v>#DIV/0!</v>
      </c>
      <c r="G11" s="30" t="e">
        <f t="shared" si="4"/>
        <v>#DIV/0!</v>
      </c>
      <c r="H11" s="30" t="e">
        <f t="shared" ref="H11:K13" si="5">H6/H$9</f>
        <v>#DIV/0!</v>
      </c>
      <c r="I11" s="30" t="e">
        <f t="shared" si="5"/>
        <v>#DIV/0!</v>
      </c>
      <c r="J11" s="30" t="e">
        <f t="shared" si="5"/>
        <v>#DIV/0!</v>
      </c>
      <c r="K11" s="30" t="e">
        <f t="shared" si="5"/>
        <v>#DIV/0!</v>
      </c>
      <c r="L11" s="30" t="e">
        <f t="shared" si="4"/>
        <v>#DIV/0!</v>
      </c>
      <c r="N11" s="176"/>
    </row>
    <row r="12" spans="1:28" ht="14.25">
      <c r="A12" s="26" t="s">
        <v>19</v>
      </c>
      <c r="B12" s="30" t="e">
        <f t="shared" ref="B12:L13" si="6">B7/B$9</f>
        <v>#DIV/0!</v>
      </c>
      <c r="C12" s="30" t="e">
        <f t="shared" si="6"/>
        <v>#DIV/0!</v>
      </c>
      <c r="D12" s="30" t="e">
        <f t="shared" si="6"/>
        <v>#DIV/0!</v>
      </c>
      <c r="E12" s="30" t="e">
        <f t="shared" si="6"/>
        <v>#DIV/0!</v>
      </c>
      <c r="F12" s="30" t="e">
        <f t="shared" si="6"/>
        <v>#DIV/0!</v>
      </c>
      <c r="G12" s="30" t="e">
        <f t="shared" si="6"/>
        <v>#DIV/0!</v>
      </c>
      <c r="H12" s="30" t="e">
        <f t="shared" si="5"/>
        <v>#DIV/0!</v>
      </c>
      <c r="I12" s="30" t="e">
        <f t="shared" si="5"/>
        <v>#DIV/0!</v>
      </c>
      <c r="J12" s="30" t="e">
        <f t="shared" si="5"/>
        <v>#DIV/0!</v>
      </c>
      <c r="K12" s="30" t="e">
        <f t="shared" si="5"/>
        <v>#DIV/0!</v>
      </c>
      <c r="L12" s="30" t="e">
        <f t="shared" si="6"/>
        <v>#DIV/0!</v>
      </c>
    </row>
    <row r="13" spans="1:28" ht="14.25">
      <c r="A13" s="26" t="s">
        <v>18</v>
      </c>
      <c r="B13" s="30" t="e">
        <f t="shared" si="6"/>
        <v>#DIV/0!</v>
      </c>
      <c r="C13" s="30" t="e">
        <f t="shared" si="6"/>
        <v>#DIV/0!</v>
      </c>
      <c r="D13" s="30" t="e">
        <f t="shared" si="6"/>
        <v>#DIV/0!</v>
      </c>
      <c r="E13" s="30" t="e">
        <f t="shared" si="6"/>
        <v>#DIV/0!</v>
      </c>
      <c r="F13" s="30" t="e">
        <f t="shared" si="6"/>
        <v>#DIV/0!</v>
      </c>
      <c r="G13" s="30" t="e">
        <f t="shared" si="6"/>
        <v>#DIV/0!</v>
      </c>
      <c r="H13" s="30" t="e">
        <f t="shared" si="5"/>
        <v>#DIV/0!</v>
      </c>
      <c r="I13" s="30" t="e">
        <f t="shared" si="5"/>
        <v>#DIV/0!</v>
      </c>
      <c r="J13" s="30" t="e">
        <f t="shared" si="5"/>
        <v>#DIV/0!</v>
      </c>
      <c r="K13" s="30" t="e">
        <f t="shared" si="5"/>
        <v>#DIV/0!</v>
      </c>
      <c r="L13" s="30" t="e">
        <f t="shared" si="6"/>
        <v>#DIV/0!</v>
      </c>
    </row>
    <row r="14" spans="1:28" ht="14.25">
      <c r="A14" s="286" t="s">
        <v>26</v>
      </c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8"/>
      <c r="V14" s="2" t="s">
        <v>107</v>
      </c>
      <c r="Y14" s="1" t="s">
        <v>115</v>
      </c>
      <c r="Z14" s="1" t="s">
        <v>116</v>
      </c>
      <c r="AA14" s="1" t="s">
        <v>117</v>
      </c>
    </row>
    <row r="15" spans="1:28" ht="16.5">
      <c r="A15" s="32" t="s">
        <v>27</v>
      </c>
      <c r="B15" s="33" t="e">
        <f t="shared" ref="B15:L15" si="7">B6/B9</f>
        <v>#DIV/0!</v>
      </c>
      <c r="C15" s="34" t="e">
        <f t="shared" si="7"/>
        <v>#DIV/0!</v>
      </c>
      <c r="D15" s="34" t="e">
        <f t="shared" si="7"/>
        <v>#DIV/0!</v>
      </c>
      <c r="E15" s="34" t="e">
        <f t="shared" si="7"/>
        <v>#DIV/0!</v>
      </c>
      <c r="F15" s="34" t="e">
        <f t="shared" si="7"/>
        <v>#DIV/0!</v>
      </c>
      <c r="G15" s="34" t="e">
        <f t="shared" si="7"/>
        <v>#DIV/0!</v>
      </c>
      <c r="H15" s="34" t="e">
        <f>H6/H9</f>
        <v>#DIV/0!</v>
      </c>
      <c r="I15" s="34" t="e">
        <f>I6/I9</f>
        <v>#DIV/0!</v>
      </c>
      <c r="J15" s="34" t="e">
        <f>J6/J9</f>
        <v>#DIV/0!</v>
      </c>
      <c r="K15" s="34" t="e">
        <f>K6/K9</f>
        <v>#DIV/0!</v>
      </c>
      <c r="L15" s="34" t="e">
        <f t="shared" si="7"/>
        <v>#DIV/0!</v>
      </c>
      <c r="S15" s="2" t="s">
        <v>50</v>
      </c>
      <c r="T15" s="104">
        <f t="shared" ref="T15:X16" si="8">T18*$Y$15+T20*$Z$15+T22*$AA$15</f>
        <v>-0.57999999999999996</v>
      </c>
      <c r="U15" s="104">
        <f t="shared" si="8"/>
        <v>0.57999999999999996</v>
      </c>
      <c r="V15" s="104">
        <f t="shared" si="8"/>
        <v>0.57999999999999996</v>
      </c>
      <c r="W15" s="104">
        <f t="shared" si="8"/>
        <v>-0.57999999999999996</v>
      </c>
      <c r="X15" s="104">
        <f t="shared" si="8"/>
        <v>-0.57999999999999996</v>
      </c>
      <c r="Y15" s="272" t="b">
        <v>1</v>
      </c>
      <c r="Z15" s="272" t="b">
        <v>0</v>
      </c>
      <c r="AA15" s="272" t="b">
        <v>0</v>
      </c>
    </row>
    <row r="16" spans="1:28" ht="16.5">
      <c r="A16" s="32" t="s">
        <v>28</v>
      </c>
      <c r="B16" s="33" t="e">
        <f t="shared" ref="B16:L16" si="9">B7/B9</f>
        <v>#DIV/0!</v>
      </c>
      <c r="C16" s="34" t="e">
        <f t="shared" si="9"/>
        <v>#DIV/0!</v>
      </c>
      <c r="D16" s="34" t="e">
        <f t="shared" si="9"/>
        <v>#DIV/0!</v>
      </c>
      <c r="E16" s="34" t="e">
        <f t="shared" si="9"/>
        <v>#DIV/0!</v>
      </c>
      <c r="F16" s="34" t="e">
        <f t="shared" si="9"/>
        <v>#DIV/0!</v>
      </c>
      <c r="G16" s="34" t="e">
        <f t="shared" si="9"/>
        <v>#DIV/0!</v>
      </c>
      <c r="H16" s="34" t="e">
        <f>H7/H9</f>
        <v>#DIV/0!</v>
      </c>
      <c r="I16" s="34" t="e">
        <f>I7/I9</f>
        <v>#DIV/0!</v>
      </c>
      <c r="J16" s="34" t="e">
        <f>J7/J9</f>
        <v>#DIV/0!</v>
      </c>
      <c r="K16" s="34" t="e">
        <f>K7/K9</f>
        <v>#DIV/0!</v>
      </c>
      <c r="L16" s="34" t="e">
        <f t="shared" si="9"/>
        <v>#DIV/0!</v>
      </c>
      <c r="S16" s="2" t="s">
        <v>59</v>
      </c>
      <c r="T16" s="104">
        <f t="shared" si="8"/>
        <v>-0.1</v>
      </c>
      <c r="U16" s="104">
        <f t="shared" si="8"/>
        <v>-0.1</v>
      </c>
      <c r="V16" s="104">
        <f t="shared" si="8"/>
        <v>1.1000000000000001</v>
      </c>
      <c r="W16" s="104">
        <f t="shared" si="8"/>
        <v>1.1000000000000001</v>
      </c>
      <c r="X16" s="104">
        <f t="shared" si="8"/>
        <v>-0.1</v>
      </c>
    </row>
    <row r="17" spans="1:51" ht="16.5">
      <c r="A17" s="35" t="s">
        <v>29</v>
      </c>
      <c r="B17" s="36" t="e">
        <f t="shared" ref="B17:L17" si="10">B8/B9</f>
        <v>#DIV/0!</v>
      </c>
      <c r="C17" s="37" t="e">
        <f t="shared" si="10"/>
        <v>#DIV/0!</v>
      </c>
      <c r="D17" s="37" t="e">
        <f t="shared" si="10"/>
        <v>#DIV/0!</v>
      </c>
      <c r="E17" s="37" t="e">
        <f t="shared" si="10"/>
        <v>#DIV/0!</v>
      </c>
      <c r="F17" s="37" t="e">
        <f t="shared" si="10"/>
        <v>#DIV/0!</v>
      </c>
      <c r="G17" s="37" t="e">
        <f t="shared" si="10"/>
        <v>#DIV/0!</v>
      </c>
      <c r="H17" s="37" t="e">
        <f>H8/H9</f>
        <v>#DIV/0!</v>
      </c>
      <c r="I17" s="37" t="e">
        <f>I8/I9</f>
        <v>#DIV/0!</v>
      </c>
      <c r="J17" s="37" t="e">
        <f>J8/J9</f>
        <v>#DIV/0!</v>
      </c>
      <c r="K17" s="37" t="e">
        <f>K8/K9</f>
        <v>#DIV/0!</v>
      </c>
      <c r="L17" s="37" t="e">
        <f t="shared" si="10"/>
        <v>#DIV/0!</v>
      </c>
      <c r="Y17" s="90"/>
      <c r="Z17" s="90" t="s">
        <v>114</v>
      </c>
      <c r="AA17" s="90"/>
      <c r="AB17" s="90"/>
      <c r="AC17" s="90"/>
      <c r="AP17" s="19"/>
      <c r="AQ17" s="19"/>
      <c r="AR17" s="19"/>
      <c r="AS17" s="19"/>
      <c r="AT17" s="19"/>
      <c r="AU17" s="19"/>
    </row>
    <row r="18" spans="1:51">
      <c r="A18" s="38" t="s">
        <v>30</v>
      </c>
      <c r="B18" s="39" t="e">
        <f t="shared" ref="B18:L18" si="11">B15+B16</f>
        <v>#DIV/0!</v>
      </c>
      <c r="C18" s="40" t="e">
        <f t="shared" si="11"/>
        <v>#DIV/0!</v>
      </c>
      <c r="D18" s="40" t="e">
        <f t="shared" si="11"/>
        <v>#DIV/0!</v>
      </c>
      <c r="E18" s="40" t="e">
        <f t="shared" si="11"/>
        <v>#DIV/0!</v>
      </c>
      <c r="F18" s="40" t="e">
        <f t="shared" si="11"/>
        <v>#DIV/0!</v>
      </c>
      <c r="G18" s="40" t="e">
        <f t="shared" si="11"/>
        <v>#DIV/0!</v>
      </c>
      <c r="H18" s="40" t="e">
        <f>H15+H16</f>
        <v>#DIV/0!</v>
      </c>
      <c r="I18" s="40" t="e">
        <f>I15+I16</f>
        <v>#DIV/0!</v>
      </c>
      <c r="J18" s="40" t="e">
        <f>J15+J16</f>
        <v>#DIV/0!</v>
      </c>
      <c r="K18" s="40" t="e">
        <f>K15+K16</f>
        <v>#DIV/0!</v>
      </c>
      <c r="L18" s="40" t="e">
        <f t="shared" si="11"/>
        <v>#DIV/0!</v>
      </c>
      <c r="M18" s="41" t="s">
        <v>31</v>
      </c>
      <c r="N18" s="42"/>
      <c r="S18" s="2" t="s">
        <v>109</v>
      </c>
      <c r="T18" s="104">
        <v>-0.57999999999999996</v>
      </c>
      <c r="U18" s="104">
        <v>0.57999999999999996</v>
      </c>
      <c r="V18" s="104">
        <v>0.57999999999999996</v>
      </c>
      <c r="W18" s="104">
        <v>-0.57999999999999996</v>
      </c>
      <c r="X18" s="104">
        <v>-0.57999999999999996</v>
      </c>
      <c r="Y18" s="104">
        <v>-0.57999999999999996</v>
      </c>
      <c r="Z18" s="104">
        <v>0.57999999999999996</v>
      </c>
      <c r="AA18" s="104">
        <v>0.57999999999999996</v>
      </c>
      <c r="AB18" s="104">
        <v>-0.57999999999999996</v>
      </c>
      <c r="AC18" s="104">
        <v>-0.57999999999999996</v>
      </c>
      <c r="AO18" s="19"/>
      <c r="AP18" s="19"/>
      <c r="AQ18" s="19"/>
      <c r="AR18" s="19"/>
      <c r="AS18" s="19"/>
      <c r="AT18" s="19"/>
      <c r="AU18" s="19"/>
    </row>
    <row r="19" spans="1:51">
      <c r="A19" s="38" t="s">
        <v>32</v>
      </c>
      <c r="B19" s="39" t="e">
        <f t="shared" ref="B19:L19" si="12">B15+B16+B17</f>
        <v>#DIV/0!</v>
      </c>
      <c r="C19" s="40" t="e">
        <f t="shared" si="12"/>
        <v>#DIV/0!</v>
      </c>
      <c r="D19" s="40" t="e">
        <f t="shared" si="12"/>
        <v>#DIV/0!</v>
      </c>
      <c r="E19" s="40" t="e">
        <f t="shared" si="12"/>
        <v>#DIV/0!</v>
      </c>
      <c r="F19" s="40" t="e">
        <f t="shared" si="12"/>
        <v>#DIV/0!</v>
      </c>
      <c r="G19" s="40" t="e">
        <f t="shared" si="12"/>
        <v>#DIV/0!</v>
      </c>
      <c r="H19" s="40" t="e">
        <f>H15+H16+H17</f>
        <v>#DIV/0!</v>
      </c>
      <c r="I19" s="40" t="e">
        <f>I15+I16+I17</f>
        <v>#DIV/0!</v>
      </c>
      <c r="J19" s="40" t="e">
        <f>J15+J16+J17</f>
        <v>#DIV/0!</v>
      </c>
      <c r="K19" s="40" t="e">
        <f>K15+K16+K17</f>
        <v>#DIV/0!</v>
      </c>
      <c r="L19" s="40" t="e">
        <f t="shared" si="12"/>
        <v>#DIV/0!</v>
      </c>
      <c r="M19" s="43" t="s">
        <v>33</v>
      </c>
      <c r="N19" s="43" t="s">
        <v>34</v>
      </c>
      <c r="S19" s="2" t="s">
        <v>110</v>
      </c>
      <c r="T19" s="104">
        <v>-0.1</v>
      </c>
      <c r="U19" s="104">
        <v>-0.1</v>
      </c>
      <c r="V19" s="104">
        <v>1.1000000000000001</v>
      </c>
      <c r="W19" s="104">
        <v>1.1000000000000001</v>
      </c>
      <c r="X19" s="104">
        <v>-0.1</v>
      </c>
      <c r="Y19" s="104">
        <v>-0.1</v>
      </c>
      <c r="Z19" s="104">
        <v>-0.1</v>
      </c>
      <c r="AA19" s="104">
        <v>1.1000000000000001</v>
      </c>
      <c r="AB19" s="104">
        <v>1.1000000000000001</v>
      </c>
      <c r="AC19" s="104">
        <v>-0.1</v>
      </c>
      <c r="AO19" s="19"/>
      <c r="AQ19" s="19"/>
      <c r="AR19" s="19"/>
      <c r="AS19" s="19"/>
      <c r="AT19" s="19"/>
      <c r="AU19" s="19"/>
    </row>
    <row r="20" spans="1:51">
      <c r="A20" s="44" t="s">
        <v>35</v>
      </c>
      <c r="B20" s="45" t="e">
        <f t="shared" ref="B20:L20" si="13">1/B17</f>
        <v>#DIV/0!</v>
      </c>
      <c r="C20" s="46" t="e">
        <f t="shared" si="13"/>
        <v>#DIV/0!</v>
      </c>
      <c r="D20" s="46" t="e">
        <f t="shared" si="13"/>
        <v>#DIV/0!</v>
      </c>
      <c r="E20" s="46" t="e">
        <f t="shared" si="13"/>
        <v>#DIV/0!</v>
      </c>
      <c r="F20" s="46" t="e">
        <f t="shared" si="13"/>
        <v>#DIV/0!</v>
      </c>
      <c r="G20" s="46" t="e">
        <f t="shared" si="13"/>
        <v>#DIV/0!</v>
      </c>
      <c r="H20" s="46" t="e">
        <f>1/H17</f>
        <v>#DIV/0!</v>
      </c>
      <c r="I20" s="46" t="e">
        <f>1/I17</f>
        <v>#DIV/0!</v>
      </c>
      <c r="J20" s="46" t="e">
        <f>1/J17</f>
        <v>#DIV/0!</v>
      </c>
      <c r="K20" s="46" t="e">
        <f>1/K17</f>
        <v>#DIV/0!</v>
      </c>
      <c r="L20" s="46" t="e">
        <f t="shared" si="13"/>
        <v>#DIV/0!</v>
      </c>
      <c r="M20" s="47">
        <v>5</v>
      </c>
      <c r="N20" s="48">
        <v>2</v>
      </c>
      <c r="S20" s="2" t="s">
        <v>108</v>
      </c>
      <c r="T20" s="104">
        <v>-0.57999999999999996</v>
      </c>
      <c r="U20" s="104">
        <v>0</v>
      </c>
      <c r="V20" s="104">
        <v>0</v>
      </c>
      <c r="W20" s="104">
        <v>-0.57999999999999996</v>
      </c>
      <c r="X20" s="104">
        <v>-0.57999999999999996</v>
      </c>
      <c r="Y20" s="104">
        <v>-0.57999999999999996</v>
      </c>
      <c r="Z20" s="104">
        <v>0</v>
      </c>
      <c r="AA20" s="104">
        <v>0</v>
      </c>
      <c r="AB20" s="104">
        <v>-0.57999999999999996</v>
      </c>
      <c r="AC20" s="104">
        <v>-0.57999999999999996</v>
      </c>
      <c r="AO20" s="19"/>
      <c r="AR20" s="19"/>
      <c r="AS20" s="19"/>
      <c r="AT20" s="19"/>
      <c r="AU20" s="19"/>
    </row>
    <row r="21" spans="1:51">
      <c r="A21" s="49" t="s">
        <v>36</v>
      </c>
      <c r="B21" s="50" t="e">
        <f t="shared" ref="B21:L21" si="14">B17/(1-B17)</f>
        <v>#DIV/0!</v>
      </c>
      <c r="C21" s="51" t="e">
        <f t="shared" si="14"/>
        <v>#DIV/0!</v>
      </c>
      <c r="D21" s="51" t="e">
        <f t="shared" si="14"/>
        <v>#DIV/0!</v>
      </c>
      <c r="E21" s="51" t="e">
        <f t="shared" si="14"/>
        <v>#DIV/0!</v>
      </c>
      <c r="F21" s="51" t="e">
        <f t="shared" si="14"/>
        <v>#DIV/0!</v>
      </c>
      <c r="G21" s="51" t="e">
        <f t="shared" si="14"/>
        <v>#DIV/0!</v>
      </c>
      <c r="H21" s="51" t="e">
        <f>H17/(1-H17)</f>
        <v>#DIV/0!</v>
      </c>
      <c r="I21" s="51" t="e">
        <f>I17/(1-I17)</f>
        <v>#DIV/0!</v>
      </c>
      <c r="J21" s="51" t="e">
        <f>J17/(1-J17)</f>
        <v>#DIV/0!</v>
      </c>
      <c r="K21" s="51" t="e">
        <f>K17/(1-K17)</f>
        <v>#DIV/0!</v>
      </c>
      <c r="L21" s="51" t="e">
        <f t="shared" si="14"/>
        <v>#DIV/0!</v>
      </c>
      <c r="M21" s="52">
        <v>0.25</v>
      </c>
      <c r="N21" s="53">
        <v>1</v>
      </c>
      <c r="S21" s="2" t="s">
        <v>111</v>
      </c>
      <c r="T21" s="104">
        <v>0</v>
      </c>
      <c r="U21" s="104">
        <v>0</v>
      </c>
      <c r="V21" s="104">
        <v>0.5</v>
      </c>
      <c r="W21" s="104">
        <v>0.5</v>
      </c>
      <c r="X21" s="104">
        <v>0</v>
      </c>
      <c r="Y21" s="104">
        <v>0</v>
      </c>
      <c r="Z21" s="104">
        <v>0</v>
      </c>
      <c r="AA21" s="104">
        <v>0.5</v>
      </c>
      <c r="AB21" s="104">
        <v>0.5</v>
      </c>
      <c r="AC21" s="104">
        <v>0</v>
      </c>
      <c r="AO21" s="19"/>
      <c r="AS21" s="19"/>
      <c r="AT21" s="19"/>
      <c r="AU21" s="19"/>
    </row>
    <row r="22" spans="1:51">
      <c r="A22" s="49" t="s">
        <v>37</v>
      </c>
      <c r="B22" s="51" t="e">
        <f t="shared" ref="B22:L22" si="15">(1-B15)/B15</f>
        <v>#DIV/0!</v>
      </c>
      <c r="C22" s="51" t="e">
        <f t="shared" si="15"/>
        <v>#DIV/0!</v>
      </c>
      <c r="D22" s="51" t="e">
        <f t="shared" si="15"/>
        <v>#DIV/0!</v>
      </c>
      <c r="E22" s="51" t="e">
        <f t="shared" si="15"/>
        <v>#DIV/0!</v>
      </c>
      <c r="F22" s="51" t="e">
        <f t="shared" si="15"/>
        <v>#DIV/0!</v>
      </c>
      <c r="G22" s="51" t="e">
        <f t="shared" si="15"/>
        <v>#DIV/0!</v>
      </c>
      <c r="H22" s="51" t="e">
        <f>(1-H15)/H15</f>
        <v>#DIV/0!</v>
      </c>
      <c r="I22" s="51" t="e">
        <f>(1-I15)/I15</f>
        <v>#DIV/0!</v>
      </c>
      <c r="J22" s="51" t="e">
        <f>(1-J15)/J15</f>
        <v>#DIV/0!</v>
      </c>
      <c r="K22" s="51" t="e">
        <f>(1-K15)/K15</f>
        <v>#DIV/0!</v>
      </c>
      <c r="L22" s="51" t="e">
        <f t="shared" si="15"/>
        <v>#DIV/0!</v>
      </c>
      <c r="M22" s="52">
        <v>2</v>
      </c>
      <c r="N22" s="53">
        <v>10</v>
      </c>
      <c r="S22" s="2" t="s">
        <v>112</v>
      </c>
      <c r="T22" s="104">
        <v>-0.57999999999999996</v>
      </c>
      <c r="U22" s="104">
        <v>-0.28999999999999998</v>
      </c>
      <c r="V22" s="104">
        <v>-0.28999999999999998</v>
      </c>
      <c r="W22" s="104">
        <v>-0.57999999999999996</v>
      </c>
      <c r="X22" s="104">
        <v>-0.57999999999999996</v>
      </c>
      <c r="Y22" s="104">
        <v>-0.57999999999999996</v>
      </c>
      <c r="Z22" s="104">
        <v>-0.28999999999999998</v>
      </c>
      <c r="AA22" s="104">
        <v>-0.28999999999999998</v>
      </c>
      <c r="AB22" s="104">
        <v>-0.57999999999999996</v>
      </c>
      <c r="AC22" s="104">
        <v>-0.57999999999999996</v>
      </c>
      <c r="AO22" s="19"/>
      <c r="AT22" s="19"/>
      <c r="AU22" s="19"/>
    </row>
    <row r="23" spans="1:51">
      <c r="A23" s="54" t="s">
        <v>25</v>
      </c>
      <c r="B23" s="55" t="e">
        <f t="shared" ref="B23:L23" si="16">B20/B22</f>
        <v>#DIV/0!</v>
      </c>
      <c r="C23" s="55" t="e">
        <f t="shared" si="16"/>
        <v>#DIV/0!</v>
      </c>
      <c r="D23" s="55" t="e">
        <f t="shared" si="16"/>
        <v>#DIV/0!</v>
      </c>
      <c r="E23" s="55" t="e">
        <f t="shared" si="16"/>
        <v>#DIV/0!</v>
      </c>
      <c r="F23" s="55" t="e">
        <f t="shared" si="16"/>
        <v>#DIV/0!</v>
      </c>
      <c r="G23" s="55" t="e">
        <f t="shared" si="16"/>
        <v>#DIV/0!</v>
      </c>
      <c r="H23" s="55" t="e">
        <f>H20/H22</f>
        <v>#DIV/0!</v>
      </c>
      <c r="I23" s="55" t="e">
        <f>I20/I22</f>
        <v>#DIV/0!</v>
      </c>
      <c r="J23" s="55" t="e">
        <f>J20/J22</f>
        <v>#DIV/0!</v>
      </c>
      <c r="K23" s="55" t="e">
        <f>K20/K22</f>
        <v>#DIV/0!</v>
      </c>
      <c r="L23" s="55" t="e">
        <f t="shared" si="16"/>
        <v>#DIV/0!</v>
      </c>
      <c r="M23" s="56">
        <v>5</v>
      </c>
      <c r="N23" s="57">
        <v>1</v>
      </c>
      <c r="S23" s="2" t="s">
        <v>113</v>
      </c>
      <c r="T23" s="104">
        <v>0</v>
      </c>
      <c r="U23" s="104">
        <v>0</v>
      </c>
      <c r="V23" s="104">
        <v>0.25</v>
      </c>
      <c r="W23" s="104">
        <v>0.25</v>
      </c>
      <c r="X23" s="104">
        <v>0</v>
      </c>
      <c r="Y23" s="104">
        <v>0</v>
      </c>
      <c r="Z23" s="104">
        <v>0</v>
      </c>
      <c r="AA23" s="104">
        <v>0.25</v>
      </c>
      <c r="AB23" s="104">
        <v>0.25</v>
      </c>
      <c r="AC23" s="104">
        <v>0</v>
      </c>
      <c r="AO23" s="19"/>
      <c r="AU23" s="19"/>
    </row>
    <row r="24" spans="1:51" ht="14.25">
      <c r="A24" s="286" t="s">
        <v>38</v>
      </c>
      <c r="B24" s="287"/>
      <c r="C24" s="287"/>
      <c r="D24" s="287"/>
      <c r="E24" s="287"/>
      <c r="F24" s="287"/>
      <c r="G24" s="287"/>
      <c r="H24" s="287"/>
      <c r="I24" s="287"/>
      <c r="J24" s="287"/>
      <c r="K24" s="287"/>
      <c r="L24" s="288"/>
    </row>
    <row r="25" spans="1:51" ht="14.25">
      <c r="A25" s="58" t="s">
        <v>39</v>
      </c>
      <c r="B25" s="59" t="str">
        <f t="shared" ref="B25:L25" si="17">B5</f>
        <v xml:space="preserve"> 1-EU</v>
      </c>
      <c r="C25" s="21" t="str">
        <f t="shared" si="17"/>
        <v xml:space="preserve"> 2-0</v>
      </c>
      <c r="D25" s="21" t="str">
        <f t="shared" si="17"/>
        <v xml:space="preserve"> 3-0</v>
      </c>
      <c r="E25" s="21" t="str">
        <f t="shared" si="17"/>
        <v xml:space="preserve"> 4-0</v>
      </c>
      <c r="F25" s="21" t="str">
        <f t="shared" si="17"/>
        <v xml:space="preserve"> 5-0</v>
      </c>
      <c r="G25" s="21" t="str">
        <f t="shared" si="17"/>
        <v xml:space="preserve"> 6-0</v>
      </c>
      <c r="H25" s="21" t="str">
        <f>H5</f>
        <v xml:space="preserve"> 7-0</v>
      </c>
      <c r="I25" s="21" t="str">
        <f>I5</f>
        <v xml:space="preserve"> 8-0</v>
      </c>
      <c r="J25" s="21" t="str">
        <f>J5</f>
        <v xml:space="preserve"> 9-0</v>
      </c>
      <c r="K25" s="21" t="str">
        <f>K5</f>
        <v>10-0</v>
      </c>
      <c r="L25" s="21" t="str">
        <f t="shared" si="17"/>
        <v>Simergia</v>
      </c>
    </row>
    <row r="26" spans="1:51">
      <c r="A26" s="164" t="s">
        <v>72</v>
      </c>
      <c r="B26" s="146" t="e">
        <f t="shared" ref="B26:L26" si="18">(2*B17+B15-1)/SQRT(3)</f>
        <v>#DIV/0!</v>
      </c>
      <c r="C26" s="147" t="e">
        <f t="shared" si="18"/>
        <v>#DIV/0!</v>
      </c>
      <c r="D26" s="147" t="e">
        <f t="shared" si="18"/>
        <v>#DIV/0!</v>
      </c>
      <c r="E26" s="147" t="e">
        <f t="shared" si="18"/>
        <v>#DIV/0!</v>
      </c>
      <c r="F26" s="147" t="e">
        <f t="shared" si="18"/>
        <v>#DIV/0!</v>
      </c>
      <c r="G26" s="147" t="e">
        <f t="shared" si="18"/>
        <v>#DIV/0!</v>
      </c>
      <c r="H26" s="147" t="e">
        <f>(2*H17+H15-1)/SQRT(3)</f>
        <v>#DIV/0!</v>
      </c>
      <c r="I26" s="147" t="e">
        <f>(2*I17+I15-1)/SQRT(3)</f>
        <v>#DIV/0!</v>
      </c>
      <c r="J26" s="147" t="e">
        <f>(2*J17+J15-1)/SQRT(3)</f>
        <v>#DIV/0!</v>
      </c>
      <c r="K26" s="147" t="e">
        <f>(2*K17+K15-1)/SQRT(3)</f>
        <v>#DIV/0!</v>
      </c>
      <c r="L26" s="40" t="e">
        <f t="shared" si="18"/>
        <v>#DIV/0!</v>
      </c>
      <c r="AN26" s="2" t="s">
        <v>40</v>
      </c>
      <c r="AP26" s="60">
        <f>IF(DIAG!T21,$L$26,-1)</f>
        <v>-1</v>
      </c>
      <c r="AQ26" s="61">
        <f>AP26+(AY26-AP26)/9</f>
        <v>-1</v>
      </c>
      <c r="AR26" s="61">
        <f>AQ26+(AY26-AQ26)/8</f>
        <v>-1</v>
      </c>
      <c r="AS26" s="61">
        <f>AR26+(AY26-AR26)/7</f>
        <v>-1</v>
      </c>
      <c r="AT26" s="61">
        <f>AS26+(AY26-AS26)/6</f>
        <v>-1</v>
      </c>
      <c r="AU26" s="61">
        <f>AT26+(AY26-AT26)/5</f>
        <v>-1</v>
      </c>
      <c r="AV26" s="61">
        <f>AU26+(AY26-AU26)/4</f>
        <v>-1</v>
      </c>
      <c r="AW26" s="61">
        <f>AV26+(AY26-AV26)/3</f>
        <v>-1</v>
      </c>
      <c r="AX26" s="61">
        <f>AW26+(AY26-AW26)/2</f>
        <v>-1</v>
      </c>
      <c r="AY26" s="62">
        <f>IF(DIAG!T21,$B$26,-1)</f>
        <v>-1</v>
      </c>
    </row>
    <row r="27" spans="1:51">
      <c r="A27" s="165" t="s">
        <v>73</v>
      </c>
      <c r="B27" s="148" t="e">
        <f>IF(DIAG!T11,B15,-1)</f>
        <v>#DIV/0!</v>
      </c>
      <c r="C27" s="149">
        <f>IF(DIAG!T12,C15,-1)</f>
        <v>-1</v>
      </c>
      <c r="D27" s="149">
        <f>IF(DIAG!T13,D15,-1)</f>
        <v>-1</v>
      </c>
      <c r="E27" s="149">
        <f>IF(DIAG!T14,E15,-1)</f>
        <v>-1</v>
      </c>
      <c r="F27" s="149">
        <f>IF(DIAG!T15,F15,-1)</f>
        <v>-1</v>
      </c>
      <c r="G27" s="147">
        <f>IF(DIAG!T16,G15,-1)</f>
        <v>-1</v>
      </c>
      <c r="H27" s="147">
        <f>IF(DIAG!T17,H15,-1)</f>
        <v>-1</v>
      </c>
      <c r="I27" s="147">
        <f>IF(DIAG!T18,I15,-1)</f>
        <v>-1</v>
      </c>
      <c r="J27" s="147">
        <f>IF(DIAG!T19,J15,-1)</f>
        <v>-1</v>
      </c>
      <c r="K27" s="147">
        <f>IF(DIAG!T20,K15,-1)</f>
        <v>-1</v>
      </c>
      <c r="L27" s="40">
        <f>IF(OR(DIAG!T21,DIAG!T22,DIAG!T23,DIAG!T24,DIAG!T25,DIAG!T26,DIAG!T27,DIAG!T28,DIAG!T29,DIAG!T30),L15,-1)</f>
        <v>-1</v>
      </c>
      <c r="AP27" s="64">
        <f>IF(DIAG!T21,$L$27,-1)</f>
        <v>-1</v>
      </c>
      <c r="AQ27" s="65">
        <f>AP27+(AY27-AP27)/9</f>
        <v>-1</v>
      </c>
      <c r="AR27" s="65">
        <f>AQ27+(AY27-AQ27)/8</f>
        <v>-1</v>
      </c>
      <c r="AS27" s="65">
        <f>AR27+(AY27-AR27)/7</f>
        <v>-1</v>
      </c>
      <c r="AT27" s="65">
        <f>AS27+(AY27-AS27)/6</f>
        <v>-1</v>
      </c>
      <c r="AU27" s="65">
        <f>AT27+(AY27-AT27)/5</f>
        <v>-1</v>
      </c>
      <c r="AV27" s="65">
        <f>AU27+(AY27-AU27)/4</f>
        <v>-1</v>
      </c>
      <c r="AW27" s="65">
        <f>AV27+(AY27-AV27)/3</f>
        <v>-1</v>
      </c>
      <c r="AX27" s="65">
        <f>AW27+(AY27-AW27)/2</f>
        <v>-1</v>
      </c>
      <c r="AY27" s="66">
        <f>IF(DIAG!T21,$B$27,-1)</f>
        <v>-1</v>
      </c>
    </row>
    <row r="28" spans="1:51" ht="15" customHeight="1">
      <c r="A28" s="283" t="s">
        <v>39</v>
      </c>
      <c r="B28" s="284"/>
      <c r="C28" s="285"/>
      <c r="D28" s="21" t="s">
        <v>41</v>
      </c>
      <c r="E28" s="21" t="s">
        <v>42</v>
      </c>
      <c r="F28" s="21" t="s">
        <v>43</v>
      </c>
      <c r="G28" s="67"/>
      <c r="H28" s="67"/>
      <c r="I28" s="67"/>
      <c r="J28" s="67"/>
      <c r="K28" s="67"/>
      <c r="L28" s="68"/>
      <c r="M28" s="69"/>
      <c r="AO28" s="19"/>
      <c r="AP28" s="19"/>
      <c r="AQ28" s="19"/>
      <c r="AR28" s="19"/>
      <c r="AS28" s="19"/>
      <c r="AT28" s="19"/>
      <c r="AU28" s="19"/>
    </row>
    <row r="29" spans="1:51" ht="16.5" customHeight="1">
      <c r="A29" s="70"/>
      <c r="B29" s="71" t="str">
        <f>VLOOKUP(A28,A25:G25,A83,0)</f>
        <v xml:space="preserve"> 4-0</v>
      </c>
      <c r="C29" s="72"/>
      <c r="D29" s="31" t="e">
        <f ca="1">D103</f>
        <v>#DIV/0!</v>
      </c>
      <c r="E29" s="31" t="e">
        <f ca="1">D100</f>
        <v>#DIV/0!</v>
      </c>
      <c r="F29" s="31" t="e">
        <f ca="1">E103</f>
        <v>#DIV/0!</v>
      </c>
      <c r="G29" s="73" t="s">
        <v>44</v>
      </c>
      <c r="H29" s="74"/>
      <c r="I29" s="74"/>
      <c r="J29" s="74"/>
      <c r="K29" s="74"/>
      <c r="L29" s="74"/>
      <c r="M29" s="75"/>
      <c r="AN29" s="2" t="s">
        <v>45</v>
      </c>
      <c r="AO29" s="19"/>
      <c r="AP29" s="60">
        <f>IF(DIAG!$T$22,$L$26,-1)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IF(DIAG!$T$22,$C$26,-1)</f>
        <v>-1</v>
      </c>
    </row>
    <row r="30" spans="1:51" ht="16.5" customHeight="1">
      <c r="A30" s="76"/>
      <c r="B30" s="77"/>
      <c r="C30" s="11"/>
      <c r="D30" s="31" t="e">
        <f ca="1">N103</f>
        <v>#DIV/0!</v>
      </c>
      <c r="E30" s="31" t="e">
        <f ca="1">M100</f>
        <v>#DIV/0!</v>
      </c>
      <c r="F30" s="31" t="e">
        <f ca="1">M103</f>
        <v>#DIV/0!</v>
      </c>
      <c r="G30" s="73" t="s">
        <v>46</v>
      </c>
      <c r="H30" s="74"/>
      <c r="I30" s="74"/>
      <c r="J30" s="74"/>
      <c r="K30" s="74"/>
      <c r="L30" s="74"/>
      <c r="M30" s="75"/>
      <c r="AO30" s="19"/>
      <c r="AP30" s="64">
        <f>IF(DIAG!$T$22,$L$27,-1)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IF(DIAG!$T$22,$C$27,-1)</f>
        <v>-1</v>
      </c>
    </row>
    <row r="31" spans="1:51" ht="16.5" customHeight="1">
      <c r="A31" s="78"/>
      <c r="B31" s="79"/>
      <c r="D31" s="80"/>
      <c r="E31" s="80"/>
      <c r="F31" s="80"/>
      <c r="G31" s="81"/>
      <c r="H31" s="81"/>
      <c r="I31" s="81"/>
      <c r="J31" s="81"/>
      <c r="K31" s="81"/>
      <c r="S31" s="19"/>
      <c r="T31" s="19"/>
      <c r="U31" s="19"/>
      <c r="V31" s="19"/>
      <c r="W31" s="19"/>
      <c r="X31" s="19"/>
      <c r="Y31" s="19"/>
      <c r="Z31" s="19"/>
      <c r="AA31" s="19"/>
      <c r="AB31" s="19"/>
      <c r="AO31" s="19"/>
      <c r="AS31" s="19"/>
      <c r="AT31" s="19"/>
      <c r="AU31" s="19"/>
    </row>
    <row r="32" spans="1:51" ht="16.5" customHeight="1">
      <c r="A32" s="78"/>
      <c r="B32" s="79"/>
      <c r="D32" s="80"/>
      <c r="E32" s="80"/>
      <c r="F32" s="80"/>
      <c r="G32" s="81"/>
      <c r="H32" s="81"/>
      <c r="I32" s="81"/>
      <c r="J32" s="81"/>
      <c r="K32" s="81"/>
      <c r="S32" s="19"/>
      <c r="T32" s="19"/>
      <c r="U32" s="19"/>
      <c r="V32" s="19"/>
      <c r="W32" s="19"/>
      <c r="X32" s="19"/>
      <c r="Y32" s="19"/>
      <c r="Z32" s="19"/>
      <c r="AA32" s="19"/>
      <c r="AB32" s="19"/>
      <c r="AN32" s="2" t="s">
        <v>47</v>
      </c>
      <c r="AO32" s="19"/>
      <c r="AP32" s="60">
        <f>IF(DIAG!$T$23,$L$26,-1)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IF(DIAG!$T$23,$D$26,-1)</f>
        <v>-1</v>
      </c>
    </row>
    <row r="33" spans="1:73" ht="16.5" customHeight="1">
      <c r="B33" s="79"/>
      <c r="D33" s="80"/>
      <c r="E33" s="80"/>
      <c r="F33" s="80"/>
      <c r="G33" s="81"/>
      <c r="H33" s="81"/>
      <c r="I33" s="81"/>
      <c r="J33" s="81"/>
      <c r="K33" s="81"/>
      <c r="S33" s="19"/>
      <c r="T33" s="19"/>
      <c r="U33" s="19"/>
      <c r="V33" s="19"/>
      <c r="W33" s="19"/>
      <c r="X33" s="19"/>
      <c r="Y33" s="19"/>
      <c r="Z33" s="19"/>
      <c r="AA33" s="19"/>
      <c r="AB33" s="19"/>
      <c r="AO33" s="19"/>
      <c r="AP33" s="64">
        <f>IF(DIAG!$T$23,$L$27,-1)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IF(DIAG!$T$23,$D$27,-1)</f>
        <v>-1</v>
      </c>
    </row>
    <row r="34" spans="1:73" ht="14.25">
      <c r="A34" s="160" t="s">
        <v>48</v>
      </c>
      <c r="B34" s="161"/>
      <c r="C34" s="161"/>
      <c r="D34" s="161"/>
      <c r="E34" s="161"/>
      <c r="F34" s="150"/>
      <c r="G34" s="151"/>
      <c r="H34" s="151"/>
      <c r="I34" s="151"/>
      <c r="J34" s="151"/>
      <c r="K34" s="151"/>
      <c r="L34" s="84"/>
      <c r="M34" s="84"/>
      <c r="N34" s="84"/>
      <c r="O34" s="84">
        <v>0</v>
      </c>
      <c r="P34" s="17">
        <v>1</v>
      </c>
      <c r="Q34" s="17">
        <v>2</v>
      </c>
      <c r="R34" s="17">
        <v>3</v>
      </c>
      <c r="S34" s="17">
        <v>4</v>
      </c>
      <c r="T34" s="17">
        <v>5</v>
      </c>
      <c r="U34" s="17">
        <v>6</v>
      </c>
      <c r="V34" s="17">
        <v>7</v>
      </c>
      <c r="W34" s="17">
        <v>8</v>
      </c>
      <c r="X34" s="17">
        <v>9</v>
      </c>
      <c r="Y34" s="84">
        <v>10</v>
      </c>
      <c r="Z34" s="17">
        <v>9</v>
      </c>
      <c r="AA34" s="17">
        <v>8</v>
      </c>
      <c r="AB34" s="17">
        <v>7</v>
      </c>
      <c r="AC34" s="17">
        <v>6</v>
      </c>
      <c r="AD34" s="17">
        <v>5</v>
      </c>
      <c r="AE34" s="17">
        <v>4</v>
      </c>
      <c r="AF34" s="17">
        <v>3</v>
      </c>
      <c r="AG34" s="17">
        <v>2</v>
      </c>
      <c r="AH34" s="17">
        <v>1</v>
      </c>
      <c r="AI34" s="86">
        <v>0</v>
      </c>
    </row>
    <row r="35" spans="1:73">
      <c r="A35" s="162" t="s">
        <v>49</v>
      </c>
      <c r="B35" s="154"/>
      <c r="C35" s="154"/>
      <c r="D35" s="154" t="s">
        <v>50</v>
      </c>
      <c r="E35" s="142">
        <f>-1/SQRT(3)</f>
        <v>-0.57735026918962584</v>
      </c>
      <c r="F35" s="142">
        <v>0</v>
      </c>
      <c r="G35" s="143">
        <f>1/SQRT(3)</f>
        <v>0.57735026918962584</v>
      </c>
      <c r="H35" s="143"/>
      <c r="I35" s="143"/>
      <c r="J35" s="143"/>
      <c r="K35" s="143"/>
      <c r="O35" s="19">
        <f>-1/SQRT(3)</f>
        <v>-0.57735026918962584</v>
      </c>
      <c r="P35" s="141">
        <f t="shared" ref="P35:X35" si="19">-1/SQRT(3)+P34*(1/SQRT(3)/10)</f>
        <v>-0.51961524227066325</v>
      </c>
      <c r="Q35" s="141">
        <f t="shared" si="19"/>
        <v>-0.46188021535170065</v>
      </c>
      <c r="R35" s="141">
        <f t="shared" si="19"/>
        <v>-0.40414518843273811</v>
      </c>
      <c r="S35" s="141">
        <f t="shared" si="19"/>
        <v>-0.34641016151377552</v>
      </c>
      <c r="T35" s="141">
        <f t="shared" si="19"/>
        <v>-0.28867513459481292</v>
      </c>
      <c r="U35" s="141">
        <f t="shared" si="19"/>
        <v>-0.23094010767585038</v>
      </c>
      <c r="V35" s="141">
        <f t="shared" si="19"/>
        <v>-0.17320508075688779</v>
      </c>
      <c r="W35" s="141">
        <f t="shared" si="19"/>
        <v>-0.11547005383792519</v>
      </c>
      <c r="X35" s="141">
        <f t="shared" si="19"/>
        <v>-5.7735026918962595E-2</v>
      </c>
      <c r="Y35" s="19">
        <f>-1/SQRT(3)+Y34*(1/SQRT(3)/10)</f>
        <v>0</v>
      </c>
      <c r="Z35" s="141">
        <f t="shared" ref="Z35:AH35" si="20">1/SQRT(3)-Z34*1/SQRT(3)/10</f>
        <v>5.7735026918962595E-2</v>
      </c>
      <c r="AA35" s="141">
        <f t="shared" si="20"/>
        <v>0.11547005383792519</v>
      </c>
      <c r="AB35" s="141">
        <f t="shared" si="20"/>
        <v>0.17320508075688779</v>
      </c>
      <c r="AC35" s="141">
        <f t="shared" si="20"/>
        <v>0.23094010767585038</v>
      </c>
      <c r="AD35" s="141">
        <f t="shared" si="20"/>
        <v>0.28867513459481292</v>
      </c>
      <c r="AE35" s="141">
        <f t="shared" si="20"/>
        <v>0.34641016151377552</v>
      </c>
      <c r="AF35" s="141">
        <f t="shared" si="20"/>
        <v>0.40414518843273811</v>
      </c>
      <c r="AG35" s="141">
        <f t="shared" si="20"/>
        <v>0.46188021535170065</v>
      </c>
      <c r="AH35" s="141">
        <f t="shared" si="20"/>
        <v>0.51961524227066325</v>
      </c>
      <c r="AI35" s="88">
        <f>1/SQRT(3)</f>
        <v>0.57735026918962584</v>
      </c>
      <c r="AN35" s="2" t="s">
        <v>51</v>
      </c>
      <c r="AP35" s="60">
        <f>IF(DIAG!$T$24,$L$26,-1)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IF(DIAG!$T$24,$E$26,-1)</f>
        <v>-1</v>
      </c>
    </row>
    <row r="36" spans="1:73">
      <c r="A36" s="162" t="s">
        <v>52</v>
      </c>
      <c r="B36" s="154"/>
      <c r="C36" s="154"/>
      <c r="D36" s="154"/>
      <c r="E36" s="142">
        <v>0</v>
      </c>
      <c r="F36" s="142">
        <v>0</v>
      </c>
      <c r="G36" s="143">
        <v>0</v>
      </c>
      <c r="H36" s="143"/>
      <c r="I36" s="143"/>
      <c r="J36" s="143"/>
      <c r="K36" s="143"/>
      <c r="O36" s="19">
        <v>0</v>
      </c>
      <c r="P36" s="141">
        <v>0</v>
      </c>
      <c r="Q36" s="141">
        <v>0</v>
      </c>
      <c r="R36" s="141">
        <v>0</v>
      </c>
      <c r="S36" s="141">
        <v>0</v>
      </c>
      <c r="T36" s="141">
        <v>0</v>
      </c>
      <c r="U36" s="141">
        <v>0</v>
      </c>
      <c r="V36" s="141">
        <v>0</v>
      </c>
      <c r="W36" s="141">
        <v>0</v>
      </c>
      <c r="X36" s="141">
        <v>0</v>
      </c>
      <c r="Y36" s="19">
        <v>0</v>
      </c>
      <c r="Z36" s="141">
        <v>0</v>
      </c>
      <c r="AA36" s="141">
        <v>0</v>
      </c>
      <c r="AB36" s="141">
        <v>0</v>
      </c>
      <c r="AC36" s="141">
        <v>0</v>
      </c>
      <c r="AD36" s="141">
        <v>0</v>
      </c>
      <c r="AE36" s="141">
        <v>0</v>
      </c>
      <c r="AF36" s="141">
        <v>0</v>
      </c>
      <c r="AG36" s="141">
        <v>0</v>
      </c>
      <c r="AH36" s="141">
        <v>0</v>
      </c>
      <c r="AI36" s="88">
        <v>0</v>
      </c>
      <c r="AJ36" s="19"/>
      <c r="AK36" s="1"/>
      <c r="AL36" s="1"/>
      <c r="AM36" s="1"/>
      <c r="AP36" s="64">
        <f>IF(DIAG!$T$24,$L$27,-1)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IF(DIAG!$T$24,$E$27,-1)</f>
        <v>-1</v>
      </c>
    </row>
    <row r="37" spans="1:73">
      <c r="A37" s="163" t="s">
        <v>53</v>
      </c>
      <c r="B37" s="157"/>
      <c r="C37" s="157"/>
      <c r="D37" s="157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90"/>
      <c r="M37" s="90"/>
      <c r="N37" s="90"/>
      <c r="O37" s="90">
        <f>SQRT(3)*O35+1</f>
        <v>0</v>
      </c>
      <c r="P37" s="18">
        <f t="shared" ref="P37:X37" si="21">SQRT(3)*P35+1</f>
        <v>9.9999999999999978E-2</v>
      </c>
      <c r="Q37" s="18">
        <f t="shared" si="21"/>
        <v>0.19999999999999996</v>
      </c>
      <c r="R37" s="18">
        <f t="shared" si="21"/>
        <v>0.29999999999999993</v>
      </c>
      <c r="S37" s="18">
        <f t="shared" si="21"/>
        <v>0.39999999999999991</v>
      </c>
      <c r="T37" s="18">
        <f t="shared" si="21"/>
        <v>0.5</v>
      </c>
      <c r="U37" s="18">
        <f t="shared" si="21"/>
        <v>0.59999999999999987</v>
      </c>
      <c r="V37" s="18">
        <f t="shared" si="21"/>
        <v>0.7</v>
      </c>
      <c r="W37" s="18">
        <f t="shared" si="21"/>
        <v>0.79999999999999993</v>
      </c>
      <c r="X37" s="18">
        <f t="shared" si="21"/>
        <v>0.89999999999999991</v>
      </c>
      <c r="Y37" s="90">
        <f>SQRT(3)*Y35+1</f>
        <v>1</v>
      </c>
      <c r="Z37" s="18">
        <f t="shared" ref="Z37:AH37" si="22">1-SQRT(3)*Z35</f>
        <v>0.89999999999999991</v>
      </c>
      <c r="AA37" s="18">
        <f t="shared" si="22"/>
        <v>0.79999999999999993</v>
      </c>
      <c r="AB37" s="18">
        <f t="shared" si="22"/>
        <v>0.7</v>
      </c>
      <c r="AC37" s="18">
        <f t="shared" si="22"/>
        <v>0.59999999999999987</v>
      </c>
      <c r="AD37" s="18">
        <f t="shared" si="22"/>
        <v>0.5</v>
      </c>
      <c r="AE37" s="18">
        <f t="shared" si="22"/>
        <v>0.39999999999999991</v>
      </c>
      <c r="AF37" s="18">
        <f t="shared" si="22"/>
        <v>0.29999999999999993</v>
      </c>
      <c r="AG37" s="18">
        <f t="shared" si="22"/>
        <v>0.19999999999999996</v>
      </c>
      <c r="AH37" s="18">
        <f t="shared" si="22"/>
        <v>9.9999999999999978E-2</v>
      </c>
      <c r="AI37" s="92">
        <f>1-SQRT(3)*AI35</f>
        <v>0</v>
      </c>
      <c r="AK37" s="1"/>
      <c r="AL37" s="1"/>
      <c r="AM37" s="1"/>
    </row>
    <row r="38" spans="1:73" ht="16.5" customHeight="1">
      <c r="A38" s="78"/>
      <c r="B38" s="79"/>
      <c r="D38" s="80"/>
      <c r="E38" s="80"/>
      <c r="F38" s="80"/>
      <c r="G38" s="81"/>
      <c r="H38" s="81"/>
      <c r="I38" s="81"/>
      <c r="J38" s="81"/>
      <c r="K38" s="81"/>
      <c r="S38" s="19"/>
      <c r="T38" s="19"/>
      <c r="U38" s="19"/>
      <c r="V38" s="19"/>
      <c r="W38" s="19"/>
      <c r="X38" s="19"/>
      <c r="Y38" s="19"/>
      <c r="Z38" s="19"/>
      <c r="AA38" s="19"/>
      <c r="AB38" s="19"/>
      <c r="AK38" s="1"/>
      <c r="AL38" s="1"/>
      <c r="AM38" s="1"/>
      <c r="AN38" s="2" t="s">
        <v>54</v>
      </c>
      <c r="AP38" s="60">
        <f>IF(DIAG!$T$25,$L$26,-1)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IF(DIAG!$T$25,$F$26,-1)</f>
        <v>-1</v>
      </c>
    </row>
    <row r="39" spans="1:73" ht="16.5" customHeight="1">
      <c r="A39" s="82" t="s">
        <v>55</v>
      </c>
      <c r="B39" s="83"/>
      <c r="C39" s="83"/>
      <c r="D39" s="93"/>
      <c r="E39" s="93"/>
      <c r="F39" s="93"/>
      <c r="G39" s="94"/>
      <c r="H39" s="94"/>
      <c r="I39" s="94"/>
      <c r="J39" s="94"/>
      <c r="K39" s="94"/>
      <c r="L39" s="84"/>
      <c r="M39" s="84"/>
      <c r="N39" s="150" t="s">
        <v>50</v>
      </c>
      <c r="O39" s="151">
        <v>0</v>
      </c>
      <c r="P39" s="152">
        <f>AI35</f>
        <v>0.57735026918962584</v>
      </c>
      <c r="Q39" s="153">
        <f>O35</f>
        <v>-0.57735026918962584</v>
      </c>
      <c r="S39" s="19"/>
      <c r="T39" s="19"/>
      <c r="U39" s="19"/>
      <c r="V39" s="19"/>
      <c r="W39" s="19"/>
      <c r="X39" s="19"/>
      <c r="Y39" s="19"/>
      <c r="Z39" s="19"/>
      <c r="AA39" s="19"/>
      <c r="AB39" s="19"/>
      <c r="AK39" s="1"/>
      <c r="AL39" s="1"/>
      <c r="AM39" s="1"/>
      <c r="AP39" s="64">
        <f>IF(DIAG!$T$25,$L$27,-1)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IF(DIAG!$T$25,$F$27,-1)</f>
        <v>-1</v>
      </c>
    </row>
    <row r="40" spans="1:73">
      <c r="A40" s="87"/>
      <c r="N40" s="154" t="s">
        <v>5</v>
      </c>
      <c r="O40" s="155">
        <v>1</v>
      </c>
      <c r="P40" s="155"/>
      <c r="Q40" s="156"/>
    </row>
    <row r="41" spans="1:73">
      <c r="A41" s="87"/>
      <c r="N41" s="154" t="s">
        <v>7</v>
      </c>
      <c r="O41" s="155"/>
      <c r="P41" s="155">
        <v>0</v>
      </c>
      <c r="Q41" s="156"/>
      <c r="S41" s="2" t="s">
        <v>105</v>
      </c>
      <c r="Z41" s="2" t="s">
        <v>106</v>
      </c>
      <c r="AN41" s="2" t="s">
        <v>56</v>
      </c>
      <c r="AP41" s="60">
        <f>IF(DIAG!$T$26,$L$26,-1)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IF(DIAG!$T$26,$G$26,-1)</f>
        <v>-1</v>
      </c>
    </row>
    <row r="42" spans="1:73">
      <c r="A42" s="89"/>
      <c r="B42" s="90"/>
      <c r="C42" s="90"/>
      <c r="D42" s="90"/>
      <c r="E42" s="90"/>
      <c r="F42" s="90"/>
      <c r="G42" s="91"/>
      <c r="H42" s="91"/>
      <c r="I42" s="91"/>
      <c r="J42" s="91"/>
      <c r="K42" s="91"/>
      <c r="L42" s="90"/>
      <c r="M42" s="90"/>
      <c r="N42" s="157" t="s">
        <v>6</v>
      </c>
      <c r="O42" s="158"/>
      <c r="P42" s="158"/>
      <c r="Q42" s="159">
        <v>0</v>
      </c>
      <c r="S42" s="137">
        <v>-0.35799999999999998</v>
      </c>
      <c r="T42" s="137">
        <f>-S42</f>
        <v>0.35799999999999998</v>
      </c>
      <c r="Z42" s="2">
        <v>0</v>
      </c>
      <c r="AA42" s="2">
        <v>0</v>
      </c>
      <c r="AP42" s="64">
        <f>IF(DIAG!$T$26,$L$27,-1)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IF(DIAG!$T$26,$G$27,-1)</f>
        <v>-1</v>
      </c>
      <c r="BI42" s="1"/>
      <c r="BU42" s="1"/>
    </row>
    <row r="43" spans="1:73" ht="16.5" customHeight="1">
      <c r="A43" s="78"/>
      <c r="B43" s="79"/>
      <c r="D43" s="80"/>
      <c r="E43" s="80"/>
      <c r="F43" s="80"/>
      <c r="G43" s="81"/>
      <c r="H43" s="81"/>
      <c r="I43" s="81"/>
      <c r="J43" s="81"/>
      <c r="K43" s="81"/>
      <c r="S43" s="19">
        <f>IF(DIAG!$X$42,0.5,-1)</f>
        <v>-1</v>
      </c>
      <c r="T43" s="19">
        <f>IF(DIAG!$X$42,0.5,-1)</f>
        <v>-1</v>
      </c>
      <c r="U43" s="19"/>
      <c r="V43" s="19"/>
      <c r="W43" s="19"/>
      <c r="X43" s="19"/>
      <c r="Y43" s="19"/>
      <c r="Z43" s="137">
        <f>IF(DIAG!$X$42,-0.027,-1)</f>
        <v>-1</v>
      </c>
      <c r="AA43" s="137">
        <f>IF(DIAG!$X$42,1.02,-1)</f>
        <v>-1</v>
      </c>
      <c r="AB43" s="19"/>
      <c r="AC43" s="19"/>
      <c r="AD43" s="19"/>
      <c r="AE43" s="19"/>
    </row>
    <row r="44" spans="1:73" ht="16.5" customHeight="1">
      <c r="A44" s="78"/>
      <c r="B44" s="79"/>
      <c r="D44" s="80"/>
      <c r="E44" s="80"/>
      <c r="F44" s="80"/>
      <c r="G44" s="81"/>
      <c r="H44" s="81"/>
      <c r="I44" s="81" t="str">
        <f>CONCATENATE("texto1",CHAR(10),"texto2")</f>
        <v>texto1
texto2</v>
      </c>
      <c r="J44" s="81"/>
      <c r="K44" s="81"/>
      <c r="N44" s="90"/>
      <c r="S44" s="19"/>
      <c r="T44" s="19"/>
      <c r="U44" s="19"/>
      <c r="V44" s="19"/>
      <c r="W44" s="19"/>
      <c r="X44" s="19"/>
      <c r="Y44" s="19"/>
      <c r="Z44" s="19"/>
      <c r="AA44" s="19"/>
      <c r="AB44" s="19"/>
      <c r="AN44" s="2" t="s">
        <v>83</v>
      </c>
      <c r="AP44" s="60">
        <f>IF(DIAG!$T$27,$L$26,-1)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IF(DIAG!$T$27,$H$26,-1)</f>
        <v>-1</v>
      </c>
    </row>
    <row r="45" spans="1:73" ht="14.25">
      <c r="A45" s="95" t="s">
        <v>57</v>
      </c>
      <c r="B45" s="96"/>
      <c r="C45" s="96"/>
      <c r="D45" s="96"/>
      <c r="E45" s="96"/>
      <c r="F45" s="84" t="s">
        <v>6</v>
      </c>
      <c r="G45" s="85"/>
      <c r="H45" s="85"/>
      <c r="I45" s="85"/>
      <c r="J45" s="85"/>
      <c r="K45" s="85"/>
      <c r="L45" s="166">
        <f>DIAG!$T$46*2/100</f>
        <v>0.2</v>
      </c>
      <c r="M45" s="150"/>
      <c r="N45" s="154" t="str">
        <f>IF(DIAG!$T$43,CONCATENATE("N=",TRUNC(L45/2,2)),"")</f>
        <v>N=0,1</v>
      </c>
      <c r="O45" s="150">
        <f>IF(DIAG!$T$43,IF(1-$L$45-SQRT(3)*(O35)&gt;1,1,1-$L$45-SQRT(3)*(O35)),-1)</f>
        <v>1</v>
      </c>
      <c r="P45" s="150">
        <f>IF(DIAG!$T$43,IF(1-$L$45-SQRT(3)*(P35)&gt;1,1,1-$L$45-SQRT(3)*(P35)),-1)</f>
        <v>1</v>
      </c>
      <c r="Q45" s="150">
        <f>IF(DIAG!$T$43,IF(1-$L$45-SQRT(3)*(Q35)&gt;1,1,1-$L$45-SQRT(3)*(Q35)),-1)</f>
        <v>1</v>
      </c>
      <c r="R45" s="150">
        <f>IF(DIAG!$T$43,IF(1-$L$45-SQRT(3)*(R35)&gt;1,1,1-$L$45-SQRT(3)*(R35)),-1)</f>
        <v>1</v>
      </c>
      <c r="S45" s="150">
        <f>IF(DIAG!$T$43,IF(1-$L$45-SQRT(3)*(S35)&gt;1,1,1-$L$45-SQRT(3)*(S35)),-1)</f>
        <v>1</v>
      </c>
      <c r="T45" s="150">
        <f>IF(DIAG!$T$43,IF(1-$L$45-SQRT(3)*(T35)&gt;1,1,1-$L$45-SQRT(3)*(T35)),-1)</f>
        <v>1</v>
      </c>
      <c r="U45" s="150">
        <f>IF(DIAG!$T$43,IF(1-$L$45-SQRT(3)*(U35)&gt;1,1,1-$L$45-SQRT(3)*(U35)),-1)</f>
        <v>1</v>
      </c>
      <c r="V45" s="150">
        <f>IF(DIAG!$T$43,IF(1-$L$45-SQRT(3)*(V35)&gt;1,1,1-$L$45-SQRT(3)*(V35)),-1)</f>
        <v>1</v>
      </c>
      <c r="W45" s="150">
        <f>IF(DIAG!$T$43,IF(1-$L$45-SQRT(3)*(W35)&gt;1,1,1-$L$45-SQRT(3)*(W35)),-1)</f>
        <v>1</v>
      </c>
      <c r="X45" s="150">
        <f>IF(DIAG!$T$43,IF(1-$L$45-SQRT(3)*(X35)&gt;1,1,1-$L$45-SQRT(3)*(X35)),-1)</f>
        <v>0.90000000000000013</v>
      </c>
      <c r="Y45" s="150">
        <f>IF(DIAG!$T$43,IF(1-$L$45-SQRT(3)*(Y35)&gt;1,1,1-$L$45-SQRT(3)*(Y35)),-1)</f>
        <v>0.8</v>
      </c>
      <c r="Z45" s="150">
        <f>IF(DIAG!$T$43,IF(1-$L$45-SQRT(3)*(Z35)&gt;1,1,1-$L$45-SQRT(3)*(Z35)),-1)</f>
        <v>0.7</v>
      </c>
      <c r="AA45" s="150">
        <f>IF(DIAG!$T$43,IF(1-$L$45-SQRT(3)*(AA35)&gt;1,1,1-$L$45-SQRT(3)*(AA35)),-1)</f>
        <v>0.6</v>
      </c>
      <c r="AB45" s="150">
        <f>IF(DIAG!$T$43,IF(1-$L$45-SQRT(3)*(AB35)&gt;1,1,1-$L$45-SQRT(3)*(AB35)),-1)</f>
        <v>0.49999999999999994</v>
      </c>
      <c r="AC45" s="150">
        <f>IF(DIAG!$T$43,IF(1-$L$45-SQRT(3)*(AC35)&gt;1,1,1-$L$45-SQRT(3)*(AC35)),-1)</f>
        <v>0.39999999999999991</v>
      </c>
      <c r="AD45" s="150">
        <f>IF(DIAG!$T$43,IF(1-$L$45-SQRT(3)*(AD35)&gt;1,1,1-$L$45-SQRT(3)*(AD35)),-1)</f>
        <v>0.30000000000000004</v>
      </c>
      <c r="AE45" s="150">
        <f>IF(DIAG!$T$43,IF(1-$L$45-SQRT(3)*(AE35)&gt;1,1,1-$L$45-SQRT(3)*(AE35)),-1)</f>
        <v>0.19999999999999996</v>
      </c>
      <c r="AF45" s="150">
        <f>IF(DIAG!$T$43,IF(1-$L$45-SQRT(3)*(AF35)&gt;1,1,1-$L$45-SQRT(3)*(AF35)),-1)</f>
        <v>9.9999999999999978E-2</v>
      </c>
      <c r="AG45" s="150">
        <f>IF(DIAG!$T$43,IF(1-$L$45-SQRT(3)*(AG35)&gt;1,1,1-$L$45-SQRT(3)*(AG35)),-1)</f>
        <v>0</v>
      </c>
      <c r="AH45" s="150">
        <f>IF(DIAG!$T$43,IF(1-$L$45-SQRT(3)*(AH35)&gt;1,1,1-$L$45-SQRT(3)*(AH35)),-1)</f>
        <v>-9.9999999999999978E-2</v>
      </c>
      <c r="AI45" s="167">
        <f>IF(DIAG!$T$43,IF(1-$L$45-SQRT(3)*(AI35)&gt;1,1,1-$L$45-SQRT(3)*(AI35)),-1)</f>
        <v>-0.19999999999999996</v>
      </c>
      <c r="AP45" s="64">
        <f>IF(DIAG!$T$27,$L$27,-1)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IF(DIAG!$T$27,$H$27,-1)</f>
        <v>-1</v>
      </c>
    </row>
    <row r="46" spans="1:73">
      <c r="A46" s="87"/>
      <c r="F46" s="2" t="s">
        <v>7</v>
      </c>
      <c r="L46" s="168">
        <f>DIAG!$T$47*2/100</f>
        <v>0.2</v>
      </c>
      <c r="M46" s="154"/>
      <c r="N46" s="154" t="str">
        <f>IF(DIAG!$T$44,CONCATENATE("F=",TRUNC(L46/2,2),CHAR(10),"EYR=",TRUNC(2/L46,2),CHAR(10),"EIR= ",TRUNC(L46/(2*(1-L46/2)),2)),"")</f>
        <v>F=0,1
EYR=10
EIR= 0,11</v>
      </c>
      <c r="O46" s="154">
        <f>IF(DIAG!$T$44,IF(1-$L$46+SQRT(3)*(O35)&gt;1,1,1-$L$46+SQRT(3)*(O35)),-1)</f>
        <v>-0.19999999999999996</v>
      </c>
      <c r="P46" s="154">
        <f>IF(DIAG!$T$44,IF(1-$L$46+SQRT(3)*(P35)&gt;1,1,1-$L$46+SQRT(3)*(P35)),-1)</f>
        <v>-9.9999999999999978E-2</v>
      </c>
      <c r="Q46" s="154">
        <f>IF(DIAG!$T$44,IF(1-$L$46+SQRT(3)*(Q35)&gt;1,1,1-$L$46+SQRT(3)*(Q35)),-1)</f>
        <v>0</v>
      </c>
      <c r="R46" s="154">
        <f>IF(DIAG!$T$44,IF(1-$L$46+SQRT(3)*(R35)&gt;1,1,1-$L$46+SQRT(3)*(R35)),-1)</f>
        <v>9.9999999999999978E-2</v>
      </c>
      <c r="S46" s="154">
        <f>IF(DIAG!$T$44,IF(1-$L$46+SQRT(3)*(S35)&gt;1,1,1-$L$46+SQRT(3)*(S35)),-1)</f>
        <v>0.19999999999999996</v>
      </c>
      <c r="T46" s="154">
        <f>IF(DIAG!$T$44,IF(1-$L$46+SQRT(3)*(T35)&gt;1,1,1-$L$46+SQRT(3)*(T35)),-1)</f>
        <v>0.30000000000000004</v>
      </c>
      <c r="U46" s="154">
        <f>IF(DIAG!$T$44,IF(1-$L$46+SQRT(3)*(U35)&gt;1,1,1-$L$46+SQRT(3)*(U35)),-1)</f>
        <v>0.39999999999999991</v>
      </c>
      <c r="V46" s="154">
        <f>IF(DIAG!$T$44,IF(1-$L$46+SQRT(3)*(V35)&gt;1,1,1-$L$46+SQRT(3)*(V35)),-1)</f>
        <v>0.49999999999999994</v>
      </c>
      <c r="W46" s="154">
        <f>IF(DIAG!$T$44,IF(1-$L$46+SQRT(3)*(W35)&gt;1,1,1-$L$46+SQRT(3)*(W35)),-1)</f>
        <v>0.6</v>
      </c>
      <c r="X46" s="154">
        <f>IF(DIAG!$T$44,IF(1-$L$46+SQRT(3)*(X35)&gt;1,1,1-$L$46+SQRT(3)*(X35)),-1)</f>
        <v>0.7</v>
      </c>
      <c r="Y46" s="154">
        <f>IF(DIAG!$T$44,IF(1-$L$46+SQRT(3)*(Y35)&gt;1,1,1-$L$46+SQRT(3)*(Y35)),-1)</f>
        <v>0.8</v>
      </c>
      <c r="Z46" s="154">
        <f>IF(DIAG!$T$44,IF(1-$L$46+SQRT(3)*(Z35)&gt;1,1,1-$L$46+SQRT(3)*(Z35)),-1)</f>
        <v>0.90000000000000013</v>
      </c>
      <c r="AA46" s="154">
        <f>IF(DIAG!$T$44,IF(1-$L$46+SQRT(3)*(AA35)&gt;1,1,1-$L$46+SQRT(3)*(AA35)),-1)</f>
        <v>1</v>
      </c>
      <c r="AB46" s="154">
        <f>IF(DIAG!$T$44,IF(1-$L$46+SQRT(3)*(AB35)&gt;1,1,1-$L$46+SQRT(3)*(AB35)),-1)</f>
        <v>1</v>
      </c>
      <c r="AC46" s="154">
        <f>IF(DIAG!$T$44,IF(1-$L$46+SQRT(3)*(AC35)&gt;1,1,1-$L$46+SQRT(3)*(AC35)),-1)</f>
        <v>1</v>
      </c>
      <c r="AD46" s="154">
        <f>IF(DIAG!$T$44,IF(1-$L$46+SQRT(3)*(AD35)&gt;1,1,1-$L$46+SQRT(3)*(AD35)),-1)</f>
        <v>1</v>
      </c>
      <c r="AE46" s="154">
        <f>IF(DIAG!$T$44,IF(1-$L$46+SQRT(3)*(AE35)&gt;1,1,1-$L$46+SQRT(3)*(AE35)),-1)</f>
        <v>1</v>
      </c>
      <c r="AF46" s="154">
        <f>IF(DIAG!$T$44,IF(1-$L$46+SQRT(3)*(AF35)&gt;1,1,1-$L$46+SQRT(3)*(AF35)),-1)</f>
        <v>1</v>
      </c>
      <c r="AG46" s="154">
        <f>IF(DIAG!$T$44,IF(1-$L$46+SQRT(3)*(AG35)&gt;1,1,1-$L$46+SQRT(3)*(AG35)),-1)</f>
        <v>1</v>
      </c>
      <c r="AH46" s="154">
        <f>IF(DIAG!$T$44,IF(1-$L$46+SQRT(3)*(AH35)&gt;1,1,1-$L$46+SQRT(3)*(AH35)),-1)</f>
        <v>1</v>
      </c>
      <c r="AI46" s="169">
        <f>IF(DIAG!$T$44,IF(1-$L$46+SQRT(3)*(AI35)&gt;1,1,1-$L$46+SQRT(3)*(AI35)),-1)</f>
        <v>1</v>
      </c>
    </row>
    <row r="47" spans="1:73">
      <c r="A47" s="89"/>
      <c r="B47" s="90"/>
      <c r="C47" s="90"/>
      <c r="D47" s="90"/>
      <c r="E47" s="90"/>
      <c r="F47" s="90" t="s">
        <v>5</v>
      </c>
      <c r="G47" s="91"/>
      <c r="H47" s="91"/>
      <c r="I47" s="91"/>
      <c r="J47" s="91"/>
      <c r="K47" s="91"/>
      <c r="L47" s="170">
        <f>DIAG!$T$45/100</f>
        <v>0.1</v>
      </c>
      <c r="M47" s="157"/>
      <c r="N47" s="157" t="str">
        <f>IF(DIAG!$T$42,CONCATENATE("R = ",L47,CHAR(10),"ELR=",TRUNC((1-L47)/(L47),2)),"")</f>
        <v>R = 0,1
ELR=9</v>
      </c>
      <c r="O47" s="157">
        <f>IF(DIAG!$T$42,$L$47,-1)</f>
        <v>0.1</v>
      </c>
      <c r="P47" s="157">
        <f>IF(DIAG!$T$42,$L$47,-1)</f>
        <v>0.1</v>
      </c>
      <c r="Q47" s="157">
        <f>IF(DIAG!$T$42,$L$47,-1)</f>
        <v>0.1</v>
      </c>
      <c r="R47" s="157">
        <f>IF(DIAG!$T$42,$L$47,-1)</f>
        <v>0.1</v>
      </c>
      <c r="S47" s="157">
        <f>IF(DIAG!$T$42,$L$47,-1)</f>
        <v>0.1</v>
      </c>
      <c r="T47" s="157">
        <f>IF(DIAG!$T$42,$L$47,-1)</f>
        <v>0.1</v>
      </c>
      <c r="U47" s="157">
        <f>IF(DIAG!$T$42,$L$47,-1)</f>
        <v>0.1</v>
      </c>
      <c r="V47" s="157">
        <f>IF(DIAG!$T$42,$L$47,-1)</f>
        <v>0.1</v>
      </c>
      <c r="W47" s="157">
        <f>IF(DIAG!$T$42,$L$47,-1)</f>
        <v>0.1</v>
      </c>
      <c r="X47" s="157">
        <f>IF(DIAG!$T$42,$L$47,-1)</f>
        <v>0.1</v>
      </c>
      <c r="Y47" s="157">
        <f>IF(DIAG!$T$42,$L$47,-1)</f>
        <v>0.1</v>
      </c>
      <c r="Z47" s="157">
        <f>IF(DIAG!$T$42,$L$47,-1)</f>
        <v>0.1</v>
      </c>
      <c r="AA47" s="157">
        <f>IF(DIAG!$T$42,$L$47,-1)</f>
        <v>0.1</v>
      </c>
      <c r="AB47" s="157">
        <f>IF(DIAG!$T$42,$L$47,-1)</f>
        <v>0.1</v>
      </c>
      <c r="AC47" s="157">
        <f>IF(DIAG!$T$42,$L$47,-1)</f>
        <v>0.1</v>
      </c>
      <c r="AD47" s="157">
        <f>IF(DIAG!$T$42,$L$47,-1)</f>
        <v>0.1</v>
      </c>
      <c r="AE47" s="157">
        <f>IF(DIAG!$T$42,$L$47,-1)</f>
        <v>0.1</v>
      </c>
      <c r="AF47" s="157">
        <f>IF(DIAG!$T$42,$L$47,-1)</f>
        <v>0.1</v>
      </c>
      <c r="AG47" s="157">
        <f>IF(DIAG!$T$42,$L$47,-1)</f>
        <v>0.1</v>
      </c>
      <c r="AH47" s="157">
        <f>IF(DIAG!$T$42,$L$47,-1)</f>
        <v>0.1</v>
      </c>
      <c r="AI47" s="171">
        <f>IF(DIAG!$T$42,$L$47,-1)</f>
        <v>0.1</v>
      </c>
      <c r="AN47" s="2" t="s">
        <v>84</v>
      </c>
      <c r="AP47" s="60">
        <f>IF(DIAG!$T$28,$L$26,-1)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IF(DIAG!$T$28,$I$26,-1)</f>
        <v>-1</v>
      </c>
    </row>
    <row r="48" spans="1:73" ht="16.5" customHeight="1">
      <c r="A48" s="78"/>
      <c r="B48" s="79"/>
      <c r="D48" s="80"/>
      <c r="E48" s="80"/>
      <c r="F48" s="80"/>
      <c r="G48" s="81"/>
      <c r="H48" s="81"/>
      <c r="I48" s="81"/>
      <c r="J48" s="81"/>
      <c r="K48" s="81"/>
      <c r="S48" s="19"/>
      <c r="T48" s="19"/>
      <c r="U48" s="19"/>
      <c r="V48" s="19"/>
      <c r="W48" s="19"/>
      <c r="X48" s="19"/>
      <c r="Y48" s="19"/>
      <c r="Z48" s="19"/>
      <c r="AA48" s="19"/>
      <c r="AB48" s="19"/>
      <c r="AP48" s="64">
        <f>IF(DIAG!$T$28,$L$27,-1)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IF(DIAG!$T$28,$I$27,-1)</f>
        <v>-1</v>
      </c>
    </row>
    <row r="49" spans="1:59" ht="16.5" customHeight="1">
      <c r="A49" s="78"/>
      <c r="B49" s="79"/>
      <c r="D49" s="80"/>
      <c r="E49" s="80"/>
      <c r="F49" s="80"/>
      <c r="G49" s="81"/>
      <c r="H49" s="81"/>
      <c r="I49" s="81"/>
      <c r="J49" s="81"/>
      <c r="K49" s="81"/>
      <c r="S49" s="19"/>
      <c r="T49" s="19"/>
      <c r="U49" s="19"/>
      <c r="V49" s="19"/>
      <c r="W49" s="19"/>
      <c r="X49" s="19"/>
      <c r="Y49" s="19"/>
      <c r="Z49" s="19"/>
      <c r="AA49" s="19"/>
      <c r="AB49" s="19"/>
    </row>
    <row r="50" spans="1:59" ht="16.5" customHeight="1">
      <c r="A50" s="82" t="s">
        <v>87</v>
      </c>
      <c r="B50" s="83"/>
      <c r="C50" s="83"/>
      <c r="D50" s="83"/>
      <c r="E50" s="93"/>
      <c r="F50" s="93"/>
      <c r="G50" s="94"/>
      <c r="H50" s="94"/>
      <c r="I50" s="94"/>
      <c r="J50" s="94"/>
      <c r="K50" s="94"/>
      <c r="L50" s="84"/>
      <c r="M50" s="84"/>
      <c r="N50" s="150"/>
      <c r="O50" s="150"/>
      <c r="P50" s="173" t="e">
        <f t="shared" ref="P50:U50" si="23">B26</f>
        <v>#DIV/0!</v>
      </c>
      <c r="Q50" s="173" t="e">
        <f t="shared" si="23"/>
        <v>#DIV/0!</v>
      </c>
      <c r="R50" s="173" t="e">
        <f t="shared" si="23"/>
        <v>#DIV/0!</v>
      </c>
      <c r="S50" s="173" t="e">
        <f t="shared" si="23"/>
        <v>#DIV/0!</v>
      </c>
      <c r="T50" s="173" t="e">
        <f t="shared" si="23"/>
        <v>#DIV/0!</v>
      </c>
      <c r="U50" s="173" t="e">
        <f t="shared" si="23"/>
        <v>#DIV/0!</v>
      </c>
      <c r="V50" s="173" t="e">
        <f>H26</f>
        <v>#DIV/0!</v>
      </c>
      <c r="W50" s="173" t="e">
        <f>I26</f>
        <v>#DIV/0!</v>
      </c>
      <c r="X50" s="173" t="e">
        <f>J26</f>
        <v>#DIV/0!</v>
      </c>
      <c r="Y50" s="174" t="e">
        <f>K26</f>
        <v>#DIV/0!</v>
      </c>
      <c r="Z50" s="19"/>
      <c r="AA50" s="19"/>
      <c r="AB50" s="19"/>
      <c r="AN50" s="2" t="s">
        <v>85</v>
      </c>
      <c r="AP50" s="60">
        <f>IF(DIAG!$T$29,$L$26,-1)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IF(DIAG!$T$29,$J$26,-1)</f>
        <v>-1</v>
      </c>
    </row>
    <row r="51" spans="1:59">
      <c r="A51" s="87"/>
      <c r="N51" s="154" t="str">
        <f>B5</f>
        <v xml:space="preserve"> 1-EU</v>
      </c>
      <c r="O51" s="154"/>
      <c r="P51" s="142" t="e">
        <f>B27</f>
        <v>#DIV/0!</v>
      </c>
      <c r="Q51" s="154"/>
      <c r="R51" s="154"/>
      <c r="S51" s="154"/>
      <c r="T51" s="154"/>
      <c r="U51" s="154"/>
      <c r="V51" s="154"/>
      <c r="W51" s="154"/>
      <c r="X51" s="154"/>
      <c r="Y51" s="169"/>
      <c r="AP51" s="64">
        <f>IF(DIAG!$T$29,$L$27,-1)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IF(DIAG!$T$29,$J$27,-1)</f>
        <v>-1</v>
      </c>
    </row>
    <row r="52" spans="1:59">
      <c r="A52" s="87"/>
      <c r="N52" s="154" t="str">
        <f>C5</f>
        <v xml:space="preserve"> 2-0</v>
      </c>
      <c r="O52" s="154"/>
      <c r="P52" s="154"/>
      <c r="Q52" s="142">
        <f>C27</f>
        <v>-1</v>
      </c>
      <c r="R52" s="154"/>
      <c r="S52" s="154"/>
      <c r="T52" s="154"/>
      <c r="U52" s="154"/>
      <c r="V52" s="154"/>
      <c r="W52" s="154"/>
      <c r="X52" s="154"/>
      <c r="Y52" s="169"/>
    </row>
    <row r="53" spans="1:59">
      <c r="A53" s="87"/>
      <c r="N53" s="154" t="str">
        <f>D5</f>
        <v xml:space="preserve"> 3-0</v>
      </c>
      <c r="O53" s="154"/>
      <c r="P53" s="154"/>
      <c r="Q53" s="154"/>
      <c r="R53" s="142">
        <f>D27</f>
        <v>-1</v>
      </c>
      <c r="S53" s="154"/>
      <c r="T53" s="154"/>
      <c r="U53" s="154"/>
      <c r="V53" s="154"/>
      <c r="W53" s="154"/>
      <c r="X53" s="154"/>
      <c r="Y53" s="169"/>
      <c r="AN53" s="2" t="s">
        <v>86</v>
      </c>
      <c r="AP53" s="60">
        <f>IF(DIAG!$T$30,$L$26,-1)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IF(DIAG!$T$30,$K$26,-1)</f>
        <v>-1</v>
      </c>
    </row>
    <row r="54" spans="1:59">
      <c r="A54" s="87"/>
      <c r="N54" s="154" t="str">
        <f>E5</f>
        <v xml:space="preserve"> 4-0</v>
      </c>
      <c r="O54" s="154"/>
      <c r="P54" s="154"/>
      <c r="Q54" s="154"/>
      <c r="R54" s="154"/>
      <c r="S54" s="142">
        <f>E27</f>
        <v>-1</v>
      </c>
      <c r="T54" s="154"/>
      <c r="U54" s="154"/>
      <c r="V54" s="154"/>
      <c r="W54" s="154"/>
      <c r="X54" s="154"/>
      <c r="Y54" s="169"/>
      <c r="AP54" s="64">
        <f>IF(DIAG!$T$30,$L$27,-1)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IF(DIAG!$T$30,$K$27,-1)</f>
        <v>-1</v>
      </c>
    </row>
    <row r="55" spans="1:59">
      <c r="A55" s="87"/>
      <c r="N55" s="154" t="str">
        <f>F5</f>
        <v xml:space="preserve"> 5-0</v>
      </c>
      <c r="O55" s="154"/>
      <c r="P55" s="154"/>
      <c r="Q55" s="154"/>
      <c r="R55" s="154"/>
      <c r="S55" s="154"/>
      <c r="T55" s="142">
        <f>F27</f>
        <v>-1</v>
      </c>
      <c r="U55" s="154"/>
      <c r="V55" s="154"/>
      <c r="W55" s="154"/>
      <c r="X55" s="154"/>
      <c r="Y55" s="169"/>
    </row>
    <row r="56" spans="1:59">
      <c r="A56" s="87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54" t="str">
        <f>G5</f>
        <v xml:space="preserve"> 6-0</v>
      </c>
      <c r="O56" s="154"/>
      <c r="P56" s="154"/>
      <c r="Q56" s="154"/>
      <c r="R56" s="154"/>
      <c r="S56" s="154"/>
      <c r="T56" s="154"/>
      <c r="U56" s="142">
        <f>G27</f>
        <v>-1</v>
      </c>
      <c r="V56" s="154"/>
      <c r="W56" s="154"/>
      <c r="X56" s="154"/>
      <c r="Y56" s="169"/>
    </row>
    <row r="57" spans="1:59">
      <c r="A57" s="87"/>
      <c r="B57" s="1"/>
      <c r="C57" s="1"/>
      <c r="D57" s="1"/>
      <c r="E57" s="1"/>
      <c r="F57" s="1"/>
      <c r="N57" s="154" t="str">
        <f>H5</f>
        <v xml:space="preserve"> 7-0</v>
      </c>
      <c r="O57" s="154"/>
      <c r="P57" s="154"/>
      <c r="Q57" s="154"/>
      <c r="R57" s="154"/>
      <c r="S57" s="154"/>
      <c r="T57" s="154"/>
      <c r="U57" s="142"/>
      <c r="V57" s="142">
        <f>H27</f>
        <v>-1</v>
      </c>
      <c r="W57" s="154"/>
      <c r="X57" s="154"/>
      <c r="Y57" s="169"/>
    </row>
    <row r="58" spans="1:59">
      <c r="A58" s="87"/>
      <c r="B58" s="1"/>
      <c r="C58" s="1"/>
      <c r="D58" s="1"/>
      <c r="E58" s="1"/>
      <c r="F58" s="1"/>
      <c r="N58" s="154" t="str">
        <f>I5</f>
        <v xml:space="preserve"> 8-0</v>
      </c>
      <c r="O58" s="154"/>
      <c r="P58" s="154"/>
      <c r="Q58" s="154"/>
      <c r="R58" s="154"/>
      <c r="S58" s="154"/>
      <c r="T58" s="154"/>
      <c r="U58" s="142"/>
      <c r="V58" s="154"/>
      <c r="W58" s="142">
        <f>I27</f>
        <v>-1</v>
      </c>
      <c r="X58" s="154"/>
      <c r="Y58" s="169"/>
    </row>
    <row r="59" spans="1:59">
      <c r="A59" s="87"/>
      <c r="B59" s="1"/>
      <c r="C59" s="1"/>
      <c r="D59" s="1"/>
      <c r="E59" s="1"/>
      <c r="F59" s="1"/>
      <c r="N59" s="154" t="str">
        <f>J5</f>
        <v xml:space="preserve"> 9-0</v>
      </c>
      <c r="O59" s="154"/>
      <c r="P59" s="154"/>
      <c r="Q59" s="154"/>
      <c r="R59" s="154"/>
      <c r="S59" s="154"/>
      <c r="T59" s="154"/>
      <c r="U59" s="142"/>
      <c r="V59" s="154"/>
      <c r="W59" s="154"/>
      <c r="X59" s="142">
        <f>J27</f>
        <v>-1</v>
      </c>
      <c r="Y59" s="169"/>
    </row>
    <row r="60" spans="1:59">
      <c r="A60" s="89"/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0"/>
      <c r="M60" s="90"/>
      <c r="N60" s="157" t="str">
        <f>K5</f>
        <v>10-0</v>
      </c>
      <c r="O60" s="157"/>
      <c r="P60" s="157"/>
      <c r="Q60" s="157"/>
      <c r="R60" s="157"/>
      <c r="S60" s="157"/>
      <c r="T60" s="157"/>
      <c r="U60" s="144"/>
      <c r="V60" s="157"/>
      <c r="W60" s="157"/>
      <c r="X60" s="157"/>
      <c r="Y60" s="175">
        <f>K27</f>
        <v>-1</v>
      </c>
    </row>
    <row r="61" spans="1:59" ht="16.5" customHeight="1">
      <c r="A61" s="78"/>
      <c r="B61" s="79"/>
      <c r="D61" s="80"/>
      <c r="E61" s="80"/>
      <c r="F61" s="80"/>
      <c r="G61" s="81"/>
      <c r="H61" s="81"/>
      <c r="I61" s="81"/>
      <c r="J61" s="81"/>
      <c r="K61" s="81"/>
      <c r="S61" s="19"/>
      <c r="T61" s="19"/>
      <c r="U61" s="19"/>
      <c r="V61" s="19"/>
      <c r="W61" s="19"/>
      <c r="X61" s="19"/>
      <c r="Y61" s="19"/>
      <c r="Z61" s="19"/>
      <c r="AA61" s="19"/>
      <c r="AB61" s="19"/>
      <c r="AM61" s="2" t="s">
        <v>120</v>
      </c>
    </row>
    <row r="62" spans="1:59" ht="16.5" customHeight="1">
      <c r="A62" s="78"/>
      <c r="B62" s="79"/>
      <c r="D62" s="80"/>
      <c r="E62" s="80"/>
      <c r="F62" s="80"/>
      <c r="G62" s="81"/>
      <c r="H62" s="81"/>
      <c r="I62" s="81"/>
      <c r="J62" s="81"/>
      <c r="K62" s="81"/>
      <c r="S62" s="19"/>
      <c r="T62" s="19"/>
      <c r="U62" s="19"/>
      <c r="V62" s="19"/>
      <c r="W62" s="19"/>
      <c r="X62" s="19"/>
      <c r="Y62" s="19"/>
      <c r="Z62" s="19"/>
      <c r="AA62" s="19"/>
      <c r="AB62" s="19"/>
    </row>
    <row r="63" spans="1:59" ht="16.5" customHeight="1">
      <c r="A63" s="78"/>
      <c r="B63" s="79"/>
      <c r="D63" s="80"/>
      <c r="E63" s="80"/>
      <c r="F63" s="80"/>
      <c r="G63" s="81"/>
      <c r="H63" s="81"/>
      <c r="I63" s="81"/>
      <c r="J63" s="81"/>
      <c r="K63" s="8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82" t="s">
        <v>4</v>
      </c>
      <c r="B64" s="83"/>
      <c r="C64" s="83"/>
      <c r="D64" s="93"/>
      <c r="E64" s="93"/>
      <c r="F64" s="80"/>
      <c r="G64" s="81"/>
      <c r="H64" s="81"/>
      <c r="I64" s="81"/>
      <c r="J64" s="81"/>
      <c r="K64" s="81"/>
      <c r="M64" s="154"/>
      <c r="N64" s="154" t="s">
        <v>88</v>
      </c>
      <c r="O64" s="155">
        <f>DIAG!$T$51</f>
        <v>1</v>
      </c>
      <c r="P64" s="154"/>
      <c r="Q64" s="154"/>
      <c r="R64" s="154"/>
      <c r="S64" s="154"/>
      <c r="T64" s="154"/>
      <c r="U64" s="154"/>
      <c r="V64" s="154"/>
      <c r="W64" s="154"/>
      <c r="X64" s="154"/>
      <c r="Y64" s="154"/>
      <c r="Z64" s="142"/>
      <c r="AA64" s="142"/>
      <c r="AB64" s="142"/>
      <c r="AC64" s="154"/>
      <c r="AD64" s="154"/>
      <c r="AE64" s="154"/>
      <c r="AF64" s="154"/>
      <c r="AG64" s="154"/>
      <c r="AM64" s="154"/>
      <c r="AN64" s="154" t="s">
        <v>88</v>
      </c>
      <c r="AO64" s="155">
        <v>1</v>
      </c>
      <c r="AP64" s="154"/>
      <c r="AQ64" s="154"/>
      <c r="AR64" s="154"/>
      <c r="AS64" s="154"/>
      <c r="AT64" s="154"/>
      <c r="AU64" s="154"/>
      <c r="AV64" s="154"/>
      <c r="AW64" s="154"/>
      <c r="AX64" s="154"/>
      <c r="AY64" s="154"/>
      <c r="AZ64" s="142"/>
      <c r="BA64" s="142"/>
      <c r="BB64" s="142"/>
      <c r="BC64" s="154"/>
      <c r="BD64" s="154"/>
      <c r="BE64" s="154"/>
      <c r="BF64" s="154"/>
      <c r="BG64" s="154"/>
    </row>
    <row r="65" spans="1:59" ht="16.5" customHeight="1">
      <c r="A65" s="78"/>
      <c r="B65" s="79"/>
      <c r="D65" s="80"/>
      <c r="E65" s="80"/>
      <c r="F65" s="80"/>
      <c r="G65" s="81"/>
      <c r="H65" s="81"/>
      <c r="I65" s="81"/>
      <c r="J65" s="81"/>
      <c r="K65" s="81"/>
      <c r="M65" s="164">
        <f>O64</f>
        <v>1</v>
      </c>
      <c r="N65" s="150" t="s">
        <v>58</v>
      </c>
      <c r="O65" s="151">
        <f t="shared" ref="O65:AG65" si="24">(2*O66*($M65+1)-$M65-$M65*O66^2)/(SQRT(3)*$M65*(1-O66))</f>
        <v>-1.7320508075688774</v>
      </c>
      <c r="P65" s="151">
        <f t="shared" si="24"/>
        <v>-1.7320508075688774</v>
      </c>
      <c r="Q65" s="151">
        <f t="shared" si="24"/>
        <v>-1.7320508075688774</v>
      </c>
      <c r="R65" s="151">
        <f t="shared" si="24"/>
        <v>-1.7320508075688774</v>
      </c>
      <c r="S65" s="151">
        <f t="shared" si="24"/>
        <v>-1.7320508075688774</v>
      </c>
      <c r="T65" s="151">
        <f t="shared" si="24"/>
        <v>-1.7320508075688774</v>
      </c>
      <c r="U65" s="151">
        <f t="shared" si="24"/>
        <v>-1.7320508075688774</v>
      </c>
      <c r="V65" s="151">
        <f t="shared" si="24"/>
        <v>-1.7320508075688774</v>
      </c>
      <c r="W65" s="151">
        <f t="shared" si="24"/>
        <v>-1.7320508075688774</v>
      </c>
      <c r="X65" s="151">
        <f t="shared" si="24"/>
        <v>-1.7320508075688774</v>
      </c>
      <c r="Y65" s="151">
        <f t="shared" si="24"/>
        <v>-1.7320508075688774</v>
      </c>
      <c r="Z65" s="151">
        <f t="shared" si="24"/>
        <v>-1.7320508075688774</v>
      </c>
      <c r="AA65" s="151">
        <f t="shared" si="24"/>
        <v>-1.7320508075688774</v>
      </c>
      <c r="AB65" s="151">
        <f t="shared" si="24"/>
        <v>-1.7320508075688774</v>
      </c>
      <c r="AC65" s="151">
        <f t="shared" si="24"/>
        <v>-1.7320508075688774</v>
      </c>
      <c r="AD65" s="151">
        <f t="shared" si="24"/>
        <v>-1.7320508075688774</v>
      </c>
      <c r="AE65" s="151">
        <f t="shared" si="24"/>
        <v>-1.7320508075688774</v>
      </c>
      <c r="AF65" s="151">
        <f t="shared" si="24"/>
        <v>-1.7320508075688774</v>
      </c>
      <c r="AG65" s="172">
        <f t="shared" si="24"/>
        <v>-1.7320508075688774</v>
      </c>
      <c r="AM65" s="164">
        <f>AO64</f>
        <v>1</v>
      </c>
      <c r="AN65" s="150" t="s">
        <v>58</v>
      </c>
      <c r="AO65" s="151">
        <f t="shared" ref="AO65:BG65" si="25">(2*AO66*($M65+1)-$M65-$M65*AO66^2)/(SQRT(3)*$M65*(1-AO66))</f>
        <v>-1.7320508075688774</v>
      </c>
      <c r="AP65" s="151">
        <f t="shared" si="25"/>
        <v>-1.7320508075688774</v>
      </c>
      <c r="AQ65" s="151">
        <f t="shared" si="25"/>
        <v>-1.7320508075688774</v>
      </c>
      <c r="AR65" s="151">
        <f t="shared" si="25"/>
        <v>-1.7320508075688774</v>
      </c>
      <c r="AS65" s="151">
        <f t="shared" si="25"/>
        <v>-1.7320508075688774</v>
      </c>
      <c r="AT65" s="151">
        <f t="shared" si="25"/>
        <v>-1.7320508075688774</v>
      </c>
      <c r="AU65" s="151">
        <f t="shared" si="25"/>
        <v>-1.7320508075688774</v>
      </c>
      <c r="AV65" s="151">
        <f t="shared" si="25"/>
        <v>-1.7320508075688774</v>
      </c>
      <c r="AW65" s="151">
        <f t="shared" si="25"/>
        <v>-1.7320508075688774</v>
      </c>
      <c r="AX65" s="151">
        <f t="shared" si="25"/>
        <v>-1.7320508075688774</v>
      </c>
      <c r="AY65" s="151">
        <f t="shared" si="25"/>
        <v>-1.7320508075688774</v>
      </c>
      <c r="AZ65" s="151">
        <f t="shared" si="25"/>
        <v>-1.7320508075688774</v>
      </c>
      <c r="BA65" s="151">
        <f t="shared" si="25"/>
        <v>-1.7320508075688774</v>
      </c>
      <c r="BB65" s="151">
        <f t="shared" si="25"/>
        <v>-1.7320508075688774</v>
      </c>
      <c r="BC65" s="151">
        <f t="shared" si="25"/>
        <v>-1.7320508075688774</v>
      </c>
      <c r="BD65" s="151">
        <f t="shared" si="25"/>
        <v>-1.7320508075688774</v>
      </c>
      <c r="BE65" s="151">
        <f t="shared" si="25"/>
        <v>-1.7320508075688774</v>
      </c>
      <c r="BF65" s="151">
        <f t="shared" si="25"/>
        <v>-1.7320508075688774</v>
      </c>
      <c r="BG65" s="172">
        <f t="shared" si="25"/>
        <v>-1.7320508075688774</v>
      </c>
    </row>
    <row r="66" spans="1:59" ht="16.5" customHeight="1">
      <c r="A66" s="78"/>
      <c r="B66" s="79"/>
      <c r="D66" s="80"/>
      <c r="E66" s="80"/>
      <c r="F66" s="80"/>
      <c r="G66" s="81"/>
      <c r="H66" s="81"/>
      <c r="I66" s="81"/>
      <c r="J66" s="81"/>
      <c r="K66" s="81"/>
      <c r="M66" s="163" t="str">
        <f>CONCATENATE("SI=",O64)</f>
        <v>SI=1</v>
      </c>
      <c r="N66" s="157" t="s">
        <v>59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f>IF(DIAG!$T$48,$AG$67*T75,-1)</f>
        <v>-1</v>
      </c>
      <c r="U66" s="158">
        <f>IF(DIAG!$T$48,$AG$67*U75,-1)</f>
        <v>-1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223">
        <f>IF(DIAG!T48,((2*$M$65+1-SQRT(4*$M$65+1))/($M$65*2))*DIAG!$T$48,-1)</f>
        <v>-1</v>
      </c>
      <c r="AM66" s="163" t="str">
        <f>CONCATENATE("SI=",AO64)</f>
        <v>SI=1</v>
      </c>
      <c r="AN66" s="157" t="s">
        <v>59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08">
        <f>IF(DIAG!X44,((2*$M$65+1-SQRT(4*$M$65+1))/($M$65*2))*DIAG!$X44,-1)</f>
        <v>-1</v>
      </c>
    </row>
    <row r="67" spans="1:59" ht="16.5" customHeight="1">
      <c r="A67" s="78"/>
      <c r="B67" s="79"/>
      <c r="D67" s="80"/>
      <c r="E67" s="80"/>
      <c r="F67" s="80"/>
      <c r="G67" s="81"/>
      <c r="H67" s="81"/>
      <c r="I67" s="81"/>
      <c r="J67" s="81"/>
      <c r="K67" s="8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24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24">
        <f>(BG66-AO66)/18</f>
        <v>0</v>
      </c>
    </row>
    <row r="68" spans="1:59" ht="16.5" customHeight="1">
      <c r="A68" s="78"/>
      <c r="B68" s="79"/>
      <c r="D68" s="80"/>
      <c r="E68" s="80"/>
      <c r="F68" s="80"/>
      <c r="G68" s="81"/>
      <c r="H68" s="81"/>
      <c r="I68" s="81"/>
      <c r="J68" s="81"/>
      <c r="K68" s="81"/>
      <c r="M68" s="154"/>
      <c r="N68" s="154" t="s">
        <v>89</v>
      </c>
      <c r="O68" s="155">
        <f>DIAG!$T$52</f>
        <v>5</v>
      </c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42"/>
      <c r="AA68" s="142"/>
      <c r="AB68" s="142"/>
      <c r="AC68" s="154"/>
      <c r="AD68" s="154"/>
      <c r="AE68" s="154"/>
      <c r="AF68" s="154"/>
      <c r="AG68" s="154"/>
      <c r="AM68" s="154"/>
      <c r="AN68" s="154" t="s">
        <v>89</v>
      </c>
      <c r="AO68" s="155">
        <v>5</v>
      </c>
      <c r="AP68" s="154"/>
      <c r="AQ68" s="154"/>
      <c r="AR68" s="154"/>
      <c r="AS68" s="154"/>
      <c r="AT68" s="154"/>
      <c r="AU68" s="154"/>
      <c r="AV68" s="154"/>
      <c r="AW68" s="154"/>
      <c r="AX68" s="154"/>
      <c r="AY68" s="154"/>
      <c r="AZ68" s="142"/>
      <c r="BA68" s="142"/>
      <c r="BB68" s="142"/>
      <c r="BC68" s="154"/>
      <c r="BD68" s="154"/>
      <c r="BE68" s="154"/>
      <c r="BF68" s="154"/>
      <c r="BG68" s="154"/>
    </row>
    <row r="69" spans="1:59" ht="16.5" customHeight="1">
      <c r="A69" s="78"/>
      <c r="B69" s="79"/>
      <c r="D69" s="80"/>
      <c r="E69" s="80"/>
      <c r="F69" s="80"/>
      <c r="G69" s="81"/>
      <c r="H69" s="81"/>
      <c r="I69" s="81"/>
      <c r="J69" s="81"/>
      <c r="K69" s="81"/>
      <c r="M69" s="164">
        <f>O68</f>
        <v>5</v>
      </c>
      <c r="N69" s="150" t="s">
        <v>58</v>
      </c>
      <c r="O69" s="151">
        <f t="shared" ref="O69:AG69" si="26">(2*O70*($M69+1)-$M69-$M69*O70^2)/(SQRT(3)*$M69*(1-O70))</f>
        <v>-1.2701705922171769</v>
      </c>
      <c r="P69" s="151">
        <f t="shared" si="26"/>
        <v>-1.2701705922171769</v>
      </c>
      <c r="Q69" s="151">
        <f t="shared" si="26"/>
        <v>-1.2701705922171769</v>
      </c>
      <c r="R69" s="151">
        <f t="shared" si="26"/>
        <v>-1.2701705922171769</v>
      </c>
      <c r="S69" s="151">
        <f t="shared" si="26"/>
        <v>-1.2701705922171769</v>
      </c>
      <c r="T69" s="151">
        <f t="shared" si="26"/>
        <v>-1.2701705922171769</v>
      </c>
      <c r="U69" s="151">
        <f t="shared" si="26"/>
        <v>-1.2701705922171769</v>
      </c>
      <c r="V69" s="151">
        <f t="shared" si="26"/>
        <v>-1.2701705922171769</v>
      </c>
      <c r="W69" s="151">
        <f t="shared" si="26"/>
        <v>-1.2701705922171769</v>
      </c>
      <c r="X69" s="151">
        <f t="shared" si="26"/>
        <v>-1.2701705922171769</v>
      </c>
      <c r="Y69" s="151">
        <f t="shared" si="26"/>
        <v>-1.2701705922171769</v>
      </c>
      <c r="Z69" s="151">
        <f t="shared" si="26"/>
        <v>-1.2701705922171769</v>
      </c>
      <c r="AA69" s="151">
        <f t="shared" si="26"/>
        <v>-1.2701705922171769</v>
      </c>
      <c r="AB69" s="151">
        <f t="shared" si="26"/>
        <v>-1.2701705922171769</v>
      </c>
      <c r="AC69" s="151">
        <f t="shared" si="26"/>
        <v>-1.2701705922171769</v>
      </c>
      <c r="AD69" s="151">
        <f t="shared" si="26"/>
        <v>-1.2701705922171769</v>
      </c>
      <c r="AE69" s="151">
        <f t="shared" si="26"/>
        <v>-1.2701705922171769</v>
      </c>
      <c r="AF69" s="151">
        <f t="shared" si="26"/>
        <v>-1.2701705922171769</v>
      </c>
      <c r="AG69" s="172">
        <f t="shared" si="26"/>
        <v>-1.2701705922171769</v>
      </c>
      <c r="AM69" s="164">
        <f>AO68</f>
        <v>5</v>
      </c>
      <c r="AN69" s="150" t="s">
        <v>58</v>
      </c>
      <c r="AO69" s="151">
        <f t="shared" ref="AO69:BG69" si="27">(2*AO70*($M69+1)-$M69-$M69*AO70^2)/(SQRT(3)*$M69*(1-AO70))</f>
        <v>-1.2701705922171769</v>
      </c>
      <c r="AP69" s="151">
        <f t="shared" si="27"/>
        <v>-1.2701705922171769</v>
      </c>
      <c r="AQ69" s="151">
        <f t="shared" si="27"/>
        <v>-1.2701705922171769</v>
      </c>
      <c r="AR69" s="151">
        <f t="shared" si="27"/>
        <v>-1.2701705922171769</v>
      </c>
      <c r="AS69" s="151">
        <f t="shared" si="27"/>
        <v>-1.2701705922171769</v>
      </c>
      <c r="AT69" s="151">
        <f t="shared" si="27"/>
        <v>-1.2701705922171769</v>
      </c>
      <c r="AU69" s="151">
        <f t="shared" si="27"/>
        <v>-1.2701705922171769</v>
      </c>
      <c r="AV69" s="151">
        <f t="shared" si="27"/>
        <v>-1.2701705922171769</v>
      </c>
      <c r="AW69" s="151">
        <f t="shared" si="27"/>
        <v>-1.2701705922171769</v>
      </c>
      <c r="AX69" s="151">
        <f t="shared" si="27"/>
        <v>-1.2701705922171769</v>
      </c>
      <c r="AY69" s="151">
        <f t="shared" si="27"/>
        <v>-1.2701705922171769</v>
      </c>
      <c r="AZ69" s="151">
        <f t="shared" si="27"/>
        <v>-1.2701705922171769</v>
      </c>
      <c r="BA69" s="151">
        <f t="shared" si="27"/>
        <v>-1.2701705922171769</v>
      </c>
      <c r="BB69" s="151">
        <f t="shared" si="27"/>
        <v>-1.2701705922171769</v>
      </c>
      <c r="BC69" s="151">
        <f t="shared" si="27"/>
        <v>-1.2701705922171769</v>
      </c>
      <c r="BD69" s="151">
        <f t="shared" si="27"/>
        <v>-1.2701705922171769</v>
      </c>
      <c r="BE69" s="151">
        <f t="shared" si="27"/>
        <v>-1.2701705922171769</v>
      </c>
      <c r="BF69" s="151">
        <f t="shared" si="27"/>
        <v>-1.2701705922171769</v>
      </c>
      <c r="BG69" s="172">
        <f t="shared" si="27"/>
        <v>-1.2701705922171769</v>
      </c>
    </row>
    <row r="70" spans="1:59" ht="16.5" customHeight="1">
      <c r="A70" s="78"/>
      <c r="B70" s="79"/>
      <c r="D70" s="80"/>
      <c r="E70" s="80"/>
      <c r="F70" s="80"/>
      <c r="G70" s="81"/>
      <c r="H70" s="81"/>
      <c r="I70" s="81"/>
      <c r="J70" s="81"/>
      <c r="K70" s="81"/>
      <c r="M70" s="163" t="str">
        <f>CONCATENATE("SI=",O68)</f>
        <v>SI=5</v>
      </c>
      <c r="N70" s="157" t="s">
        <v>59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f>IF(DIAG!$T$49,$AG$71*T75,-1)</f>
        <v>-1</v>
      </c>
      <c r="U70" s="158">
        <f>IF(DIAG!$T$49,$AG$71*U75,-1)</f>
        <v>-1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223">
        <f>IF(DIAG!T49,((2*$M$69+1-SQRT(4*$M$69+1))/($M$69*2))*DIAG!$T$49,-1)</f>
        <v>-1</v>
      </c>
      <c r="AM70" s="163" t="str">
        <f>CONCATENATE("SI=",AO68)</f>
        <v>SI=5</v>
      </c>
      <c r="AN70" s="157" t="s">
        <v>59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08">
        <f>IF(DIAG!X44,((2*$M$69+1-SQRT(4*$M$69+1))/($M$69*2))*DIAG!$X44,-1)</f>
        <v>-1</v>
      </c>
    </row>
    <row r="71" spans="1:59" ht="16.5" customHeight="1">
      <c r="A71" s="78"/>
      <c r="B71" s="79"/>
      <c r="D71" s="80"/>
      <c r="E71" s="80"/>
      <c r="F71" s="80"/>
      <c r="G71" s="81"/>
      <c r="H71" s="81"/>
      <c r="I71" s="81"/>
      <c r="J71" s="81"/>
      <c r="K71" s="8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24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24">
        <f>(BG70-AO70)/18</f>
        <v>0</v>
      </c>
    </row>
    <row r="72" spans="1:59" ht="16.5" customHeight="1">
      <c r="A72" s="78"/>
      <c r="B72" s="79"/>
      <c r="D72" s="80"/>
      <c r="E72" s="80"/>
      <c r="F72" s="80"/>
      <c r="G72" s="81"/>
      <c r="H72" s="81"/>
      <c r="I72" s="81"/>
      <c r="J72" s="81"/>
      <c r="K72" s="81"/>
      <c r="M72" s="154"/>
      <c r="N72" s="155" t="s">
        <v>90</v>
      </c>
      <c r="O72" s="155">
        <f>DIAG!$T$53</f>
        <v>2</v>
      </c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42"/>
      <c r="AA72" s="142"/>
      <c r="AB72" s="142"/>
      <c r="AC72" s="154"/>
      <c r="AD72" s="154"/>
      <c r="AE72" s="154"/>
      <c r="AF72" s="154"/>
      <c r="AG72" s="154"/>
    </row>
    <row r="73" spans="1:59" ht="16.5" customHeight="1">
      <c r="A73" s="78"/>
      <c r="B73" s="79"/>
      <c r="D73" s="80"/>
      <c r="E73" s="80"/>
      <c r="F73" s="80"/>
      <c r="G73" s="81"/>
      <c r="H73" s="81"/>
      <c r="I73" s="81"/>
      <c r="J73" s="81"/>
      <c r="K73" s="81"/>
      <c r="M73" s="164">
        <f>O72</f>
        <v>2</v>
      </c>
      <c r="N73" s="150" t="s">
        <v>58</v>
      </c>
      <c r="O73" s="151">
        <f>(2*O74*($M73+1)-$M73-$M73*O74^2)/(SQRT(3)*$M73*(1-O74))</f>
        <v>-1.4433756729740645</v>
      </c>
      <c r="P73" s="151">
        <f t="shared" ref="P73:AG73" si="28">(2*P74*($M73+1)-$M73-$M73*P74^2)/(SQRT(3)*$M73*(1-P74))</f>
        <v>-1.4433756729740645</v>
      </c>
      <c r="Q73" s="151">
        <f t="shared" si="28"/>
        <v>-1.4433756729740645</v>
      </c>
      <c r="R73" s="151">
        <f t="shared" si="28"/>
        <v>-1.4433756729740645</v>
      </c>
      <c r="S73" s="151">
        <f t="shared" si="28"/>
        <v>-1.4433756729740645</v>
      </c>
      <c r="T73" s="151">
        <f t="shared" si="28"/>
        <v>-1.4433756729740645</v>
      </c>
      <c r="U73" s="151">
        <f t="shared" si="28"/>
        <v>-1.4433756729740645</v>
      </c>
      <c r="V73" s="151">
        <f>(2*V74*($M73+1)-$M73-$M73*V74^2)/(SQRT(3)*$M73*(1-V74))</f>
        <v>-1.4433756729740645</v>
      </c>
      <c r="W73" s="151">
        <f>(2*W74*($M73+1)-$M73-$M73*W74^2)/(SQRT(3)*$M73*(1-W74))</f>
        <v>-1.4433756729740645</v>
      </c>
      <c r="X73" s="151">
        <f>(2*X74*($M73+1)-$M73-$M73*X74^2)/(SQRT(3)*$M73*(1-X74))</f>
        <v>-1.4433756729740645</v>
      </c>
      <c r="Y73" s="151">
        <f>(2*Y74*($M73+1)-$M73-$M73*Y74^2)/(SQRT(3)*$M73*(1-Y74))</f>
        <v>-1.4433756729740645</v>
      </c>
      <c r="Z73" s="151">
        <f t="shared" si="28"/>
        <v>-1.4433756729740645</v>
      </c>
      <c r="AA73" s="151">
        <f>(2*AA74*($M73+1)-$M73-$M73*AA74^2)/(SQRT(3)*$M73*(1-AA74))</f>
        <v>-1.4433756729740645</v>
      </c>
      <c r="AB73" s="151">
        <f>(2*AB74*($M73+1)-$M73-$M73*AB74^2)/(SQRT(3)*$M73*(1-AB74))</f>
        <v>-1.4433756729740645</v>
      </c>
      <c r="AC73" s="151">
        <f>(2*AC74*($M73+1)-$M73-$M73*AC74^2)/(SQRT(3)*$M73*(1-AC74))</f>
        <v>-1.4433756729740645</v>
      </c>
      <c r="AD73" s="151">
        <f>(2*AD74*($M73+1)-$M73-$M73*AD74^2)/(SQRT(3)*$M73*(1-AD74))</f>
        <v>-1.4433756729740645</v>
      </c>
      <c r="AE73" s="151">
        <f t="shared" si="28"/>
        <v>-1.4433756729740645</v>
      </c>
      <c r="AF73" s="151">
        <f t="shared" si="28"/>
        <v>-1.4433756729740645</v>
      </c>
      <c r="AG73" s="172">
        <f t="shared" si="28"/>
        <v>-1.4433756729740645</v>
      </c>
      <c r="AH73" s="19"/>
      <c r="AI73" s="19"/>
      <c r="AJ73" s="19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224">
        <f>(BG74-AO74)/18</f>
        <v>0</v>
      </c>
    </row>
    <row r="74" spans="1:59" ht="16.5" customHeight="1">
      <c r="A74" s="100"/>
      <c r="B74" s="101"/>
      <c r="C74" s="90"/>
      <c r="D74" s="102"/>
      <c r="E74" s="102"/>
      <c r="F74" s="80"/>
      <c r="G74" s="81"/>
      <c r="H74" s="81"/>
      <c r="I74" s="81"/>
      <c r="J74" s="81"/>
      <c r="K74" s="81"/>
      <c r="M74" s="163" t="str">
        <f>CONCATENATE("SI=",O72)</f>
        <v>SI=2</v>
      </c>
      <c r="N74" s="154" t="s">
        <v>59</v>
      </c>
      <c r="O74" s="155">
        <f>IF(DIAG!T50,0,-1)</f>
        <v>-1</v>
      </c>
      <c r="P74" s="155">
        <f>IF(DIAG!$T$50,$AG$75*P75,-1)</f>
        <v>-1</v>
      </c>
      <c r="Q74" s="155">
        <f>IF(DIAG!$T$50,$AG$75*Q75,-1)</f>
        <v>-1</v>
      </c>
      <c r="R74" s="155">
        <f>IF(DIAG!$T$50,$AG$75*R75,-1)</f>
        <v>-1</v>
      </c>
      <c r="S74" s="155">
        <f>IF(DIAG!$T$50,$AG$75*S75,-1)</f>
        <v>-1</v>
      </c>
      <c r="T74" s="155">
        <f>IF(DIAG!$T$50,$AG$75*T75,-1)</f>
        <v>-1</v>
      </c>
      <c r="U74" s="155">
        <f>IF(DIAG!$T$50,$AG$75*U75,-1)</f>
        <v>-1</v>
      </c>
      <c r="V74" s="155">
        <f>IF(DIAG!$T$50,$AG$75*V75,-1)</f>
        <v>-1</v>
      </c>
      <c r="W74" s="155">
        <f>IF(DIAG!$T$50,$AG$75*W75,-1)</f>
        <v>-1</v>
      </c>
      <c r="X74" s="155">
        <f>IF(DIAG!$T$50,$AG$75*X75,-1)</f>
        <v>-1</v>
      </c>
      <c r="Y74" s="155">
        <f>IF(DIAG!$T$50,$AG$75*Y75,-1)</f>
        <v>-1</v>
      </c>
      <c r="Z74" s="155">
        <f>IF(DIAG!$T$50,$AG$75*Z75,-1)</f>
        <v>-1</v>
      </c>
      <c r="AA74" s="155">
        <f>IF(DIAG!$T$50,$AG$75*AA75,-1)</f>
        <v>-1</v>
      </c>
      <c r="AB74" s="155">
        <f>IF(DIAG!$T$50,$AG$75*AB75,-1)</f>
        <v>-1</v>
      </c>
      <c r="AC74" s="155">
        <f>IF(DIAG!$T$50,$AG$75*AC75,-1)</f>
        <v>-1</v>
      </c>
      <c r="AD74" s="155">
        <f>IF(DIAG!$T$50,$AG$75*AD75,-1)</f>
        <v>-1</v>
      </c>
      <c r="AE74" s="155">
        <f>IF(DIAG!$T$50,$AG$75*AE75,-1)</f>
        <v>-1</v>
      </c>
      <c r="AF74" s="155">
        <f>IF(DIAG!$T$50,$AG$75*AF75,-1)</f>
        <v>-1</v>
      </c>
      <c r="AG74" s="223">
        <f>IF(DIAG!T50,((2*$M$73+1-SQRT(4*$M$73+1))/($M$73*2))*DIAG!$T$50,-1)</f>
        <v>-1</v>
      </c>
      <c r="AH74" s="19"/>
      <c r="AI74" s="19"/>
      <c r="AJ74" s="19"/>
    </row>
    <row r="75" spans="1:59" ht="16.5" customHeight="1">
      <c r="A75" s="78"/>
      <c r="B75" s="79"/>
      <c r="D75" s="80"/>
      <c r="E75" s="80"/>
      <c r="F75" s="80"/>
      <c r="G75" s="81"/>
      <c r="H75" s="81"/>
      <c r="I75" s="81"/>
      <c r="J75" s="81"/>
      <c r="K75" s="81"/>
      <c r="M75" s="163"/>
      <c r="N75" s="157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224">
        <f>(AG74-O74)/18</f>
        <v>0</v>
      </c>
    </row>
    <row r="76" spans="1:59" ht="16.5" customHeight="1">
      <c r="A76" s="78" t="s">
        <v>6</v>
      </c>
      <c r="B76" s="79"/>
      <c r="D76" s="80"/>
      <c r="E76" s="80"/>
      <c r="F76" s="80" t="s">
        <v>5</v>
      </c>
      <c r="G76" s="81"/>
      <c r="H76" s="261" t="s">
        <v>7</v>
      </c>
      <c r="I76" s="81"/>
      <c r="J76" s="81"/>
      <c r="K76" s="81"/>
      <c r="Z76" s="19"/>
      <c r="AA76" s="19"/>
      <c r="AB76" s="19"/>
      <c r="AO76" s="2" t="s">
        <v>50</v>
      </c>
      <c r="AP76" s="273">
        <v>-0.52500000000000002</v>
      </c>
      <c r="AQ76" s="273">
        <v>0.52500000000000002</v>
      </c>
      <c r="AR76" s="141">
        <v>-0.38700000000000001</v>
      </c>
      <c r="AS76" s="141">
        <v>0.38700000000000001</v>
      </c>
      <c r="AT76" s="141">
        <v>0</v>
      </c>
      <c r="AU76" s="141">
        <v>0.28999999999999998</v>
      </c>
      <c r="AV76" s="141">
        <v>-0.34639999999999999</v>
      </c>
      <c r="AW76" s="141">
        <v>0.11700000000000001</v>
      </c>
    </row>
    <row r="77" spans="1:59" ht="16.5" customHeight="1">
      <c r="A77" s="82" t="s">
        <v>60</v>
      </c>
      <c r="B77" s="83"/>
      <c r="C77" s="83"/>
      <c r="D77" s="83"/>
      <c r="E77" s="83"/>
      <c r="F77" s="93"/>
      <c r="G77" s="94"/>
      <c r="H77" s="94"/>
      <c r="I77" s="94"/>
      <c r="J77" s="94"/>
      <c r="K77" s="94"/>
      <c r="L77" s="84"/>
      <c r="M77" s="84"/>
      <c r="N77" s="84"/>
      <c r="O77" s="84"/>
      <c r="P77" s="84"/>
      <c r="Q77" s="84"/>
      <c r="R77" s="84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84"/>
      <c r="AD77" s="84"/>
      <c r="AE77" s="84"/>
      <c r="AF77" s="84"/>
      <c r="AG77" s="84"/>
      <c r="AH77" s="84"/>
      <c r="AI77" s="86"/>
      <c r="AM77" s="168">
        <v>1</v>
      </c>
      <c r="AN77" s="154"/>
      <c r="AO77" s="154" t="str">
        <f>IF(DIAG!X44,CONCATENATE("F=",TRUNC(AM77/2,2)),"")</f>
        <v/>
      </c>
      <c r="AP77" s="154"/>
      <c r="AQ77" s="154"/>
      <c r="AR77" s="154"/>
      <c r="AS77" s="154"/>
      <c r="AT77" s="154">
        <f>IF(DIAG!X44,IF(1-$AM$77+SQRT(3)*(AT76)&gt;1,1,1-$AM$77+SQRT(3)*(AT76)),-1)</f>
        <v>-1</v>
      </c>
      <c r="AU77" s="154">
        <f>IF(DIAG!X44,IF(1-$AM$77+SQRT(3)*(AU76)&gt;1,1,1-$AM$77+SQRT(3)*(AU76)),-1)</f>
        <v>-1</v>
      </c>
      <c r="AV77" s="154"/>
      <c r="AW77" s="154"/>
    </row>
    <row r="78" spans="1:59">
      <c r="A78" s="38" t="s">
        <v>72</v>
      </c>
      <c r="B78" s="103" t="s">
        <v>73</v>
      </c>
      <c r="C78" s="1" t="s">
        <v>61</v>
      </c>
      <c r="D78" s="1" t="s">
        <v>62</v>
      </c>
      <c r="E78" s="38" t="s">
        <v>72</v>
      </c>
      <c r="F78" s="103" t="s">
        <v>73</v>
      </c>
      <c r="G78" s="38" t="s">
        <v>72</v>
      </c>
      <c r="H78" s="103" t="s">
        <v>73</v>
      </c>
      <c r="N78" s="1" t="s">
        <v>50</v>
      </c>
      <c r="O78" s="104">
        <f>O35</f>
        <v>-0.57735026918962584</v>
      </c>
      <c r="P78" s="104">
        <f t="shared" ref="P78:AH78" si="29">P35</f>
        <v>-0.51961524227066325</v>
      </c>
      <c r="Q78" s="104">
        <f t="shared" si="29"/>
        <v>-0.46188021535170065</v>
      </c>
      <c r="R78" s="104">
        <f t="shared" si="29"/>
        <v>-0.40414518843273811</v>
      </c>
      <c r="S78" s="104">
        <f t="shared" si="29"/>
        <v>-0.34641016151377552</v>
      </c>
      <c r="T78" s="104">
        <f t="shared" si="29"/>
        <v>-0.28867513459481292</v>
      </c>
      <c r="U78" s="104">
        <f t="shared" si="29"/>
        <v>-0.23094010767585038</v>
      </c>
      <c r="V78" s="104">
        <f t="shared" si="29"/>
        <v>-0.17320508075688779</v>
      </c>
      <c r="W78" s="104">
        <f t="shared" si="29"/>
        <v>-0.11547005383792519</v>
      </c>
      <c r="X78" s="104">
        <f t="shared" si="29"/>
        <v>-5.7735026918962595E-2</v>
      </c>
      <c r="Y78" s="104">
        <f>Y35</f>
        <v>0</v>
      </c>
      <c r="Z78" s="104">
        <f t="shared" si="29"/>
        <v>5.7735026918962595E-2</v>
      </c>
      <c r="AA78" s="104">
        <f t="shared" si="29"/>
        <v>0.11547005383792519</v>
      </c>
      <c r="AB78" s="104">
        <f t="shared" si="29"/>
        <v>0.17320508075688779</v>
      </c>
      <c r="AC78" s="104">
        <f t="shared" si="29"/>
        <v>0.23094010767585038</v>
      </c>
      <c r="AD78" s="104">
        <f t="shared" si="29"/>
        <v>0.28867513459481292</v>
      </c>
      <c r="AE78" s="104">
        <f t="shared" si="29"/>
        <v>0.34641016151377552</v>
      </c>
      <c r="AF78" s="104">
        <f t="shared" si="29"/>
        <v>0.40414518843273811</v>
      </c>
      <c r="AG78" s="104">
        <f t="shared" si="29"/>
        <v>0.46188021535170065</v>
      </c>
      <c r="AH78" s="104">
        <f t="shared" si="29"/>
        <v>0.51961524227066325</v>
      </c>
      <c r="AI78" s="105">
        <f>AI35</f>
        <v>0.57735026918962584</v>
      </c>
      <c r="AM78" s="168">
        <v>0.4</v>
      </c>
      <c r="AN78" s="154"/>
      <c r="AO78" s="154" t="str">
        <f>IF(DIAG!X44,CONCATENATE("F=",TRUNC(AM78/2,2)),"")</f>
        <v/>
      </c>
      <c r="AP78" s="154"/>
      <c r="AQ78" s="154"/>
      <c r="AR78" s="154"/>
      <c r="AS78" s="154"/>
      <c r="AT78" s="154"/>
      <c r="AU78" s="154"/>
      <c r="AV78" s="154">
        <f>IF(DIAG!X44,IF(1-$AM$78+SQRT(3)*(AV76)&gt;1,1,1-$AM$78+SQRT(3)*(AV76)),-1)</f>
        <v>-1</v>
      </c>
      <c r="AW78" s="154">
        <f>IF(DIAG!X44,IF(1-$AM$78+SQRT(3)*(AW67)&gt;1,1,1-$AM$78+SQRT(3)*(AW76)),-1)</f>
        <v>-1</v>
      </c>
    </row>
    <row r="79" spans="1:59">
      <c r="A79" s="106" t="e">
        <f>VLOOKUP(A78,A26:K26,DIAG!$T$58+1,0)</f>
        <v>#DIV/0!</v>
      </c>
      <c r="B79" s="63" t="e">
        <f>VLOOKUP(B78,A27:K27,DIAG!$T$58+1,0)</f>
        <v>#DIV/0!</v>
      </c>
      <c r="E79" s="106" t="e">
        <f>VLOOKUP(E78,A26:K26,DIAG!$W$56+1,0)</f>
        <v>#DIV/0!</v>
      </c>
      <c r="F79" s="63" t="e">
        <f>VLOOKUP(F78,A27:K27,DIAG!$W$56+1,0)</f>
        <v>#DIV/0!</v>
      </c>
      <c r="G79" s="106" t="e">
        <f>VLOOKUP(G78,A26:K26,DIAG!$W$58+1,0)</f>
        <v>#DIV/0!</v>
      </c>
      <c r="H79" s="63" t="e">
        <f>VLOOKUP(H78,A27:K27,DIAG!$W$58+1,0)</f>
        <v>#DIV/0!</v>
      </c>
      <c r="AI79" s="98"/>
      <c r="AM79" s="170">
        <v>9.0909000000000004E-2</v>
      </c>
      <c r="AN79" s="157"/>
      <c r="AO79" s="157" t="str">
        <f>IF(DIAG!X44,CONCATENATE("R = ",TRUNC(AM79,2)),"")</f>
        <v/>
      </c>
      <c r="AP79" s="157">
        <f>IF(DIAG!X44,$AM$79,-1)</f>
        <v>-1</v>
      </c>
      <c r="AQ79" s="157">
        <f>IF(DIAG!X44,$AM$79,-1)</f>
        <v>-1</v>
      </c>
      <c r="AR79" s="157"/>
      <c r="AS79" s="157"/>
      <c r="AT79" s="157"/>
      <c r="AU79" s="157"/>
      <c r="AV79" s="157"/>
      <c r="AW79" s="157"/>
    </row>
    <row r="80" spans="1:59">
      <c r="A80" s="107">
        <f>-1/SQRT(3)</f>
        <v>-0.57735026918962584</v>
      </c>
      <c r="B80" s="108">
        <v>0</v>
      </c>
      <c r="C80" s="104" t="e">
        <f>(B80-$F$79)/(A80-$E$79)</f>
        <v>#DIV/0!</v>
      </c>
      <c r="D80" s="104" t="e">
        <f>(B80*(A80-$E$79)-A80*(B80-$F$79))/(A80-$E$79)</f>
        <v>#DIV/0!</v>
      </c>
      <c r="E80" s="104" t="s">
        <v>5</v>
      </c>
      <c r="F80" s="104"/>
      <c r="N80" s="1" t="s">
        <v>101</v>
      </c>
      <c r="O80" s="104">
        <f>IF(DIAG!$T$55,($C$80*O35+$D$80),-1)</f>
        <v>-1</v>
      </c>
      <c r="P80" s="104">
        <f>IF(DIAG!$T$55,($C$80*P35+$D$80),-1)</f>
        <v>-1</v>
      </c>
      <c r="Q80" s="104">
        <f>IF(DIAG!$T$55,($C$80*Q35+$D$80),-1)</f>
        <v>-1</v>
      </c>
      <c r="R80" s="104">
        <f>IF(DIAG!$T$55,($C$80*R35+$D$80),-1)</f>
        <v>-1</v>
      </c>
      <c r="S80" s="104">
        <f>IF(DIAG!$T$55,($C$80*S35+$D$80),-1)</f>
        <v>-1</v>
      </c>
      <c r="T80" s="104">
        <f>IF(DIAG!$T$55,($C$80*T35+$D$80),-1)</f>
        <v>-1</v>
      </c>
      <c r="U80" s="104">
        <f>IF(DIAG!$T$55,($C$80*U35+$D$80),-1)</f>
        <v>-1</v>
      </c>
      <c r="V80" s="104">
        <f>IF(DIAG!$T$55,($C$80*V35+$D$80),-1)</f>
        <v>-1</v>
      </c>
      <c r="W80" s="104">
        <f>IF(DIAG!$T$55,($C$80*W35+$D$80),-1)</f>
        <v>-1</v>
      </c>
      <c r="X80" s="104">
        <f>IF(DIAG!$T$55,($C$80*X35+$D$80),-1)</f>
        <v>-1</v>
      </c>
      <c r="Y80" s="104">
        <f>IF(DIAG!$T$55,($C$80*Y35+$D$80),-1)</f>
        <v>-1</v>
      </c>
      <c r="Z80" s="104">
        <f>IF(DIAG!$T$55,($C$80*Z35+$D$80),-1)</f>
        <v>-1</v>
      </c>
      <c r="AA80" s="104">
        <f>IF(DIAG!$T$55,($C$80*AA35+$D$80),-1)</f>
        <v>-1</v>
      </c>
      <c r="AB80" s="104">
        <f>IF(DIAG!$T$55,($C$80*AB35+$D$80),-1)</f>
        <v>-1</v>
      </c>
      <c r="AC80" s="104">
        <f>IF(DIAG!$T$55,($C$80*AC35+$D$80),-1)</f>
        <v>-1</v>
      </c>
      <c r="AD80" s="104">
        <f>IF(DIAG!$T$55,($C$80*AD35+$D$80),-1)</f>
        <v>-1</v>
      </c>
      <c r="AE80" s="104">
        <f>IF(DIAG!$T$55,($C$80*AE35+$D$80),-1)</f>
        <v>-1</v>
      </c>
      <c r="AF80" s="104">
        <f>IF(DIAG!$T$55,($C$80*AF35+$D$80),-1)</f>
        <v>-1</v>
      </c>
      <c r="AG80" s="104">
        <f>IF(DIAG!$T$55,($C$80*AG35+$D$80),-1)</f>
        <v>-1</v>
      </c>
      <c r="AH80" s="104">
        <f>IF(DIAG!$T$55,($C$80*AH35+$D$80),-1)</f>
        <v>-1</v>
      </c>
      <c r="AI80" s="105">
        <f>IF(DIAG!$T$55,($C$80*AI35+$D$80),-1)</f>
        <v>-1</v>
      </c>
      <c r="AM80" s="170">
        <v>0.33333000000000002</v>
      </c>
      <c r="AN80" s="157"/>
      <c r="AO80" s="157" t="str">
        <f>IF(DIAG!X44,CONCATENATE("R = ",TRUNC(AM80,2)),"")</f>
        <v/>
      </c>
      <c r="AP80" s="157"/>
      <c r="AQ80" s="157"/>
      <c r="AR80" s="157">
        <f>IF(DIAG!X44,$AM$80,-1)</f>
        <v>-1</v>
      </c>
      <c r="AS80" s="157">
        <f>IF(DIAG!X44,$AM$80,-1)</f>
        <v>-1</v>
      </c>
      <c r="AT80" s="157"/>
      <c r="AU80" s="157"/>
      <c r="AV80" s="157"/>
      <c r="AW80" s="157"/>
    </row>
    <row r="81" spans="1:35">
      <c r="A81" s="107">
        <f>1/SQRT(3)</f>
        <v>0.57735026918962584</v>
      </c>
      <c r="B81" s="108">
        <v>0</v>
      </c>
      <c r="C81" s="104" t="e">
        <f>(B81-$H$79)/(A81-$G$79)</f>
        <v>#DIV/0!</v>
      </c>
      <c r="D81" s="104" t="e">
        <f>(B81*(A81-$G$79)-A81*(B81-$H$79))/(A81-$G$79)</f>
        <v>#DIV/0!</v>
      </c>
      <c r="E81" s="104" t="s">
        <v>7</v>
      </c>
      <c r="N81" s="1" t="s">
        <v>102</v>
      </c>
      <c r="O81" s="104">
        <f>IF(DIAG!$T$56,($C$81*O35+$D$81),-1)</f>
        <v>-1</v>
      </c>
      <c r="P81" s="104">
        <f>IF(DIAG!$T$56,($C$81*P35+$D$81),-1)</f>
        <v>-1</v>
      </c>
      <c r="Q81" s="104">
        <f>IF(DIAG!$T$56,($C$81*Q35+$D$81),-1)</f>
        <v>-1</v>
      </c>
      <c r="R81" s="104">
        <f>IF(DIAG!$T$56,($C$81*R35+$D$81),-1)</f>
        <v>-1</v>
      </c>
      <c r="S81" s="104">
        <f>IF(DIAG!$T$56,($C$81*S35+$D$81),-1)</f>
        <v>-1</v>
      </c>
      <c r="T81" s="104">
        <f>IF(DIAG!$T$56,($C$81*T35+$D$81),-1)</f>
        <v>-1</v>
      </c>
      <c r="U81" s="104">
        <f>IF(DIAG!$T$56,($C$81*U35+$D$81),-1)</f>
        <v>-1</v>
      </c>
      <c r="V81" s="104">
        <f>IF(DIAG!$T$56,($C$81*V35+$D$81),-1)</f>
        <v>-1</v>
      </c>
      <c r="W81" s="104">
        <f>IF(DIAG!$T$56,($C$81*W35+$D$81),-1)</f>
        <v>-1</v>
      </c>
      <c r="X81" s="104">
        <f>IF(DIAG!$T$56,($C$81*X35+$D$81),-1)</f>
        <v>-1</v>
      </c>
      <c r="Y81" s="104">
        <f>IF(DIAG!$T$56,($C$81*Y35+$D$81),-1)</f>
        <v>-1</v>
      </c>
      <c r="Z81" s="104">
        <f>IF(DIAG!$T$56,($C$81*Z35+$D$81),-1)</f>
        <v>-1</v>
      </c>
      <c r="AA81" s="104">
        <f>IF(DIAG!$T$56,($C$81*AA35+$D$81),-1)</f>
        <v>-1</v>
      </c>
      <c r="AB81" s="104">
        <f>IF(DIAG!$T$56,($C$81*AB35+$D$81),-1)</f>
        <v>-1</v>
      </c>
      <c r="AC81" s="104">
        <f>IF(DIAG!$T$56,($C$81*AC35+$D$81),-1)</f>
        <v>-1</v>
      </c>
      <c r="AD81" s="104">
        <f>IF(DIAG!$T$56,($C$81*AD35+$D$81),-1)</f>
        <v>-1</v>
      </c>
      <c r="AE81" s="104">
        <f>IF(DIAG!$T$56,($C$81*AE35+$D$81),-1)</f>
        <v>-1</v>
      </c>
      <c r="AF81" s="104">
        <f>IF(DIAG!$T$56,($C$81*AF35+$D$81),-1)</f>
        <v>-1</v>
      </c>
      <c r="AG81" s="104">
        <f>IF(DIAG!$T$56,($C$81*AG35+$D$81),-1)</f>
        <v>-1</v>
      </c>
      <c r="AH81" s="104">
        <f>IF(DIAG!$T$56,($C$81*AH35+$D$81),-1)</f>
        <v>-1</v>
      </c>
      <c r="AI81" s="105">
        <f>IF(DIAG!$T$56,($C$81*AI35+$D$81),-1)</f>
        <v>-1</v>
      </c>
    </row>
    <row r="82" spans="1:35">
      <c r="A82" s="109">
        <v>0</v>
      </c>
      <c r="B82" s="110">
        <v>1</v>
      </c>
      <c r="C82" s="104" t="e">
        <f>(B82-$B$79)/(A82-$A$79)</f>
        <v>#DIV/0!</v>
      </c>
      <c r="D82" s="104" t="e">
        <f>(B82*(A82-$A$79)-A82*(B82-$B$79))/(A82-$A$79)</f>
        <v>#DIV/0!</v>
      </c>
      <c r="E82" s="104" t="s">
        <v>6</v>
      </c>
      <c r="N82" s="1" t="s">
        <v>103</v>
      </c>
      <c r="O82" s="104">
        <f>IF(DIAG!$T$54,($C$82*O35+$D$82),-1)</f>
        <v>-1</v>
      </c>
      <c r="P82" s="104">
        <f>IF(DIAG!$T$54,($C$82*P35+$D$82),-1)</f>
        <v>-1</v>
      </c>
      <c r="Q82" s="104">
        <f>IF(DIAG!$T$54,($C$82*Q35+$D$82),-1)</f>
        <v>-1</v>
      </c>
      <c r="R82" s="104">
        <f>IF(DIAG!$T$54,($C$82*R35+$D$82),-1)</f>
        <v>-1</v>
      </c>
      <c r="S82" s="104">
        <f>IF(DIAG!$T$54,($C$82*S35+$D$82),-1)</f>
        <v>-1</v>
      </c>
      <c r="T82" s="104">
        <f>IF(DIAG!$T$54,($C$82*T35+$D$82),-1)</f>
        <v>-1</v>
      </c>
      <c r="U82" s="104">
        <f>IF(DIAG!$T$54,($C$82*U35+$D$82),-1)</f>
        <v>-1</v>
      </c>
      <c r="V82" s="104">
        <f>IF(DIAG!$T$54,($C$82*V35+$D$82),-1)</f>
        <v>-1</v>
      </c>
      <c r="W82" s="104">
        <f>IF(DIAG!$T$54,($C$82*W35+$D$82),-1)</f>
        <v>-1</v>
      </c>
      <c r="X82" s="104">
        <f>IF(DIAG!$T$54,($C$82*X35+$D$82),-1)</f>
        <v>-1</v>
      </c>
      <c r="Y82" s="104">
        <f>IF(DIAG!$T$54,($C$82*Y35+$D$82),-1)</f>
        <v>-1</v>
      </c>
      <c r="Z82" s="104">
        <f>IF(DIAG!$T$54,($C$82*Z35+$D$82),-1)</f>
        <v>-1</v>
      </c>
      <c r="AA82" s="104">
        <f>IF(DIAG!$T$54,($C$82*AA35+$D$82),-1)</f>
        <v>-1</v>
      </c>
      <c r="AB82" s="104">
        <f>IF(DIAG!$T$54,($C$82*AB35+$D$82),-1)</f>
        <v>-1</v>
      </c>
      <c r="AC82" s="104">
        <f>IF(DIAG!$T$54,($C$82*AC35+$D$82),-1)</f>
        <v>-1</v>
      </c>
      <c r="AD82" s="104">
        <f>IF(DIAG!$T$54,($C$82*AD35+$D$82),-1)</f>
        <v>-1</v>
      </c>
      <c r="AE82" s="104">
        <f>IF(DIAG!$T$54,($C$82*AE35+$D$82),-1)</f>
        <v>-1</v>
      </c>
      <c r="AF82" s="104">
        <f>IF(DIAG!$T$54,($C$82*AF35+$D$82),-1)</f>
        <v>-1</v>
      </c>
      <c r="AG82" s="104">
        <f>IF(DIAG!$T$54,($C$82*AG35+$D$82),-1)</f>
        <v>-1</v>
      </c>
      <c r="AH82" s="104">
        <f>IF(DIAG!$T$54,($C$82*AH35+$D$82),-1)</f>
        <v>-1</v>
      </c>
      <c r="AI82" s="105">
        <f>IF(DIAG!$T$54,($C$82*AI35+$D$82),-1)</f>
        <v>-1</v>
      </c>
    </row>
    <row r="83" spans="1:35">
      <c r="A83" s="111">
        <f>B83+1</f>
        <v>5</v>
      </c>
      <c r="B83" s="1">
        <v>4</v>
      </c>
      <c r="E83" s="104"/>
      <c r="AI83" s="98"/>
    </row>
    <row r="84" spans="1:35">
      <c r="A84" s="87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8"/>
    </row>
    <row r="85" spans="1:35">
      <c r="A85" s="87"/>
      <c r="AI85" s="98"/>
    </row>
    <row r="86" spans="1:35">
      <c r="A86" s="87"/>
      <c r="D86" s="2">
        <v>1</v>
      </c>
      <c r="E86" s="2">
        <v>2</v>
      </c>
      <c r="AI86" s="98"/>
    </row>
    <row r="87" spans="1:35">
      <c r="A87" s="87"/>
      <c r="B87" s="112" t="s">
        <v>5</v>
      </c>
      <c r="C87" s="113" t="s">
        <v>58</v>
      </c>
      <c r="D87" s="114" t="e">
        <f ca="1">D90</f>
        <v>#DIV/0!</v>
      </c>
      <c r="E87" s="115" t="e">
        <f ca="1">E91</f>
        <v>#DIV/0!</v>
      </c>
      <c r="G87" s="112" t="s">
        <v>7</v>
      </c>
      <c r="H87" s="113"/>
      <c r="I87" s="113"/>
      <c r="J87" s="113"/>
      <c r="K87" s="113"/>
      <c r="L87" s="113" t="s">
        <v>58</v>
      </c>
      <c r="M87" s="114" t="e">
        <f ca="1">M90</f>
        <v>#DIV/0!</v>
      </c>
      <c r="N87" s="115" t="e">
        <f ca="1">N91</f>
        <v>#DIV/0!</v>
      </c>
      <c r="P87" s="116" t="s">
        <v>6</v>
      </c>
      <c r="Q87" s="84" t="s">
        <v>58</v>
      </c>
      <c r="R87" s="99" t="e">
        <f ca="1">R90</f>
        <v>#DIV/0!</v>
      </c>
      <c r="S87" s="62" t="e">
        <f ca="1">S91</f>
        <v>#DIV/0!</v>
      </c>
      <c r="AI87" s="98"/>
    </row>
    <row r="88" spans="1:35">
      <c r="A88" s="87"/>
      <c r="B88" s="117"/>
      <c r="C88" s="118" t="s">
        <v>59</v>
      </c>
      <c r="D88" s="119" t="e">
        <f ca="1">C80*D87+D80</f>
        <v>#DIV/0!</v>
      </c>
      <c r="E88" s="120" t="e">
        <f ca="1">C80*E87+D80</f>
        <v>#DIV/0!</v>
      </c>
      <c r="G88" s="117"/>
      <c r="H88" s="118"/>
      <c r="I88" s="118"/>
      <c r="J88" s="118"/>
      <c r="K88" s="118"/>
      <c r="L88" s="118" t="s">
        <v>59</v>
      </c>
      <c r="M88" s="119" t="e">
        <f ca="1">C81*M87+D81</f>
        <v>#DIV/0!</v>
      </c>
      <c r="N88" s="120" t="e">
        <f ca="1">C81*N87+D81</f>
        <v>#DIV/0!</v>
      </c>
      <c r="P88" s="87"/>
      <c r="Q88" s="2" t="s">
        <v>59</v>
      </c>
      <c r="R88" s="19" t="e">
        <f ca="1">C82*R87+D82</f>
        <v>#DIV/0!</v>
      </c>
      <c r="S88" s="88" t="e">
        <f ca="1">C82*S87+D82</f>
        <v>#DIV/0!</v>
      </c>
      <c r="AI88" s="98"/>
    </row>
    <row r="89" spans="1:35">
      <c r="A89" s="87"/>
      <c r="B89" s="117"/>
      <c r="C89" s="118"/>
      <c r="D89" s="119"/>
      <c r="E89" s="120"/>
      <c r="G89" s="117"/>
      <c r="H89" s="118"/>
      <c r="I89" s="118"/>
      <c r="J89" s="118"/>
      <c r="K89" s="118"/>
      <c r="L89" s="118"/>
      <c r="M89" s="119"/>
      <c r="N89" s="120"/>
      <c r="P89" s="87"/>
      <c r="S89" s="98"/>
      <c r="AI89" s="98"/>
    </row>
    <row r="90" spans="1:35">
      <c r="A90" s="87"/>
      <c r="B90" s="117" t="s">
        <v>8</v>
      </c>
      <c r="C90" s="118" t="s">
        <v>63</v>
      </c>
      <c r="D90" s="119" t="e">
        <f ca="1">(SQRT(D88^2-2*D88+5)-2)/SQRT(3)</f>
        <v>#DIV/0!</v>
      </c>
      <c r="E90" s="120"/>
      <c r="G90" s="117" t="s">
        <v>8</v>
      </c>
      <c r="H90" s="118"/>
      <c r="I90" s="118"/>
      <c r="J90" s="118"/>
      <c r="K90" s="118"/>
      <c r="L90" s="118" t="s">
        <v>63</v>
      </c>
      <c r="M90" s="119" t="e">
        <f ca="1">(SQRT(M88^2-2*M88+5)-2)/SQRT(3)</f>
        <v>#DIV/0!</v>
      </c>
      <c r="N90" s="120"/>
      <c r="P90" s="87" t="s">
        <v>8</v>
      </c>
      <c r="Q90" s="2" t="s">
        <v>63</v>
      </c>
      <c r="R90" s="19" t="e">
        <f ca="1">(SQRT(R88^2-2*R88+5)-2)/SQRT(3)</f>
        <v>#DIV/0!</v>
      </c>
      <c r="S90" s="88"/>
      <c r="AI90" s="98"/>
    </row>
    <row r="91" spans="1:35">
      <c r="A91" s="87"/>
      <c r="B91" s="117" t="s">
        <v>9</v>
      </c>
      <c r="C91" s="118" t="s">
        <v>64</v>
      </c>
      <c r="D91" s="119"/>
      <c r="E91" s="120" t="e">
        <f ca="1">(SQRT(25*E88^2-10*E88+21)-6)/(5*SQRT(3))</f>
        <v>#DIV/0!</v>
      </c>
      <c r="G91" s="117" t="s">
        <v>9</v>
      </c>
      <c r="H91" s="118"/>
      <c r="I91" s="118"/>
      <c r="J91" s="118"/>
      <c r="K91" s="118"/>
      <c r="L91" s="118" t="s">
        <v>64</v>
      </c>
      <c r="M91" s="119"/>
      <c r="N91" s="120" t="e">
        <f ca="1">(SQRT(25*N88*N88-10*N88+21)-6)/(5*SQRT(3))</f>
        <v>#DIV/0!</v>
      </c>
      <c r="P91" s="87" t="s">
        <v>9</v>
      </c>
      <c r="Q91" s="2" t="s">
        <v>64</v>
      </c>
      <c r="R91" s="19"/>
      <c r="S91" s="88" t="e">
        <f ca="1">(SQRT(25*S88*S88-10*S88+21)-6)/(5*SQRT(3))</f>
        <v>#DIV/0!</v>
      </c>
      <c r="AI91" s="98"/>
    </row>
    <row r="92" spans="1:35">
      <c r="A92" s="87"/>
      <c r="B92" s="121" t="s">
        <v>65</v>
      </c>
      <c r="C92" s="122"/>
      <c r="D92" s="123" t="e">
        <f ca="1">SQRT((D87-E87)^2+(D88-E88)^2)</f>
        <v>#DIV/0!</v>
      </c>
      <c r="E92" s="124"/>
      <c r="G92" s="121" t="s">
        <v>65</v>
      </c>
      <c r="H92" s="122"/>
      <c r="I92" s="122"/>
      <c r="J92" s="122"/>
      <c r="K92" s="122"/>
      <c r="L92" s="122"/>
      <c r="M92" s="123" t="e">
        <f ca="1">SQRT((M87-N87)^2+(M88-N88)^2)</f>
        <v>#DIV/0!</v>
      </c>
      <c r="N92" s="124"/>
      <c r="P92" s="89" t="s">
        <v>65</v>
      </c>
      <c r="Q92" s="90"/>
      <c r="R92" s="125" t="e">
        <f ca="1">SQRT((R87-S87)^2+(R88-S88)^2)</f>
        <v>#DIV/0!</v>
      </c>
      <c r="S92" s="66"/>
      <c r="AI92" s="98"/>
    </row>
    <row r="93" spans="1:35">
      <c r="A93" s="87"/>
      <c r="D93" s="2">
        <v>3</v>
      </c>
      <c r="E93" s="2">
        <v>0</v>
      </c>
      <c r="AI93" s="98"/>
    </row>
    <row r="94" spans="1:35">
      <c r="A94" s="87"/>
      <c r="B94" s="112" t="s">
        <v>5</v>
      </c>
      <c r="C94" s="113" t="s">
        <v>58</v>
      </c>
      <c r="D94" s="114" t="e">
        <f ca="1">D97</f>
        <v>#DIV/0!</v>
      </c>
      <c r="E94" s="115">
        <f>-1/SQRT(3)</f>
        <v>-0.57735026918962584</v>
      </c>
      <c r="G94" s="112" t="s">
        <v>7</v>
      </c>
      <c r="H94" s="113"/>
      <c r="I94" s="113"/>
      <c r="J94" s="113"/>
      <c r="K94" s="113"/>
      <c r="L94" s="113" t="s">
        <v>58</v>
      </c>
      <c r="M94" s="114" t="e">
        <f ca="1">M97</f>
        <v>#DIV/0!</v>
      </c>
      <c r="N94" s="115">
        <f>1/SQRT(3)</f>
        <v>0.57735026918962584</v>
      </c>
      <c r="P94" s="116" t="s">
        <v>6</v>
      </c>
      <c r="Q94" s="84" t="s">
        <v>58</v>
      </c>
      <c r="R94" s="99" t="e">
        <f>(R95-D82)/C82</f>
        <v>#DIV/0!</v>
      </c>
      <c r="S94" s="62">
        <v>0</v>
      </c>
      <c r="AI94" s="98"/>
    </row>
    <row r="95" spans="1:35">
      <c r="A95" s="87"/>
      <c r="B95" s="117"/>
      <c r="C95" s="118" t="s">
        <v>59</v>
      </c>
      <c r="D95" s="119" t="e">
        <f ca="1">C80*D94+D80</f>
        <v>#DIV/0!</v>
      </c>
      <c r="E95" s="120">
        <v>0</v>
      </c>
      <c r="G95" s="117"/>
      <c r="H95" s="118"/>
      <c r="I95" s="118"/>
      <c r="J95" s="118"/>
      <c r="K95" s="118"/>
      <c r="L95" s="118" t="s">
        <v>59</v>
      </c>
      <c r="M95" s="119" t="e">
        <f ca="1">C81*M94+D81</f>
        <v>#DIV/0!</v>
      </c>
      <c r="N95" s="120">
        <v>0</v>
      </c>
      <c r="P95" s="87"/>
      <c r="Q95" s="2" t="s">
        <v>59</v>
      </c>
      <c r="R95" s="19">
        <f>R97</f>
        <v>0</v>
      </c>
      <c r="S95" s="88">
        <v>1</v>
      </c>
      <c r="AI95" s="98"/>
    </row>
    <row r="96" spans="1:35">
      <c r="A96" s="87"/>
      <c r="B96" s="117"/>
      <c r="C96" s="118"/>
      <c r="D96" s="119"/>
      <c r="E96" s="120"/>
      <c r="G96" s="117"/>
      <c r="H96" s="118"/>
      <c r="I96" s="118"/>
      <c r="J96" s="118"/>
      <c r="K96" s="118"/>
      <c r="L96" s="118"/>
      <c r="M96" s="119"/>
      <c r="N96" s="120"/>
      <c r="P96" s="87"/>
      <c r="R96" s="19"/>
      <c r="S96" s="88"/>
      <c r="AI96" s="98"/>
    </row>
    <row r="97" spans="1:35">
      <c r="A97" s="87"/>
      <c r="B97" s="117" t="s">
        <v>5</v>
      </c>
      <c r="C97" s="118" t="s">
        <v>63</v>
      </c>
      <c r="D97" s="119" t="e">
        <f ca="1">(1-D95)/SQRT(3)</f>
        <v>#DIV/0!</v>
      </c>
      <c r="E97" s="120"/>
      <c r="G97" s="117" t="s">
        <v>7</v>
      </c>
      <c r="H97" s="118"/>
      <c r="I97" s="118"/>
      <c r="J97" s="118"/>
      <c r="K97" s="118"/>
      <c r="L97" s="118" t="s">
        <v>63</v>
      </c>
      <c r="M97" s="119" t="e">
        <f ca="1">-(1-M95)/SQRT(3)</f>
        <v>#DIV/0!</v>
      </c>
      <c r="N97" s="120"/>
      <c r="P97" s="87" t="s">
        <v>6</v>
      </c>
      <c r="Q97" s="2" t="s">
        <v>66</v>
      </c>
      <c r="R97" s="19">
        <v>0</v>
      </c>
      <c r="S97" s="88"/>
      <c r="AI97" s="98"/>
    </row>
    <row r="98" spans="1:35">
      <c r="A98" s="87"/>
      <c r="B98" s="121" t="s">
        <v>65</v>
      </c>
      <c r="C98" s="122"/>
      <c r="D98" s="123" t="e">
        <f ca="1">SQRT((D94-E94)^2+(D95-E95)^2)</f>
        <v>#DIV/0!</v>
      </c>
      <c r="E98" s="124"/>
      <c r="G98" s="121" t="s">
        <v>65</v>
      </c>
      <c r="H98" s="122"/>
      <c r="I98" s="122"/>
      <c r="J98" s="122"/>
      <c r="K98" s="122"/>
      <c r="L98" s="122"/>
      <c r="M98" s="123" t="e">
        <f ca="1">SQRT((M94-N94)^2+(M95-N95)^2)</f>
        <v>#DIV/0!</v>
      </c>
      <c r="N98" s="124"/>
      <c r="P98" s="89" t="s">
        <v>65</v>
      </c>
      <c r="Q98" s="90"/>
      <c r="R98" s="125" t="e">
        <f>SQRT((R94-S94)^2+(R95-S95)^2)</f>
        <v>#DIV/0!</v>
      </c>
      <c r="S98" s="66"/>
      <c r="W98" s="2" t="e">
        <f ca="1">(SQRT(25*E88^2-10*E88+21)-6)/(5*SQRT(3))</f>
        <v>#DIV/0!</v>
      </c>
      <c r="AI98" s="98"/>
    </row>
    <row r="99" spans="1:35">
      <c r="A99" s="87"/>
      <c r="G99" s="2"/>
      <c r="H99" s="2"/>
      <c r="I99" s="2"/>
      <c r="J99" s="2"/>
      <c r="K99" s="2"/>
      <c r="AI99" s="98"/>
    </row>
    <row r="100" spans="1:35">
      <c r="A100" s="87"/>
      <c r="B100" s="112" t="s">
        <v>67</v>
      </c>
      <c r="C100" s="113"/>
      <c r="D100" s="126" t="e">
        <f ca="1">D92/D98</f>
        <v>#DIV/0!</v>
      </c>
      <c r="E100" s="127"/>
      <c r="G100" s="112" t="s">
        <v>68</v>
      </c>
      <c r="H100" s="113"/>
      <c r="I100" s="113"/>
      <c r="J100" s="113"/>
      <c r="K100" s="113"/>
      <c r="L100" s="113"/>
      <c r="M100" s="126" t="e">
        <f ca="1">M92/M98</f>
        <v>#DIV/0!</v>
      </c>
      <c r="N100" s="127"/>
      <c r="P100" s="2" t="s">
        <v>69</v>
      </c>
      <c r="R100" s="128" t="e">
        <f ca="1">R92/R98</f>
        <v>#DIV/0!</v>
      </c>
      <c r="AI100" s="98"/>
    </row>
    <row r="101" spans="1:35">
      <c r="A101" s="87"/>
      <c r="B101" s="117"/>
      <c r="C101" s="118"/>
      <c r="D101" s="129" t="s">
        <v>41</v>
      </c>
      <c r="E101" s="130" t="s">
        <v>43</v>
      </c>
      <c r="G101" s="131"/>
      <c r="H101" s="129"/>
      <c r="I101" s="129"/>
      <c r="J101" s="129"/>
      <c r="K101" s="129"/>
      <c r="L101" s="118"/>
      <c r="M101" s="129" t="s">
        <v>43</v>
      </c>
      <c r="N101" s="130" t="s">
        <v>41</v>
      </c>
      <c r="R101" s="1"/>
      <c r="S101" s="1"/>
      <c r="AI101" s="98"/>
    </row>
    <row r="102" spans="1:35">
      <c r="A102" s="87"/>
      <c r="B102" s="117"/>
      <c r="C102" s="118"/>
      <c r="D102" s="118" t="e">
        <f ca="1">SQRT((E87-E94)^2+(E88-E95)^2)</f>
        <v>#DIV/0!</v>
      </c>
      <c r="E102" s="132" t="e">
        <f ca="1">SQRT((D87-D94)^2+(D88-D95)^2)</f>
        <v>#DIV/0!</v>
      </c>
      <c r="G102" s="131"/>
      <c r="H102" s="129"/>
      <c r="I102" s="129"/>
      <c r="J102" s="129"/>
      <c r="K102" s="129"/>
      <c r="L102" s="118"/>
      <c r="M102" s="118" t="e">
        <f ca="1">SQRT((M87-N94)^2+(M88-N95)^2)</f>
        <v>#DIV/0!</v>
      </c>
      <c r="N102" s="132" t="e">
        <f ca="1">SQRT((N87-M94)^2+(N88-M95)^2)</f>
        <v>#DIV/0!</v>
      </c>
      <c r="AI102" s="98"/>
    </row>
    <row r="103" spans="1:35">
      <c r="A103" s="87"/>
      <c r="B103" s="121"/>
      <c r="C103" s="122"/>
      <c r="D103" s="133" t="e">
        <f ca="1">D102/D98</f>
        <v>#DIV/0!</v>
      </c>
      <c r="E103" s="134" t="e">
        <f ca="1">E102/D98</f>
        <v>#DIV/0!</v>
      </c>
      <c r="G103" s="135"/>
      <c r="H103" s="197"/>
      <c r="I103" s="197"/>
      <c r="J103" s="197"/>
      <c r="K103" s="197"/>
      <c r="L103" s="122"/>
      <c r="M103" s="133" t="e">
        <f ca="1">M102/M98</f>
        <v>#DIV/0!</v>
      </c>
      <c r="N103" s="134" t="e">
        <f ca="1">N102/M98</f>
        <v>#DIV/0!</v>
      </c>
      <c r="R103" s="136"/>
      <c r="S103" s="136"/>
      <c r="AI103" s="98"/>
    </row>
    <row r="104" spans="1:35">
      <c r="A104" s="87"/>
      <c r="AI104" s="98"/>
    </row>
    <row r="105" spans="1:35">
      <c r="A105" s="87"/>
      <c r="D105" s="97" t="e">
        <f ca="1">D100+D103+E103</f>
        <v>#DIV/0!</v>
      </c>
      <c r="M105" s="97" t="e">
        <f ca="1">M100+M103+N103</f>
        <v>#DIV/0!</v>
      </c>
      <c r="R105" s="97"/>
      <c r="AI105" s="98"/>
    </row>
    <row r="106" spans="1:35">
      <c r="A106" s="87"/>
      <c r="AI106" s="98"/>
    </row>
    <row r="107" spans="1:35">
      <c r="A107" s="87"/>
      <c r="AI107" s="98"/>
    </row>
    <row r="108" spans="1:35">
      <c r="A108" s="87"/>
      <c r="D108" s="137" t="e">
        <f ca="1">LOG(100*E103)</f>
        <v>#DIV/0!</v>
      </c>
      <c r="M108" s="137" t="e">
        <f ca="1">LOG(100*N103)</f>
        <v>#DIV/0!</v>
      </c>
      <c r="AI108" s="98"/>
    </row>
    <row r="109" spans="1:35">
      <c r="A109" s="87"/>
      <c r="D109" s="137" t="e">
        <f ca="1">LOG(100*D100)</f>
        <v>#DIV/0!</v>
      </c>
      <c r="M109" s="137" t="e">
        <f ca="1">LOG(100*M100)</f>
        <v>#DIV/0!</v>
      </c>
      <c r="AI109" s="98"/>
    </row>
    <row r="110" spans="1:35">
      <c r="A110" s="89"/>
      <c r="B110" s="90"/>
      <c r="C110" s="90"/>
      <c r="D110" s="138" t="e">
        <f ca="1">LOG(100*D103)</f>
        <v>#DIV/0!</v>
      </c>
      <c r="E110" s="90"/>
      <c r="F110" s="90"/>
      <c r="G110" s="91"/>
      <c r="H110" s="91"/>
      <c r="I110" s="91"/>
      <c r="J110" s="91"/>
      <c r="K110" s="91"/>
      <c r="L110" s="90"/>
      <c r="M110" s="138" t="e">
        <f ca="1">LOG(100*M103)</f>
        <v>#DIV/0!</v>
      </c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2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70</v>
      </c>
    </row>
    <row r="2" spans="1:1">
      <c r="A2" t="s">
        <v>71</v>
      </c>
    </row>
    <row r="20" spans="5:5">
      <c r="E20" s="225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Entrada de Dados</vt:lpstr>
      <vt:lpstr>Entrada_de_Dados_2</vt:lpstr>
      <vt:lpstr>Diagrama</vt:lpstr>
      <vt:lpstr>Espelho</vt:lpstr>
      <vt:lpstr>CAPA!Area_de_impressao</vt:lpstr>
      <vt:lpstr>Diagrama!Area_de_impressao</vt:lpstr>
      <vt:lpstr>'Entrada de Dados'!Titulos_de_impressao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2003-11-20T14:54:09Z</cp:lastPrinted>
  <dcterms:created xsi:type="dcterms:W3CDTF">2003-07-04T14:12:44Z</dcterms:created>
  <dcterms:modified xsi:type="dcterms:W3CDTF">2023-02-10T01:44:16Z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