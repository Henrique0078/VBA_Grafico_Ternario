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F1EB34D5-6562-4303-A69B-C4C73E9ABE6E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A1" i="1" l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Y37" i="6" s="1"/>
  <c r="Z35" i="6"/>
  <c r="Z37" i="6" s="1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Y78" i="6"/>
  <c r="Z78" i="6"/>
  <c r="AA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78" i="6" l="1"/>
  <c r="V78" i="6"/>
  <c r="AC78" i="6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<sst xmlns="http://schemas.openxmlformats.org/spreadsheetml/2006/main" count="398" uniqueCount="125">
  <si>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</si>
  <si>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</si>
  <si>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</si>
  <si>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</si>
  <si>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</si>
  <si>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</si>
  <si>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</si>
  <si>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</si>
  <si>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</si>
  <si>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</si>
  <si>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</si>
  <si>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</si>
  <si>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</si>
  <si>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</si>
  <si>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</si>
  <si>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</si>
  <si>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</si>
  <si>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</si>
  <si>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</si>
  <si>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</si>
  <si>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</si>
  <si>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</si>
  <si>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</si>
  <si>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</si>
  <si>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</si>
  <si>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</si>
  <si>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</si>
  <si>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</si>
  <si>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</si>
  <si>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</si>
  <si>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</si>
  <si>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</si>
  <si>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</si>
  <si>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</si>
  <si>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</si>
  <si>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</si>
  <si>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</si>
  <si>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</si>
  <si>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</si>
  <si>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</si>
  <si>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</si>
  <si>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</si>
  <si>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</si>
  <si>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</si>
  <si>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</si>
  <si>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</si>
  <si>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</si>
  <si>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</si>
  <si>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</si>
  <si>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</si>
  <si>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</si>
  <si>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</si>
  <si>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</si>
  <si>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</si>
  <si>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</si>
  <si>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</si>
  <si>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</si>
  <si>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</si>
  <si>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</si>
  <si>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</si>
  <si>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</si>
  <si>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</si>
  <si>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</si>
  <si>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</si>
  <si>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</si>
  <si>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</si>
  <si>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</si>
  <si>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</si>
  <si>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</si>
  <si>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</si>
  <si>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</si>
  <si>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</si>
  <si>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</si>
  <si>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</si>
  <si>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</si>
  <si>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</si>
  <si>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</si>
  <si>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</si>
  <si>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</si>
  <si>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</si>
  <si>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</si>
  <si>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</si>
  <si>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</si>
  <si>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</si>
  <si>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</si>
  <si>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</si>
  <si>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</si>
  <si>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</si>
  <si>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</si>
  <si>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</si>
  <si>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</si>
  <si>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</si>
  <si>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</si>
  <si>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</si>
  <si>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</si>
  <si>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</si>
  <si>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</si>
  <si>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</si>
  <si>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</si>
  <si>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</si>
  <si>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</si>
  <si>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</si>
  <si>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</si>
  <si>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</si>
  <si>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</si>
  <si>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</si>
  <si>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</si>
  <si>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</si>
  <si>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</si>
  <si>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</si>
  <si>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</si>
  <si>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</si>
  <si>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</si>
  <si>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</si>
  <si>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</si>
  <si>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</si>
  <si>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</si>
  <si>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</si>
  <si>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</si>
  <si>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</si>
  <si>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</si>
  <si>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</si>
  <si>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</si>
  <si>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E:\André\testes\teste 3 pontos.eMe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</si>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</sst>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  <xf numFmtId="0" fontId="7" fillId="12" borderId="0" xfId="0" applyFont="1" applyFill="1" applyBorder="1"/>
    <xf numFmtId="0" fontId="19" fillId="12" borderId="0" xfId="0" applyFont="1" applyFill="1" applyBorder="1"/>
    <xf numFmtId="0" fontId="19" fillId="12" borderId="0" xfId="0" applyFont="1" applyFill="1" applyBorder="1" applyAlignment="1">
      <alignment horizontal="center"/>
    </xf>
    <xf numFmtId="0" fontId="20" fillId="12" borderId="0" xfId="0" applyFont="1" applyFill="1" applyBorder="1"/>
    <xf numFmtId="164" fontId="7" fillId="12" borderId="0" xfId="0" applyNumberFormat="1" applyFont="1" applyFill="1" applyBorder="1"/>
    <xf numFmtId="11" fontId="7" fillId="12" borderId="0" xfId="0" applyNumberFormat="1" applyFont="1" applyFill="1" applyBorder="1"/>
    <xf numFmtId="2" fontId="7" fillId="12" borderId="0" xfId="0" applyNumberFormat="1" applyFont="1" applyFill="1" applyBorder="1"/>
    <xf numFmtId="167" fontId="7" fillId="12" borderId="0" xfId="2" applyNumberFormat="1" applyFont="1" applyFill="1" applyBorder="1"/>
    <xf numFmtId="11" fontId="20" fillId="12" borderId="0" xfId="0" applyNumberFormat="1" applyFont="1" applyFill="1" applyBorder="1" applyAlignment="1">
      <alignment horizontal="center"/>
    </xf>
    <xf numFmtId="11" fontId="20" fillId="12" borderId="0" xfId="0" applyNumberFormat="1" applyFont="1" applyFill="1" applyBorder="1"/>
    <xf numFmtId="2" fontId="20" fillId="12" borderId="0" xfId="0" applyNumberFormat="1" applyFont="1" applyFill="1" applyBorder="1" applyAlignment="1">
      <alignment horizontal="center"/>
    </xf>
    <xf numFmtId="0" fontId="20" fillId="12" borderId="0" xfId="0" applyFont="1" applyFill="1" applyBorder="1" applyAlignment="1">
      <alignment horizontal="center"/>
    </xf>
    <xf numFmtId="2" fontId="20" fillId="12" borderId="0" xfId="0" applyNumberFormat="1" applyFont="1" applyFill="1" applyBorder="1"/>
    <xf numFmtId="164" fontId="20" fillId="12" borderId="0" xfId="0" applyNumberFormat="1" applyFont="1" applyFill="1" applyBorder="1" applyAlignment="1">
      <alignment horizontal="center"/>
    </xf>
    <xf numFmtId="164" fontId="20" fillId="12" borderId="0" xfId="0" applyNumberFormat="1" applyFont="1" applyFill="1" applyBorder="1"/>
    <xf numFmtId="168" fontId="20" fillId="12" borderId="0" xfId="2" applyNumberFormat="1" applyFont="1" applyFill="1" applyBorder="1" applyAlignment="1">
      <alignment horizontal="center"/>
    </xf>
    <xf numFmtId="0" fontId="7" fillId="12" borderId="0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-3.0098829199459155E-2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0.36492890995260663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1.4314469484040389E-2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0.32644628099173556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3-c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0.42953468822240243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4.1164658634538151E-2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RowColHeaders="0" showZeros="0" tabSelected="1" zoomScale="73" zoomScaleNormal="73" workbookViewId="0">
      <selection activeCell="O24" sqref="O24"/>
    </sheetView>
  </sheetViews>
  <sheetFormatPr defaultRowHeight="12.75" x14ac:dyDescent="0.2"/>
  <cols>
    <col min="1" max="1" width="8.875" style="241" customWidth="1"/>
    <col min="2" max="9" width="9" style="241"/>
    <col min="10" max="10" width="11.875" style="241" customWidth="1"/>
    <col min="11" max="11" width="9" style="241"/>
    <col min="12" max="12" width="11.125" style="241" bestFit="1" customWidth="1"/>
    <col min="13" max="14" width="12.5" style="241" customWidth="1"/>
    <col min="15" max="15" width="9" style="241"/>
    <col min="16" max="16" width="15.375" style="241" customWidth="1"/>
    <col min="17" max="17" width="7" style="241" customWidth="1"/>
    <col min="18" max="18" width="15.25" style="241" bestFit="1" customWidth="1"/>
    <col min="19" max="19" width="3.625" style="257" customWidth="1"/>
    <col min="20" max="22" width="13.25" style="257" customWidth="1"/>
    <col min="23" max="23" width="9.5" style="241" customWidth="1"/>
    <col min="24" max="25" width="10.25" style="241" customWidth="1"/>
    <col min="26" max="26" width="12.625" style="241" customWidth="1"/>
    <col min="27" max="27" width="11.25" style="241" customWidth="1"/>
    <col min="28" max="28" width="10.75" style="241" customWidth="1"/>
    <col min="29" max="29" width="9.75" style="241" customWidth="1"/>
    <col min="30" max="30" width="10.25" style="241" customWidth="1"/>
    <col min="31" max="31" width="11.375" style="241" customWidth="1"/>
    <col min="32" max="32" width="11.25" style="241" customWidth="1"/>
    <col min="33" max="33" width="7.375" style="241" customWidth="1"/>
    <col min="34" max="34" width="6.125" style="241" customWidth="1"/>
    <col min="35" max="45" width="2.75" style="241" customWidth="1"/>
    <col min="46" max="16384" width="9" style="241"/>
  </cols>
  <sheetData>
    <row r="1" spans="8:46" ht="27" customHeight="1" x14ac:dyDescent="0.2">
      <c r="O1" s="242"/>
      <c r="P1" s="242" t="s">
        <v>70</v>
      </c>
      <c r="Q1" s="242" t="s">
        <v>0</v>
      </c>
      <c r="R1" s="242" t="s">
        <v>21</v>
      </c>
      <c r="S1" s="243">
        <v>1</v>
      </c>
      <c r="T1" s="243" t="s">
        <v>58</v>
      </c>
      <c r="U1" s="243" t="s">
        <v>58</v>
      </c>
      <c r="V1" s="243" t="s">
        <v>58</v>
      </c>
      <c r="W1" s="242">
        <v>3</v>
      </c>
      <c r="X1" s="244" t="b">
        <v>1</v>
      </c>
      <c r="Y1" s="244" t="b">
        <v>0</v>
      </c>
      <c r="Z1" s="242" t="b">
        <v>0</v>
      </c>
      <c r="AA1" s="242">
        <f>X1+Y1+Z1</f>
        <v>1</v>
      </c>
      <c r="AB1" s="242"/>
      <c r="AC1" s="242"/>
      <c r="AD1" s="242" t="s">
        <v>123</v>
      </c>
      <c r="AE1" s="242"/>
      <c r="AF1" s="242"/>
      <c r="AG1" s="242"/>
      <c r="AH1" s="242"/>
      <c r="AI1" s="242"/>
      <c r="AJ1" s="242"/>
      <c r="AK1" s="242"/>
      <c r="AL1" s="242"/>
      <c r="AM1" s="242"/>
      <c r="AN1" s="242"/>
      <c r="AO1" s="242"/>
      <c r="AP1" s="242"/>
      <c r="AQ1" s="242"/>
      <c r="AR1" s="242"/>
      <c r="AS1" s="242"/>
      <c r="AT1" s="242" t="s">
        <v>5</v>
      </c>
    </row>
    <row r="2" spans="8:46" x14ac:dyDescent="0.2">
      <c r="O2" s="242"/>
      <c r="P2" s="242"/>
      <c r="Q2" s="242"/>
      <c r="R2" s="242"/>
      <c r="S2" s="243">
        <v>2</v>
      </c>
      <c r="T2" s="243" t="s">
        <v>59</v>
      </c>
      <c r="U2" s="243" t="s">
        <v>59</v>
      </c>
      <c r="V2" s="243" t="s">
        <v>59</v>
      </c>
      <c r="W2" s="242"/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 t="s">
        <v>7</v>
      </c>
    </row>
    <row r="3" spans="8:46" x14ac:dyDescent="0.2">
      <c r="O3" s="242"/>
      <c r="P3" s="242"/>
      <c r="Q3" s="242"/>
      <c r="R3" s="242" t="s">
        <v>86</v>
      </c>
      <c r="S3" s="243">
        <v>3</v>
      </c>
      <c r="T3" s="243" t="s">
        <v>124</v>
      </c>
      <c r="U3" s="243" t="s">
        <v>124</v>
      </c>
      <c r="V3" s="243" t="s">
        <v>124</v>
      </c>
      <c r="W3" s="242"/>
      <c r="X3" s="242"/>
      <c r="Y3" s="242"/>
      <c r="Z3" s="242"/>
      <c r="AA3" s="242"/>
      <c r="AB3" s="242"/>
      <c r="AC3" s="242"/>
      <c r="AD3" s="242"/>
      <c r="AE3" s="242"/>
      <c r="AF3" s="242"/>
      <c r="AG3" s="242"/>
      <c r="AH3" s="242"/>
      <c r="AI3" s="242"/>
      <c r="AJ3" s="242"/>
      <c r="AK3" s="242"/>
      <c r="AL3" s="242"/>
      <c r="AM3" s="242"/>
      <c r="AN3" s="242"/>
      <c r="AO3" s="242"/>
      <c r="AP3" s="242"/>
      <c r="AQ3" s="242"/>
      <c r="AR3" s="242"/>
      <c r="AS3" s="242"/>
      <c r="AT3" s="242" t="s">
        <v>6</v>
      </c>
    </row>
    <row r="4" spans="8:46" x14ac:dyDescent="0.2">
      <c r="O4" s="242"/>
      <c r="P4" s="242"/>
      <c r="Q4" s="242"/>
      <c r="R4" s="242"/>
      <c r="S4" s="243">
        <v>4</v>
      </c>
      <c r="T4" s="243">
        <v>0</v>
      </c>
      <c r="U4" s="243">
        <v>0</v>
      </c>
      <c r="V4" s="243">
        <v>0</v>
      </c>
      <c r="W4" s="242"/>
      <c r="X4" s="242" t="s">
        <v>98</v>
      </c>
      <c r="Y4" s="242"/>
      <c r="Z4" s="242"/>
      <c r="AA4" s="242"/>
      <c r="AB4" s="242"/>
      <c r="AC4" s="242"/>
      <c r="AD4" s="242"/>
      <c r="AE4" s="242"/>
      <c r="AF4" s="242"/>
      <c r="AG4" s="242"/>
      <c r="AH4" s="242"/>
      <c r="AI4" s="242"/>
      <c r="AJ4" s="242"/>
      <c r="AK4" s="242"/>
      <c r="AL4" s="242"/>
      <c r="AM4" s="242"/>
      <c r="AN4" s="242"/>
      <c r="AO4" s="242"/>
      <c r="AP4" s="242"/>
      <c r="AQ4" s="242"/>
      <c r="AR4" s="242"/>
      <c r="AS4" s="242"/>
      <c r="AT4" s="242" t="s">
        <v>92</v>
      </c>
    </row>
    <row r="5" spans="8:46" x14ac:dyDescent="0.2">
      <c r="O5" s="242"/>
      <c r="P5" s="242"/>
      <c r="Q5" s="242"/>
      <c r="R5" s="242"/>
      <c r="S5" s="243">
        <v>5</v>
      </c>
      <c r="T5" s="243">
        <v>0</v>
      </c>
      <c r="U5" s="243">
        <v>0</v>
      </c>
      <c r="V5" s="243">
        <v>0</v>
      </c>
      <c r="W5" s="242"/>
      <c r="X5" s="242" t="s">
        <v>106</v>
      </c>
      <c r="Y5" s="242" t="s">
        <v>109</v>
      </c>
      <c r="Z5" s="242" t="s">
        <v>108</v>
      </c>
      <c r="AA5" s="242"/>
      <c r="AB5" s="242"/>
      <c r="AC5" s="242"/>
      <c r="AD5" s="242"/>
      <c r="AE5" s="242"/>
      <c r="AF5" s="242"/>
      <c r="AG5" s="242"/>
      <c r="AH5" s="242"/>
      <c r="AI5" s="242"/>
      <c r="AJ5" s="242"/>
      <c r="AK5" s="242"/>
      <c r="AL5" s="242"/>
      <c r="AM5" s="242"/>
      <c r="AN5" s="242"/>
      <c r="AO5" s="242"/>
      <c r="AP5" s="242"/>
      <c r="AQ5" s="242"/>
      <c r="AR5" s="242"/>
      <c r="AS5" s="242"/>
      <c r="AT5" s="242"/>
    </row>
    <row r="6" spans="8:46" x14ac:dyDescent="0.2">
      <c r="O6" s="242"/>
      <c r="P6" s="242"/>
      <c r="Q6" s="242"/>
      <c r="R6" s="242"/>
      <c r="S6" s="243">
        <v>6</v>
      </c>
      <c r="T6" s="243">
        <v>0</v>
      </c>
      <c r="U6" s="243">
        <v>0</v>
      </c>
      <c r="V6" s="243">
        <v>0</v>
      </c>
      <c r="W6" s="242"/>
      <c r="X6" s="242" t="b">
        <v>0</v>
      </c>
      <c r="Y6" s="242" t="b">
        <v>0</v>
      </c>
      <c r="Z6" s="242" t="b">
        <v>0</v>
      </c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  <c r="AS6" s="242"/>
      <c r="AT6" s="242"/>
    </row>
    <row r="7" spans="8:46" x14ac:dyDescent="0.2">
      <c r="O7" s="242"/>
      <c r="P7" s="242"/>
      <c r="Q7" s="242"/>
      <c r="R7" s="242"/>
      <c r="S7" s="243">
        <v>7</v>
      </c>
      <c r="T7" s="243">
        <v>0</v>
      </c>
      <c r="U7" s="243">
        <v>0</v>
      </c>
      <c r="V7" s="243">
        <v>0</v>
      </c>
      <c r="W7" s="242"/>
      <c r="X7" s="242"/>
      <c r="Y7" s="242"/>
      <c r="Z7" s="242"/>
      <c r="AA7" s="242"/>
      <c r="AB7" s="242"/>
      <c r="AC7" s="242"/>
      <c r="AD7" s="242"/>
      <c r="AE7" s="242"/>
      <c r="AF7" s="242"/>
      <c r="AG7" s="242"/>
      <c r="AH7" s="242"/>
      <c r="AI7" s="242"/>
      <c r="AJ7" s="242"/>
      <c r="AK7" s="242"/>
      <c r="AL7" s="242"/>
      <c r="AM7" s="242"/>
      <c r="AN7" s="242"/>
      <c r="AO7" s="242"/>
      <c r="AP7" s="242"/>
      <c r="AQ7" s="242"/>
      <c r="AR7" s="242"/>
      <c r="AS7" s="242"/>
      <c r="AT7" s="242"/>
    </row>
    <row r="8" spans="8:46" x14ac:dyDescent="0.2">
      <c r="O8" s="242"/>
      <c r="P8" s="242"/>
      <c r="Q8" s="242"/>
      <c r="R8" s="242"/>
      <c r="S8" s="243">
        <v>8</v>
      </c>
      <c r="T8" s="243">
        <v>0</v>
      </c>
      <c r="U8" s="243">
        <v>0</v>
      </c>
      <c r="V8" s="243">
        <v>0</v>
      </c>
      <c r="W8" s="242"/>
      <c r="X8" s="242"/>
      <c r="Y8" s="242"/>
      <c r="Z8" s="242"/>
      <c r="AA8" s="242"/>
      <c r="AB8" s="242"/>
      <c r="AC8" s="242"/>
      <c r="AD8" s="242"/>
      <c r="AE8" s="242"/>
      <c r="AF8" s="242"/>
      <c r="AG8" s="242"/>
      <c r="AH8" s="242"/>
      <c r="AI8" s="242"/>
      <c r="AJ8" s="242"/>
      <c r="AK8" s="242"/>
      <c r="AL8" s="242"/>
      <c r="AM8" s="242"/>
      <c r="AN8" s="242"/>
      <c r="AO8" s="242"/>
      <c r="AP8" s="242"/>
      <c r="AQ8" s="242"/>
      <c r="AR8" s="242"/>
      <c r="AS8" s="242"/>
      <c r="AT8" s="242"/>
    </row>
    <row r="9" spans="8:46" x14ac:dyDescent="0.2">
      <c r="O9" s="242"/>
      <c r="P9" s="242"/>
      <c r="Q9" s="242"/>
      <c r="R9" s="242"/>
      <c r="S9" s="243">
        <v>9</v>
      </c>
      <c r="T9" s="243">
        <v>0</v>
      </c>
      <c r="U9" s="243">
        <v>0</v>
      </c>
      <c r="V9" s="243">
        <v>0</v>
      </c>
      <c r="W9" s="242"/>
      <c r="X9" s="242"/>
      <c r="Y9" s="242"/>
      <c r="Z9" s="242"/>
      <c r="AA9" s="242"/>
      <c r="AB9" s="242"/>
      <c r="AC9" s="242"/>
      <c r="AD9" s="242"/>
      <c r="AE9" s="242"/>
      <c r="AF9" s="242"/>
      <c r="AG9" s="242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</row>
    <row r="10" spans="8:46" x14ac:dyDescent="0.2">
      <c r="O10" s="242"/>
      <c r="P10" s="242"/>
      <c r="Q10" s="242"/>
      <c r="R10" s="242"/>
      <c r="S10" s="243">
        <v>10</v>
      </c>
      <c r="T10" s="243">
        <v>0</v>
      </c>
      <c r="U10" s="243">
        <v>0</v>
      </c>
      <c r="V10" s="243">
        <v>0</v>
      </c>
      <c r="W10" s="242"/>
      <c r="X10" s="242"/>
      <c r="Y10" s="242"/>
      <c r="Z10" s="242"/>
      <c r="AA10" s="242"/>
      <c r="AB10" s="242"/>
      <c r="AC10" s="242"/>
      <c r="AD10" s="242"/>
      <c r="AE10" s="242"/>
      <c r="AF10" s="242"/>
      <c r="AG10" s="242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</row>
    <row r="11" spans="8:46" x14ac:dyDescent="0.2">
      <c r="O11" s="242"/>
      <c r="P11" s="242"/>
      <c r="Q11" s="242"/>
      <c r="R11" s="242" t="s">
        <v>69</v>
      </c>
      <c r="S11" s="243">
        <v>1</v>
      </c>
      <c r="T11" s="243" t="b">
        <v>1</v>
      </c>
      <c r="U11" s="243" t="b">
        <v>1</v>
      </c>
      <c r="V11" s="243" t="b">
        <v>1</v>
      </c>
      <c r="W11" s="242"/>
      <c r="X11" s="242"/>
      <c r="Y11" s="242"/>
      <c r="Z11" s="242"/>
      <c r="AA11" s="242"/>
      <c r="AB11" s="242"/>
      <c r="AC11" s="242"/>
      <c r="AD11" s="242"/>
      <c r="AE11" s="242"/>
      <c r="AF11" s="242"/>
      <c r="AG11" s="242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</row>
    <row r="12" spans="8:46" x14ac:dyDescent="0.2">
      <c r="O12" s="242"/>
      <c r="P12" s="242"/>
      <c r="Q12" s="242"/>
      <c r="R12" s="242"/>
      <c r="S12" s="243">
        <v>2</v>
      </c>
      <c r="T12" s="243" t="b">
        <v>1</v>
      </c>
      <c r="U12" s="243" t="b">
        <v>1</v>
      </c>
      <c r="V12" s="243" t="b">
        <v>1</v>
      </c>
      <c r="W12" s="242"/>
      <c r="X12" s="242"/>
      <c r="Y12" s="242"/>
      <c r="Z12" s="242"/>
      <c r="AA12" s="242"/>
      <c r="AB12" s="242"/>
      <c r="AC12" s="242"/>
      <c r="AD12" s="242"/>
      <c r="AE12" s="242"/>
      <c r="AF12" s="242"/>
      <c r="AG12" s="242"/>
      <c r="AH12" s="242"/>
      <c r="AI12" s="242"/>
      <c r="AJ12" s="242"/>
      <c r="AK12" s="242"/>
      <c r="AL12" s="242"/>
      <c r="AM12" s="242"/>
      <c r="AN12" s="242"/>
      <c r="AO12" s="242"/>
      <c r="AP12" s="242"/>
      <c r="AQ12" s="242"/>
      <c r="AR12" s="242"/>
      <c r="AS12" s="242"/>
      <c r="AT12" s="242"/>
    </row>
    <row r="13" spans="8:46" x14ac:dyDescent="0.2">
      <c r="H13" s="245"/>
      <c r="I13" s="245"/>
      <c r="O13" s="242"/>
      <c r="P13" s="242"/>
      <c r="Q13" s="242"/>
      <c r="R13" s="242"/>
      <c r="S13" s="243">
        <v>3</v>
      </c>
      <c r="T13" s="243" t="b">
        <v>1</v>
      </c>
      <c r="U13" s="243" t="b">
        <v>1</v>
      </c>
      <c r="V13" s="243" t="b">
        <v>1</v>
      </c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</row>
    <row r="14" spans="8:46" x14ac:dyDescent="0.2">
      <c r="O14" s="242"/>
      <c r="P14" s="242"/>
      <c r="Q14" s="242"/>
      <c r="R14" s="242"/>
      <c r="S14" s="243">
        <v>4</v>
      </c>
      <c r="T14" s="243" t="b">
        <v>0</v>
      </c>
      <c r="U14" s="243" t="b">
        <v>0</v>
      </c>
      <c r="V14" s="243" t="b">
        <v>0</v>
      </c>
      <c r="W14" s="242"/>
      <c r="X14" s="242"/>
      <c r="Y14" s="242"/>
      <c r="Z14" s="242"/>
      <c r="AA14" s="242"/>
      <c r="AB14" s="242"/>
      <c r="AC14" s="242"/>
      <c r="AD14" s="242"/>
      <c r="AE14" s="242"/>
      <c r="AF14" s="242"/>
      <c r="AG14" s="242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</row>
    <row r="15" spans="8:46" x14ac:dyDescent="0.2">
      <c r="O15" s="242"/>
      <c r="P15" s="242"/>
      <c r="Q15" s="242"/>
      <c r="R15" s="242"/>
      <c r="S15" s="243">
        <v>5</v>
      </c>
      <c r="T15" s="243" t="b">
        <v>0</v>
      </c>
      <c r="U15" s="243" t="b">
        <v>0</v>
      </c>
      <c r="V15" s="243" t="b">
        <v>0</v>
      </c>
      <c r="W15" s="242"/>
      <c r="X15" s="242"/>
      <c r="Y15" s="242"/>
      <c r="Z15" s="242"/>
      <c r="AA15" s="242"/>
      <c r="AB15" s="242"/>
      <c r="AC15" s="242"/>
      <c r="AD15" s="242"/>
      <c r="AE15" s="242"/>
      <c r="AF15" s="242"/>
      <c r="AG15" s="242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</row>
    <row r="16" spans="8:46" x14ac:dyDescent="0.2">
      <c r="O16" s="242"/>
      <c r="P16" s="242"/>
      <c r="Q16" s="242"/>
      <c r="R16" s="242"/>
      <c r="S16" s="243">
        <v>6</v>
      </c>
      <c r="T16" s="243" t="b">
        <v>0</v>
      </c>
      <c r="U16" s="243" t="b">
        <v>0</v>
      </c>
      <c r="V16" s="243" t="b">
        <v>0</v>
      </c>
      <c r="W16" s="242"/>
      <c r="X16" s="242"/>
      <c r="Y16" s="242"/>
      <c r="Z16" s="242"/>
      <c r="AA16" s="242"/>
      <c r="AB16" s="242"/>
      <c r="AC16" s="242"/>
      <c r="AD16" s="242"/>
      <c r="AE16" s="242"/>
      <c r="AF16" s="242"/>
      <c r="AG16" s="242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</row>
    <row r="17" spans="1:46" x14ac:dyDescent="0.2">
      <c r="O17" s="242"/>
      <c r="P17" s="242"/>
      <c r="Q17" s="242"/>
      <c r="R17" s="242"/>
      <c r="S17" s="243">
        <v>7</v>
      </c>
      <c r="T17" s="243" t="b">
        <v>0</v>
      </c>
      <c r="U17" s="243" t="b">
        <v>0</v>
      </c>
      <c r="V17" s="243" t="b">
        <v>0</v>
      </c>
      <c r="W17" s="242"/>
      <c r="X17" s="242"/>
      <c r="Y17" s="242"/>
      <c r="Z17" s="242"/>
      <c r="AA17" s="242"/>
      <c r="AB17" s="242"/>
      <c r="AC17" s="242"/>
      <c r="AD17" s="242"/>
      <c r="AE17" s="242"/>
      <c r="AF17" s="242"/>
      <c r="AG17" s="242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</row>
    <row r="18" spans="1:46" x14ac:dyDescent="0.2">
      <c r="O18" s="242"/>
      <c r="P18" s="242"/>
      <c r="Q18" s="242"/>
      <c r="R18" s="242"/>
      <c r="S18" s="243">
        <v>8</v>
      </c>
      <c r="T18" s="243" t="b">
        <v>0</v>
      </c>
      <c r="U18" s="243" t="b">
        <v>0</v>
      </c>
      <c r="V18" s="243" t="b">
        <v>0</v>
      </c>
      <c r="W18" s="242"/>
      <c r="X18" s="242"/>
      <c r="Y18" s="242"/>
      <c r="Z18" s="242"/>
      <c r="AA18" s="242"/>
      <c r="AB18" s="242"/>
      <c r="AC18" s="242"/>
      <c r="AD18" s="242"/>
      <c r="AE18" s="242"/>
      <c r="AF18" s="242"/>
      <c r="AG18" s="242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</row>
    <row r="19" spans="1:46" x14ac:dyDescent="0.2">
      <c r="O19" s="242"/>
      <c r="P19" s="242"/>
      <c r="Q19" s="242"/>
      <c r="R19" s="242"/>
      <c r="S19" s="243">
        <v>9</v>
      </c>
      <c r="T19" s="243" t="b">
        <v>0</v>
      </c>
      <c r="U19" s="243" t="b">
        <v>0</v>
      </c>
      <c r="V19" s="243" t="b">
        <v>0</v>
      </c>
      <c r="W19" s="242"/>
      <c r="X19" s="242"/>
      <c r="Y19" s="242"/>
      <c r="Z19" s="242"/>
      <c r="AA19" s="242"/>
      <c r="AB19" s="242"/>
      <c r="AC19" s="242"/>
      <c r="AD19" s="242"/>
      <c r="AE19" s="242"/>
      <c r="AF19" s="242"/>
      <c r="AG19" s="242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</row>
    <row r="20" spans="1:46" x14ac:dyDescent="0.2">
      <c r="O20" s="242"/>
      <c r="P20" s="242"/>
      <c r="Q20" s="242"/>
      <c r="R20" s="242"/>
      <c r="S20" s="243">
        <v>10</v>
      </c>
      <c r="T20" s="243" t="b">
        <v>0</v>
      </c>
      <c r="U20" s="243" t="b">
        <v>0</v>
      </c>
      <c r="V20" s="243" t="b">
        <v>0</v>
      </c>
      <c r="W20" s="242"/>
      <c r="X20" s="242"/>
      <c r="Y20" s="242"/>
      <c r="Z20" s="242"/>
      <c r="AA20" s="242"/>
      <c r="AB20" s="242"/>
      <c r="AC20" s="242"/>
      <c r="AD20" s="242"/>
      <c r="AE20" s="242"/>
      <c r="AF20" s="242"/>
      <c r="AG20" s="242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</row>
    <row r="21" spans="1:46" x14ac:dyDescent="0.2">
      <c r="O21" s="242"/>
      <c r="P21" s="242"/>
      <c r="Q21" s="242"/>
      <c r="R21" s="242" t="s">
        <v>1</v>
      </c>
      <c r="S21" s="243">
        <v>1</v>
      </c>
      <c r="T21" s="243" t="b">
        <v>0</v>
      </c>
      <c r="U21" s="243" t="b">
        <v>0</v>
      </c>
      <c r="V21" s="243" t="b">
        <v>0</v>
      </c>
      <c r="W21" s="242">
        <f>IF(T21,1,0)</f>
        <v>0</v>
      </c>
      <c r="X21" s="242">
        <f>IF(T22,1,0)</f>
        <v>0</v>
      </c>
      <c r="Y21" s="242">
        <f>IF(T23,1,0)</f>
        <v>0</v>
      </c>
      <c r="Z21" s="242">
        <f>IF(T24,1,0)</f>
        <v>0</v>
      </c>
      <c r="AA21" s="242">
        <f>IF(T25,1,0)</f>
        <v>0</v>
      </c>
      <c r="AB21" s="242">
        <f>IF(T26,1,0)</f>
        <v>0</v>
      </c>
      <c r="AC21" s="242">
        <f>IF(T27,1,0)</f>
        <v>0</v>
      </c>
      <c r="AD21" s="242">
        <f>IF(T28,1,0)</f>
        <v>0</v>
      </c>
      <c r="AE21" s="242">
        <f>IF(T29,1,0)</f>
        <v>0</v>
      </c>
      <c r="AF21" s="242">
        <f>IF(T30,1,0)</f>
        <v>0</v>
      </c>
      <c r="AG21" s="242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</row>
    <row r="22" spans="1:46" x14ac:dyDescent="0.2">
      <c r="B22" s="246"/>
      <c r="O22" s="242"/>
      <c r="P22" s="242"/>
      <c r="Q22" s="242"/>
      <c r="R22" s="242"/>
      <c r="S22" s="243">
        <v>2</v>
      </c>
      <c r="T22" s="243" t="b">
        <v>0</v>
      </c>
      <c r="U22" s="243" t="b">
        <v>0</v>
      </c>
      <c r="V22" s="243" t="b">
        <v>0</v>
      </c>
      <c r="W22" s="242"/>
      <c r="X22" s="242"/>
      <c r="Y22" s="242"/>
      <c r="Z22" s="242"/>
      <c r="AA22" s="242"/>
      <c r="AB22" s="242"/>
      <c r="AC22" s="242"/>
      <c r="AD22" s="242"/>
      <c r="AE22" s="242"/>
      <c r="AF22" s="242"/>
      <c r="AG22" s="242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</row>
    <row r="23" spans="1:46" x14ac:dyDescent="0.2">
      <c r="B23" s="246"/>
      <c r="O23" s="242"/>
      <c r="P23" s="242"/>
      <c r="Q23" s="242"/>
      <c r="R23" s="242"/>
      <c r="S23" s="243">
        <v>3</v>
      </c>
      <c r="T23" s="243" t="b">
        <v>0</v>
      </c>
      <c r="U23" s="243" t="b">
        <v>0</v>
      </c>
      <c r="V23" s="243" t="b">
        <v>0</v>
      </c>
      <c r="W23" s="242"/>
      <c r="X23" s="242"/>
      <c r="Y23" s="242"/>
      <c r="Z23" s="242"/>
      <c r="AA23" s="242"/>
      <c r="AB23" s="242"/>
      <c r="AC23" s="242"/>
      <c r="AD23" s="242"/>
      <c r="AE23" s="242"/>
      <c r="AF23" s="242"/>
      <c r="AG23" s="242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</row>
    <row r="24" spans="1:46" x14ac:dyDescent="0.2">
      <c r="B24" s="246"/>
      <c r="O24" s="242"/>
      <c r="P24" s="242"/>
      <c r="Q24" s="242"/>
      <c r="R24" s="242"/>
      <c r="S24" s="243">
        <v>4</v>
      </c>
      <c r="T24" s="243" t="b">
        <v>0</v>
      </c>
      <c r="U24" s="243" t="b">
        <v>0</v>
      </c>
      <c r="V24" s="243" t="b">
        <v>0</v>
      </c>
      <c r="W24" s="242"/>
      <c r="X24" s="242"/>
      <c r="Y24" s="242"/>
      <c r="Z24" s="242"/>
      <c r="AA24" s="242"/>
      <c r="AB24" s="242"/>
      <c r="AC24" s="242"/>
      <c r="AD24" s="242"/>
      <c r="AE24" s="242"/>
      <c r="AF24" s="242"/>
      <c r="AG24" s="242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</row>
    <row r="25" spans="1:46" x14ac:dyDescent="0.2">
      <c r="A25" s="246"/>
      <c r="B25" s="246"/>
      <c r="O25" s="242"/>
      <c r="P25" s="242"/>
      <c r="Q25" s="242"/>
      <c r="R25" s="242"/>
      <c r="S25" s="243">
        <v>5</v>
      </c>
      <c r="T25" s="243" t="b">
        <v>0</v>
      </c>
      <c r="U25" s="243" t="b">
        <v>0</v>
      </c>
      <c r="V25" s="243" t="b">
        <v>0</v>
      </c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</row>
    <row r="26" spans="1:46" x14ac:dyDescent="0.2">
      <c r="A26" s="247"/>
      <c r="B26" s="247"/>
      <c r="C26" s="247"/>
      <c r="D26" s="247"/>
      <c r="E26" s="247"/>
      <c r="O26" s="242"/>
      <c r="P26" s="242"/>
      <c r="Q26" s="242"/>
      <c r="R26" s="242"/>
      <c r="S26" s="243">
        <v>6</v>
      </c>
      <c r="T26" s="243" t="b">
        <v>0</v>
      </c>
      <c r="U26" s="243" t="b">
        <v>0</v>
      </c>
      <c r="V26" s="243" t="b">
        <v>0</v>
      </c>
      <c r="W26" s="242"/>
      <c r="X26" s="242"/>
      <c r="Y26" s="242"/>
      <c r="Z26" s="242"/>
      <c r="AA26" s="242"/>
      <c r="AB26" s="242"/>
      <c r="AC26" s="242"/>
      <c r="AD26" s="242"/>
      <c r="AE26" s="242"/>
      <c r="AF26" s="242"/>
      <c r="AG26" s="242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</row>
    <row r="27" spans="1:46" x14ac:dyDescent="0.2">
      <c r="A27" s="247"/>
      <c r="B27" s="247"/>
      <c r="C27" s="247"/>
      <c r="D27" s="247"/>
      <c r="E27" s="247"/>
      <c r="O27" s="242"/>
      <c r="P27" s="242"/>
      <c r="Q27" s="242"/>
      <c r="R27" s="242"/>
      <c r="S27" s="243">
        <v>7</v>
      </c>
      <c r="T27" s="243" t="b">
        <v>0</v>
      </c>
      <c r="U27" s="243" t="b">
        <v>0</v>
      </c>
      <c r="V27" s="243" t="b">
        <v>0</v>
      </c>
      <c r="W27" s="242"/>
      <c r="X27" s="242"/>
      <c r="Y27" s="242"/>
      <c r="Z27" s="242"/>
      <c r="AA27" s="242"/>
      <c r="AB27" s="242"/>
      <c r="AC27" s="242"/>
      <c r="AD27" s="242"/>
      <c r="AE27" s="242"/>
      <c r="AF27" s="242"/>
      <c r="AG27" s="242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</row>
    <row r="28" spans="1:46" x14ac:dyDescent="0.2">
      <c r="A28" s="247"/>
      <c r="B28" s="247"/>
      <c r="C28" s="247"/>
      <c r="D28" s="247"/>
      <c r="E28" s="247"/>
      <c r="O28" s="242"/>
      <c r="P28" s="242"/>
      <c r="Q28" s="242"/>
      <c r="R28" s="242"/>
      <c r="S28" s="243">
        <v>8</v>
      </c>
      <c r="T28" s="243" t="b">
        <v>0</v>
      </c>
      <c r="U28" s="243" t="b">
        <v>0</v>
      </c>
      <c r="V28" s="243" t="b">
        <v>0</v>
      </c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</row>
    <row r="29" spans="1:46" x14ac:dyDescent="0.2">
      <c r="A29" s="247"/>
      <c r="B29" s="247"/>
      <c r="C29" s="247"/>
      <c r="D29" s="247"/>
      <c r="E29" s="247"/>
      <c r="O29" s="242"/>
      <c r="P29" s="242"/>
      <c r="Q29" s="242"/>
      <c r="R29" s="242"/>
      <c r="S29" s="243">
        <v>9</v>
      </c>
      <c r="T29" s="243" t="b">
        <v>0</v>
      </c>
      <c r="U29" s="243" t="b">
        <v>0</v>
      </c>
      <c r="V29" s="243" t="b">
        <v>0</v>
      </c>
      <c r="W29" s="242"/>
      <c r="X29" s="242"/>
      <c r="Y29" s="242"/>
      <c r="Z29" s="242"/>
      <c r="AA29" s="242"/>
      <c r="AB29" s="242"/>
      <c r="AC29" s="242"/>
      <c r="AD29" s="242"/>
      <c r="AE29" s="242"/>
      <c r="AF29" s="242"/>
      <c r="AG29" s="242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</row>
    <row r="30" spans="1:46" x14ac:dyDescent="0.2">
      <c r="A30" s="248"/>
      <c r="B30" s="248"/>
      <c r="C30" s="248"/>
      <c r="O30" s="242"/>
      <c r="P30" s="242"/>
      <c r="Q30" s="242"/>
      <c r="R30" s="242"/>
      <c r="S30" s="243">
        <v>10</v>
      </c>
      <c r="T30" s="243" t="b">
        <v>0</v>
      </c>
      <c r="U30" s="243" t="b">
        <v>0</v>
      </c>
      <c r="V30" s="243" t="b">
        <v>0</v>
      </c>
      <c r="W30" s="242"/>
      <c r="X30" s="242"/>
      <c r="Y30" s="242"/>
      <c r="Z30" s="242"/>
      <c r="AA30" s="242"/>
      <c r="AB30" s="242"/>
      <c r="AC30" s="242"/>
      <c r="AD30" s="242"/>
      <c r="AE30" s="242"/>
      <c r="AF30" s="242"/>
      <c r="AG30" s="242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</row>
    <row r="31" spans="1:46" x14ac:dyDescent="0.2">
      <c r="O31" s="242"/>
      <c r="P31" s="242"/>
      <c r="Q31" s="242"/>
      <c r="R31" s="242" t="s">
        <v>2</v>
      </c>
      <c r="S31" s="243">
        <v>1</v>
      </c>
      <c r="T31" s="243">
        <v>1</v>
      </c>
      <c r="U31" s="243">
        <v>1</v>
      </c>
      <c r="V31" s="243">
        <v>1</v>
      </c>
      <c r="W31" s="242">
        <f>IF($T$41,T31,1)</f>
        <v>1</v>
      </c>
      <c r="X31" s="242">
        <f>IF($T$41,T32,1)</f>
        <v>1</v>
      </c>
      <c r="Y31" s="242">
        <f>IF($T$41,T33,1)</f>
        <v>1</v>
      </c>
      <c r="Z31" s="242">
        <f>IF($T$41,T34,1)</f>
        <v>1</v>
      </c>
      <c r="AA31" s="242">
        <f>IF($T$41,T35,1)</f>
        <v>1</v>
      </c>
      <c r="AB31" s="242">
        <f>IF($T$41,T36,1)</f>
        <v>1</v>
      </c>
      <c r="AC31" s="242">
        <f>IF($T$41,T37,1)</f>
        <v>1</v>
      </c>
      <c r="AD31" s="242">
        <f>IF($T$41,T38,1)</f>
        <v>1</v>
      </c>
      <c r="AE31" s="242">
        <f>IF($T$41,T39,1)</f>
        <v>1</v>
      </c>
      <c r="AF31" s="242">
        <f>IF($T$41,T40,1)</f>
        <v>1</v>
      </c>
      <c r="AG31" s="242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</row>
    <row r="32" spans="1:46" x14ac:dyDescent="0.2">
      <c r="O32" s="242"/>
      <c r="P32" s="242"/>
      <c r="Q32" s="242"/>
      <c r="R32" s="242"/>
      <c r="S32" s="243">
        <v>2</v>
      </c>
      <c r="T32" s="243">
        <v>1</v>
      </c>
      <c r="U32" s="243">
        <v>1</v>
      </c>
      <c r="V32" s="243">
        <v>1</v>
      </c>
      <c r="W32" s="242"/>
      <c r="X32" s="242"/>
      <c r="Y32" s="242"/>
      <c r="Z32" s="242"/>
      <c r="AA32" s="242"/>
      <c r="AB32" s="242"/>
      <c r="AC32" s="242"/>
      <c r="AD32" s="242"/>
      <c r="AE32" s="242"/>
      <c r="AF32" s="242"/>
      <c r="AG32" s="242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</row>
    <row r="33" spans="15:46" x14ac:dyDescent="0.2">
      <c r="O33" s="242"/>
      <c r="P33" s="242"/>
      <c r="Q33" s="242"/>
      <c r="R33" s="242"/>
      <c r="S33" s="243">
        <v>3</v>
      </c>
      <c r="T33" s="243">
        <v>1</v>
      </c>
      <c r="U33" s="243">
        <v>1</v>
      </c>
      <c r="V33" s="243">
        <v>1</v>
      </c>
      <c r="W33" s="242"/>
      <c r="X33" s="242"/>
      <c r="Y33" s="242"/>
      <c r="Z33" s="242"/>
      <c r="AA33" s="242"/>
      <c r="AB33" s="242"/>
      <c r="AC33" s="242"/>
      <c r="AD33" s="242"/>
      <c r="AE33" s="242"/>
      <c r="AF33" s="242"/>
      <c r="AG33" s="242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</row>
    <row r="34" spans="15:46" x14ac:dyDescent="0.2">
      <c r="O34" s="242"/>
      <c r="P34" s="242"/>
      <c r="Q34" s="242"/>
      <c r="R34" s="242"/>
      <c r="S34" s="243">
        <v>4</v>
      </c>
      <c r="T34" s="243">
        <v>1</v>
      </c>
      <c r="U34" s="243">
        <v>1</v>
      </c>
      <c r="V34" s="243">
        <v>1</v>
      </c>
      <c r="W34" s="242"/>
      <c r="X34" s="242"/>
      <c r="Y34" s="242"/>
      <c r="Z34" s="242"/>
      <c r="AA34" s="242"/>
      <c r="AB34" s="242"/>
      <c r="AC34" s="242"/>
      <c r="AD34" s="242"/>
      <c r="AE34" s="242"/>
      <c r="AF34" s="242"/>
      <c r="AG34" s="242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</row>
    <row r="35" spans="15:46" x14ac:dyDescent="0.2">
      <c r="O35" s="242"/>
      <c r="P35" s="242"/>
      <c r="Q35" s="242"/>
      <c r="R35" s="242"/>
      <c r="S35" s="243">
        <v>5</v>
      </c>
      <c r="T35" s="243">
        <v>1</v>
      </c>
      <c r="U35" s="243">
        <v>1</v>
      </c>
      <c r="V35" s="243">
        <v>1</v>
      </c>
      <c r="W35" s="242"/>
      <c r="X35" s="242"/>
      <c r="Y35" s="242"/>
      <c r="Z35" s="242"/>
      <c r="AA35" s="242"/>
      <c r="AB35" s="242"/>
      <c r="AC35" s="242"/>
      <c r="AD35" s="242"/>
      <c r="AE35" s="242"/>
      <c r="AF35" s="242"/>
      <c r="AG35" s="242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</row>
    <row r="36" spans="15:46" x14ac:dyDescent="0.2">
      <c r="O36" s="242"/>
      <c r="P36" s="242"/>
      <c r="Q36" s="242"/>
      <c r="R36" s="242"/>
      <c r="S36" s="243">
        <v>6</v>
      </c>
      <c r="T36" s="243">
        <v>1</v>
      </c>
      <c r="U36" s="243">
        <v>1</v>
      </c>
      <c r="V36" s="243">
        <v>1</v>
      </c>
      <c r="W36" s="242"/>
      <c r="X36" s="242"/>
      <c r="Y36" s="242"/>
      <c r="Z36" s="242"/>
      <c r="AA36" s="242"/>
      <c r="AB36" s="242"/>
      <c r="AC36" s="242"/>
      <c r="AD36" s="242"/>
      <c r="AE36" s="242"/>
      <c r="AF36" s="242"/>
      <c r="AG36" s="242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</row>
    <row r="37" spans="15:46" x14ac:dyDescent="0.2">
      <c r="O37" s="242"/>
      <c r="P37" s="242"/>
      <c r="Q37" s="242"/>
      <c r="R37" s="242"/>
      <c r="S37" s="243">
        <v>7</v>
      </c>
      <c r="T37" s="243">
        <v>1</v>
      </c>
      <c r="U37" s="243">
        <v>1</v>
      </c>
      <c r="V37" s="243">
        <v>1</v>
      </c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</row>
    <row r="38" spans="15:46" x14ac:dyDescent="0.2">
      <c r="O38" s="242"/>
      <c r="P38" s="242"/>
      <c r="Q38" s="242"/>
      <c r="R38" s="242"/>
      <c r="S38" s="243">
        <v>8</v>
      </c>
      <c r="T38" s="243">
        <v>1</v>
      </c>
      <c r="U38" s="243">
        <v>1</v>
      </c>
      <c r="V38" s="243">
        <v>1</v>
      </c>
      <c r="W38" s="242"/>
      <c r="X38" s="242"/>
      <c r="Y38" s="242"/>
      <c r="Z38" s="242"/>
      <c r="AA38" s="242"/>
      <c r="AB38" s="242"/>
      <c r="AC38" s="242"/>
      <c r="AD38" s="242"/>
      <c r="AE38" s="242"/>
      <c r="AF38" s="242"/>
      <c r="AG38" s="242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</row>
    <row r="39" spans="15:46" x14ac:dyDescent="0.2">
      <c r="O39" s="242"/>
      <c r="P39" s="242"/>
      <c r="Q39" s="242"/>
      <c r="R39" s="242"/>
      <c r="S39" s="243">
        <v>9</v>
      </c>
      <c r="T39" s="243">
        <v>1</v>
      </c>
      <c r="U39" s="243">
        <v>1</v>
      </c>
      <c r="V39" s="243">
        <v>1</v>
      </c>
      <c r="W39" s="242"/>
      <c r="X39" s="242"/>
      <c r="Y39" s="242"/>
      <c r="Z39" s="242"/>
      <c r="AA39" s="242"/>
      <c r="AB39" s="242"/>
      <c r="AC39" s="242"/>
      <c r="AD39" s="242"/>
      <c r="AE39" s="242"/>
      <c r="AF39" s="242"/>
      <c r="AG39" s="242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</row>
    <row r="40" spans="15:46" x14ac:dyDescent="0.2">
      <c r="O40" s="242"/>
      <c r="P40" s="242"/>
      <c r="Q40" s="242"/>
      <c r="R40" s="242"/>
      <c r="S40" s="243">
        <v>10</v>
      </c>
      <c r="T40" s="243">
        <v>1</v>
      </c>
      <c r="U40" s="243">
        <v>1</v>
      </c>
      <c r="V40" s="243">
        <v>1</v>
      </c>
      <c r="W40" s="242"/>
      <c r="X40" s="242"/>
      <c r="Y40" s="242"/>
      <c r="Z40" s="242"/>
      <c r="AA40" s="242"/>
      <c r="AB40" s="242"/>
      <c r="AC40" s="242"/>
      <c r="AD40" s="242"/>
      <c r="AE40" s="242"/>
      <c r="AF40" s="242"/>
      <c r="AG40" s="242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</row>
    <row r="41" spans="15:46" x14ac:dyDescent="0.2">
      <c r="O41" s="242"/>
      <c r="P41" s="242"/>
      <c r="Q41" s="242"/>
      <c r="R41" s="242" t="s">
        <v>74</v>
      </c>
      <c r="S41" s="243">
        <v>0</v>
      </c>
      <c r="T41" s="243" t="b">
        <v>0</v>
      </c>
      <c r="U41" s="243" t="b">
        <v>0</v>
      </c>
      <c r="V41" s="243" t="b">
        <v>0</v>
      </c>
      <c r="W41" s="242"/>
      <c r="X41" s="243" t="s">
        <v>95</v>
      </c>
      <c r="Y41" s="242"/>
      <c r="Z41" s="242"/>
      <c r="AA41" s="242"/>
      <c r="AB41" s="242"/>
      <c r="AC41" s="242"/>
      <c r="AD41" s="242"/>
      <c r="AE41" s="242"/>
      <c r="AF41" s="242"/>
      <c r="AG41" s="242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</row>
    <row r="42" spans="15:46" x14ac:dyDescent="0.2">
      <c r="O42" s="242"/>
      <c r="P42" s="242"/>
      <c r="Q42" s="242" t="s">
        <v>3</v>
      </c>
      <c r="R42" s="242" t="s">
        <v>72</v>
      </c>
      <c r="S42" s="243" t="s">
        <v>5</v>
      </c>
      <c r="T42" s="243" t="b">
        <v>0</v>
      </c>
      <c r="U42" s="243" t="b">
        <v>0</v>
      </c>
      <c r="V42" s="243" t="b">
        <v>0</v>
      </c>
      <c r="W42" s="242"/>
      <c r="X42" s="244" t="b">
        <v>0</v>
      </c>
      <c r="Y42" s="242"/>
      <c r="Z42" s="242"/>
      <c r="AA42" s="242"/>
      <c r="AB42" s="242"/>
      <c r="AC42" s="242"/>
      <c r="AD42" s="242"/>
      <c r="AE42" s="242"/>
      <c r="AF42" s="242"/>
      <c r="AG42" s="242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</row>
    <row r="43" spans="15:46" x14ac:dyDescent="0.2">
      <c r="O43" s="242"/>
      <c r="P43" s="242"/>
      <c r="Q43" s="242"/>
      <c r="R43" s="242"/>
      <c r="S43" s="243" t="s">
        <v>6</v>
      </c>
      <c r="T43" s="243" t="b">
        <v>0</v>
      </c>
      <c r="U43" s="243" t="b">
        <v>0</v>
      </c>
      <c r="V43" s="243" t="b">
        <v>0</v>
      </c>
      <c r="W43" s="242"/>
      <c r="X43" s="243" t="s">
        <v>110</v>
      </c>
      <c r="Y43" s="242"/>
      <c r="Z43" s="242"/>
      <c r="AA43" s="242"/>
      <c r="AB43" s="242"/>
      <c r="AC43" s="242"/>
      <c r="AD43" s="242"/>
      <c r="AE43" s="242"/>
      <c r="AF43" s="242"/>
      <c r="AG43" s="242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</row>
    <row r="44" spans="15:46" x14ac:dyDescent="0.2">
      <c r="O44" s="242"/>
      <c r="P44" s="242"/>
      <c r="Q44" s="242"/>
      <c r="R44" s="242"/>
      <c r="S44" s="243" t="s">
        <v>7</v>
      </c>
      <c r="T44" s="243" t="b">
        <v>0</v>
      </c>
      <c r="U44" s="243" t="b">
        <v>0</v>
      </c>
      <c r="V44" s="243" t="b">
        <v>0</v>
      </c>
      <c r="W44" s="242"/>
      <c r="X44" s="244" t="b">
        <v>0</v>
      </c>
      <c r="Y44" s="242"/>
      <c r="Z44" s="242"/>
      <c r="AA44" s="242"/>
      <c r="AB44" s="242"/>
      <c r="AC44" s="242"/>
      <c r="AD44" s="242"/>
      <c r="AE44" s="242"/>
      <c r="AF44" s="242"/>
      <c r="AG44" s="242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</row>
    <row r="45" spans="15:46" x14ac:dyDescent="0.2">
      <c r="O45" s="242"/>
      <c r="P45" s="242"/>
      <c r="Q45" s="242"/>
      <c r="R45" s="242" t="s">
        <v>71</v>
      </c>
      <c r="S45" s="243" t="s">
        <v>5</v>
      </c>
      <c r="T45" s="243">
        <v>28</v>
      </c>
      <c r="U45" s="243">
        <v>28</v>
      </c>
      <c r="V45" s="243">
        <v>28</v>
      </c>
      <c r="W45" s="242"/>
      <c r="X45" s="242"/>
      <c r="Y45" s="242"/>
      <c r="Z45" s="242"/>
      <c r="AA45" s="242"/>
      <c r="AB45" s="242"/>
      <c r="AC45" s="242"/>
      <c r="AD45" s="242"/>
      <c r="AE45" s="242"/>
      <c r="AF45" s="242"/>
      <c r="AG45" s="242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</row>
    <row r="46" spans="15:46" x14ac:dyDescent="0.2">
      <c r="O46" s="242"/>
      <c r="P46" s="242"/>
      <c r="Q46" s="242"/>
      <c r="R46" s="242"/>
      <c r="S46" s="243" t="s">
        <v>6</v>
      </c>
      <c r="T46" s="243">
        <v>20</v>
      </c>
      <c r="U46" s="243">
        <v>20</v>
      </c>
      <c r="V46" s="243">
        <v>20</v>
      </c>
      <c r="W46" s="242"/>
      <c r="X46" s="242"/>
      <c r="Y46" s="242"/>
      <c r="Z46" s="242"/>
      <c r="AA46" s="242"/>
      <c r="AB46" s="242"/>
      <c r="AC46" s="242"/>
      <c r="AD46" s="242"/>
      <c r="AE46" s="242"/>
      <c r="AF46" s="242"/>
      <c r="AG46" s="242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</row>
    <row r="47" spans="15:46" x14ac:dyDescent="0.2">
      <c r="O47" s="242"/>
      <c r="P47" s="242"/>
      <c r="Q47" s="242"/>
      <c r="R47" s="242"/>
      <c r="S47" s="243" t="s">
        <v>7</v>
      </c>
      <c r="T47" s="243">
        <v>25</v>
      </c>
      <c r="U47" s="243">
        <v>25</v>
      </c>
      <c r="V47" s="243">
        <v>25</v>
      </c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242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</row>
    <row r="48" spans="15:46" x14ac:dyDescent="0.2">
      <c r="O48" s="242"/>
      <c r="P48" s="242"/>
      <c r="Q48" s="242" t="s">
        <v>22</v>
      </c>
      <c r="R48" s="242" t="s">
        <v>69</v>
      </c>
      <c r="S48" s="243">
        <v>1</v>
      </c>
      <c r="T48" s="243" t="b">
        <v>0</v>
      </c>
      <c r="U48" s="243" t="b">
        <v>0</v>
      </c>
      <c r="V48" s="243" t="b">
        <v>0</v>
      </c>
      <c r="W48" s="242"/>
      <c r="X48" s="242"/>
      <c r="Y48" s="242"/>
      <c r="Z48" s="242"/>
      <c r="AA48" s="242"/>
      <c r="AB48" s="242"/>
      <c r="AC48" s="242"/>
      <c r="AD48" s="242"/>
      <c r="AE48" s="242"/>
      <c r="AF48" s="242"/>
      <c r="AG48" s="242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</row>
    <row r="49" spans="15:46" x14ac:dyDescent="0.2">
      <c r="O49" s="242"/>
      <c r="P49" s="242"/>
      <c r="Q49" s="242"/>
      <c r="R49" s="242"/>
      <c r="S49" s="243">
        <v>5</v>
      </c>
      <c r="T49" s="243" t="b">
        <v>0</v>
      </c>
      <c r="U49" s="243" t="b">
        <v>0</v>
      </c>
      <c r="V49" s="243" t="b">
        <v>0</v>
      </c>
      <c r="W49" s="242"/>
      <c r="X49" s="242"/>
      <c r="Y49" s="242"/>
      <c r="Z49" s="242"/>
      <c r="AA49" s="242"/>
      <c r="AB49" s="242"/>
      <c r="AC49" s="242"/>
      <c r="AD49" s="242"/>
      <c r="AE49" s="242"/>
      <c r="AF49" s="242"/>
      <c r="AG49" s="242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</row>
    <row r="50" spans="15:46" x14ac:dyDescent="0.2">
      <c r="O50" s="242"/>
      <c r="P50" s="242"/>
      <c r="Q50" s="242"/>
      <c r="R50" s="242"/>
      <c r="S50" s="243" t="s">
        <v>19</v>
      </c>
      <c r="T50" s="243" t="b">
        <v>0</v>
      </c>
      <c r="U50" s="243" t="b">
        <v>0</v>
      </c>
      <c r="V50" s="243" t="b">
        <v>0</v>
      </c>
      <c r="W50" s="242"/>
      <c r="X50" s="242"/>
      <c r="Y50" s="242"/>
      <c r="Z50" s="242"/>
      <c r="AA50" s="242"/>
      <c r="AB50" s="242"/>
      <c r="AC50" s="242"/>
      <c r="AD50" s="242"/>
      <c r="AE50" s="242"/>
      <c r="AF50" s="242"/>
      <c r="AG50" s="242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</row>
    <row r="51" spans="15:46" x14ac:dyDescent="0.2">
      <c r="O51" s="242"/>
      <c r="P51" s="242"/>
      <c r="Q51" s="242"/>
      <c r="R51" s="242" t="s">
        <v>12</v>
      </c>
      <c r="S51" s="243">
        <v>1</v>
      </c>
      <c r="T51" s="243">
        <v>1</v>
      </c>
      <c r="U51" s="243">
        <v>1</v>
      </c>
      <c r="V51" s="243">
        <v>1</v>
      </c>
      <c r="W51" s="242"/>
      <c r="X51" s="242"/>
      <c r="Y51" s="242"/>
      <c r="Z51" s="242"/>
      <c r="AA51" s="242"/>
      <c r="AB51" s="242"/>
      <c r="AC51" s="242"/>
      <c r="AD51" s="242"/>
      <c r="AE51" s="242"/>
      <c r="AF51" s="242"/>
      <c r="AG51" s="242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</row>
    <row r="52" spans="15:46" x14ac:dyDescent="0.2">
      <c r="O52" s="242"/>
      <c r="P52" s="242"/>
      <c r="Q52" s="242"/>
      <c r="R52" s="242"/>
      <c r="S52" s="243">
        <v>5</v>
      </c>
      <c r="T52" s="243">
        <v>5</v>
      </c>
      <c r="U52" s="243">
        <v>5</v>
      </c>
      <c r="V52" s="243">
        <v>5</v>
      </c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</row>
    <row r="53" spans="15:46" x14ac:dyDescent="0.2">
      <c r="O53" s="242"/>
      <c r="P53" s="242"/>
      <c r="Q53" s="242"/>
      <c r="R53" s="242"/>
      <c r="S53" s="243" t="s">
        <v>19</v>
      </c>
      <c r="T53" s="243">
        <v>2</v>
      </c>
      <c r="U53" s="243">
        <v>2</v>
      </c>
      <c r="V53" s="243">
        <v>2</v>
      </c>
      <c r="W53" s="242"/>
      <c r="X53" s="242"/>
      <c r="Y53" s="242"/>
      <c r="Z53" s="242"/>
      <c r="AA53" s="242"/>
      <c r="AB53" s="242"/>
      <c r="AC53" s="242"/>
      <c r="AD53" s="242"/>
      <c r="AE53" s="242"/>
      <c r="AF53" s="242"/>
      <c r="AG53" s="242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</row>
    <row r="54" spans="15:46" x14ac:dyDescent="0.2">
      <c r="O54" s="242"/>
      <c r="P54" s="242"/>
      <c r="Q54" s="242" t="s">
        <v>73</v>
      </c>
      <c r="R54" s="242" t="s">
        <v>69</v>
      </c>
      <c r="S54" s="243" t="s">
        <v>5</v>
      </c>
      <c r="T54" s="243" t="b">
        <v>0</v>
      </c>
      <c r="U54" s="243" t="b">
        <v>0</v>
      </c>
      <c r="V54" s="243" t="b">
        <v>0</v>
      </c>
      <c r="W54" s="242"/>
      <c r="X54" s="242"/>
      <c r="Y54" s="242"/>
      <c r="Z54" s="242"/>
      <c r="AA54" s="242"/>
      <c r="AB54" s="242"/>
      <c r="AC54" s="242"/>
      <c r="AD54" s="242"/>
      <c r="AE54" s="242"/>
      <c r="AF54" s="242"/>
      <c r="AG54" s="242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</row>
    <row r="55" spans="15:46" x14ac:dyDescent="0.2">
      <c r="O55" s="242"/>
      <c r="P55" s="242"/>
      <c r="Q55" s="242"/>
      <c r="R55" s="242"/>
      <c r="S55" s="243" t="s">
        <v>6</v>
      </c>
      <c r="T55" s="243" t="b">
        <v>0</v>
      </c>
      <c r="U55" s="243" t="b">
        <v>0</v>
      </c>
      <c r="V55" s="243" t="b">
        <v>0</v>
      </c>
      <c r="W55" s="242" t="s">
        <v>124</v>
      </c>
      <c r="X55" s="242" t="s">
        <v>124</v>
      </c>
      <c r="Y55" s="242" t="s">
        <v>124</v>
      </c>
      <c r="Z55" s="242"/>
      <c r="AA55" s="242" t="s">
        <v>6</v>
      </c>
      <c r="AB55" s="242"/>
      <c r="AC55" s="242"/>
      <c r="AD55" s="242"/>
      <c r="AE55" s="242"/>
      <c r="AF55" s="242"/>
      <c r="AG55" s="242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</row>
    <row r="56" spans="15:46" x14ac:dyDescent="0.2">
      <c r="O56" s="242"/>
      <c r="P56" s="242"/>
      <c r="Q56" s="242"/>
      <c r="R56" s="242"/>
      <c r="S56" s="243" t="s">
        <v>7</v>
      </c>
      <c r="T56" s="243" t="b">
        <v>0</v>
      </c>
      <c r="U56" s="243" t="b">
        <v>0</v>
      </c>
      <c r="V56" s="243" t="b">
        <v>0</v>
      </c>
      <c r="W56" s="242">
        <v>3</v>
      </c>
      <c r="X56" s="242">
        <v>3</v>
      </c>
      <c r="Y56" s="242">
        <v>3</v>
      </c>
      <c r="Z56" s="242"/>
      <c r="AA56" s="242"/>
      <c r="AB56" s="242"/>
      <c r="AC56" s="242"/>
      <c r="AD56" s="242"/>
      <c r="AE56" s="242"/>
      <c r="AF56" s="242"/>
      <c r="AG56" s="242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</row>
    <row r="57" spans="15:46" x14ac:dyDescent="0.2">
      <c r="O57" s="242"/>
      <c r="P57" s="242"/>
      <c r="Q57" s="242"/>
      <c r="R57" s="242" t="s">
        <v>93</v>
      </c>
      <c r="S57" s="243">
        <v>0</v>
      </c>
      <c r="T57" s="243" t="s">
        <v>58</v>
      </c>
      <c r="U57" s="243" t="s">
        <v>58</v>
      </c>
      <c r="V57" s="243" t="s">
        <v>58</v>
      </c>
      <c r="W57" s="242" t="s">
        <v>58</v>
      </c>
      <c r="X57" s="242" t="s">
        <v>58</v>
      </c>
      <c r="Y57" s="242" t="s">
        <v>58</v>
      </c>
      <c r="Z57" s="242" t="s">
        <v>5</v>
      </c>
      <c r="AA57" s="242" t="s">
        <v>7</v>
      </c>
      <c r="AB57" s="242"/>
      <c r="AC57" s="242"/>
      <c r="AD57" s="242"/>
      <c r="AE57" s="242"/>
      <c r="AF57" s="242"/>
      <c r="AG57" s="242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</row>
    <row r="58" spans="15:46" x14ac:dyDescent="0.2">
      <c r="O58" s="242"/>
      <c r="P58" s="242"/>
      <c r="Q58" s="242"/>
      <c r="R58" s="242" t="s">
        <v>94</v>
      </c>
      <c r="S58" s="243">
        <v>0</v>
      </c>
      <c r="T58" s="243">
        <v>1</v>
      </c>
      <c r="U58" s="243">
        <v>1</v>
      </c>
      <c r="V58" s="243">
        <v>1</v>
      </c>
      <c r="W58" s="242">
        <v>1</v>
      </c>
      <c r="X58" s="242">
        <v>1</v>
      </c>
      <c r="Y58" s="242">
        <v>1</v>
      </c>
      <c r="Z58" s="242"/>
      <c r="AA58" s="242"/>
      <c r="AB58" s="242"/>
      <c r="AC58" s="242"/>
      <c r="AD58" s="242"/>
      <c r="AE58" s="242"/>
      <c r="AF58" s="242"/>
      <c r="AG58" s="242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</row>
    <row r="59" spans="15:46" x14ac:dyDescent="0.2">
      <c r="O59" s="242"/>
      <c r="P59" s="242"/>
      <c r="Q59" s="242"/>
      <c r="R59" s="242" t="s">
        <v>75</v>
      </c>
      <c r="S59" s="243">
        <v>0</v>
      </c>
      <c r="T59" s="243" t="s">
        <v>58</v>
      </c>
      <c r="U59" s="243" t="s">
        <v>58</v>
      </c>
      <c r="V59" s="243" t="s">
        <v>58</v>
      </c>
      <c r="W59" s="242"/>
      <c r="X59" s="242"/>
      <c r="Y59" s="242"/>
      <c r="Z59" s="242"/>
      <c r="AA59" s="242"/>
      <c r="AB59" s="242"/>
      <c r="AC59" s="242"/>
      <c r="AD59" s="242"/>
      <c r="AE59" s="242"/>
      <c r="AF59" s="242"/>
      <c r="AG59" s="242" t="s">
        <v>1</v>
      </c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</row>
    <row r="60" spans="15:46" x14ac:dyDescent="0.2">
      <c r="O60" s="242"/>
      <c r="P60" s="242"/>
      <c r="Q60" s="242"/>
      <c r="R60" s="242"/>
      <c r="S60" s="243">
        <v>0</v>
      </c>
      <c r="T60" s="243">
        <v>1</v>
      </c>
      <c r="U60" s="243">
        <v>1</v>
      </c>
      <c r="V60" s="243">
        <v>1</v>
      </c>
      <c r="W60" s="242"/>
      <c r="X60" s="242"/>
      <c r="Y60" s="242"/>
      <c r="Z60" s="242"/>
      <c r="AA60" s="242"/>
      <c r="AB60" s="242"/>
      <c r="AC60" s="242"/>
      <c r="AD60" s="242"/>
      <c r="AE60" s="242"/>
      <c r="AF60" s="242"/>
      <c r="AG60" s="242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</row>
    <row r="61" spans="15:46" x14ac:dyDescent="0.2">
      <c r="O61" s="242"/>
      <c r="P61" s="242"/>
      <c r="Q61" s="242"/>
      <c r="R61" s="242"/>
      <c r="S61" s="243" t="s">
        <v>5</v>
      </c>
      <c r="T61" s="249">
        <v>156</v>
      </c>
      <c r="U61" s="249">
        <v>156</v>
      </c>
      <c r="V61" s="249">
        <v>156</v>
      </c>
      <c r="W61" s="250">
        <f>Diagrama!B6</f>
        <v>154</v>
      </c>
      <c r="X61" s="250">
        <f>Diagrama!C6</f>
        <v>158</v>
      </c>
      <c r="Y61" s="250">
        <f>Diagrama!D6</f>
        <v>123</v>
      </c>
      <c r="Z61" s="250">
        <f>Diagrama!E6</f>
        <v>0</v>
      </c>
      <c r="AA61" s="250">
        <f>Diagrama!F6</f>
        <v>0</v>
      </c>
      <c r="AB61" s="250">
        <f>Diagrama!G6</f>
        <v>0</v>
      </c>
      <c r="AC61" s="250">
        <f>Diagrama!H6</f>
        <v>0</v>
      </c>
      <c r="AD61" s="250">
        <f>Diagrama!I6</f>
        <v>0</v>
      </c>
      <c r="AE61" s="250">
        <f>Diagrama!J6</f>
        <v>0</v>
      </c>
      <c r="AF61" s="250">
        <f>Diagrama!K6</f>
        <v>0</v>
      </c>
      <c r="AG61" s="250">
        <f>Diagrama!L6</f>
        <v>0</v>
      </c>
      <c r="AH61" s="244">
        <v>0.25</v>
      </c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</row>
    <row r="62" spans="15:46" x14ac:dyDescent="0.2">
      <c r="O62" s="242"/>
      <c r="P62" s="242"/>
      <c r="Q62" s="242"/>
      <c r="R62" s="242"/>
      <c r="S62" s="243" t="s">
        <v>6</v>
      </c>
      <c r="T62" s="249">
        <v>156</v>
      </c>
      <c r="U62" s="249">
        <v>156</v>
      </c>
      <c r="V62" s="249">
        <v>156</v>
      </c>
      <c r="W62" s="250">
        <f>Diagrama!B7</f>
        <v>145</v>
      </c>
      <c r="X62" s="250">
        <f>Diagrama!C7</f>
        <v>157</v>
      </c>
      <c r="Y62" s="250">
        <f>Diagrama!D7</f>
        <v>321</v>
      </c>
      <c r="Z62" s="250">
        <f>Diagrama!E7</f>
        <v>0</v>
      </c>
      <c r="AA62" s="250">
        <f>Diagrama!F7</f>
        <v>0</v>
      </c>
      <c r="AB62" s="250">
        <f>Diagrama!G7</f>
        <v>0</v>
      </c>
      <c r="AC62" s="250">
        <f>Diagrama!H7</f>
        <v>0</v>
      </c>
      <c r="AD62" s="250">
        <f>Diagrama!I7</f>
        <v>0</v>
      </c>
      <c r="AE62" s="250">
        <f>Diagrama!J7</f>
        <v>0</v>
      </c>
      <c r="AF62" s="250">
        <f>Diagrama!K7</f>
        <v>0</v>
      </c>
      <c r="AG62" s="250">
        <f>Diagrama!L7</f>
        <v>0</v>
      </c>
      <c r="AH62" s="244">
        <v>0</v>
      </c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</row>
    <row r="63" spans="15:46" x14ac:dyDescent="0.2">
      <c r="O63" s="242"/>
      <c r="P63" s="242"/>
      <c r="Q63" s="242"/>
      <c r="R63" s="242"/>
      <c r="S63" s="243" t="s">
        <v>7</v>
      </c>
      <c r="T63" s="249">
        <v>1856</v>
      </c>
      <c r="U63" s="249">
        <v>1856</v>
      </c>
      <c r="V63" s="249">
        <v>1856</v>
      </c>
      <c r="W63" s="250">
        <f>Diagrama!B8</f>
        <v>123</v>
      </c>
      <c r="X63" s="250">
        <f>Diagrama!C8</f>
        <v>169</v>
      </c>
      <c r="Y63" s="250">
        <f>Diagrama!D8</f>
        <v>2544</v>
      </c>
      <c r="Z63" s="250">
        <f>Diagrama!E8</f>
        <v>0</v>
      </c>
      <c r="AA63" s="250">
        <f>Diagrama!F8</f>
        <v>0</v>
      </c>
      <c r="AB63" s="250">
        <f>Diagrama!G8</f>
        <v>0</v>
      </c>
      <c r="AC63" s="250">
        <f>Diagrama!H8</f>
        <v>0</v>
      </c>
      <c r="AD63" s="250">
        <f>Diagrama!I8</f>
        <v>0</v>
      </c>
      <c r="AE63" s="250">
        <f>Diagrama!J8</f>
        <v>0</v>
      </c>
      <c r="AF63" s="250">
        <f>Diagrama!K8</f>
        <v>0</v>
      </c>
      <c r="AG63" s="250">
        <f>Diagrama!L8</f>
        <v>0</v>
      </c>
      <c r="AH63" s="244">
        <v>0.75</v>
      </c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</row>
    <row r="64" spans="15:46" x14ac:dyDescent="0.2">
      <c r="O64" s="242"/>
      <c r="P64" s="242"/>
      <c r="Q64" s="242"/>
      <c r="R64" s="242"/>
      <c r="S64" s="243" t="s">
        <v>18</v>
      </c>
      <c r="T64" s="249">
        <v>2168</v>
      </c>
      <c r="U64" s="249">
        <v>2168</v>
      </c>
      <c r="V64" s="249">
        <v>2168</v>
      </c>
      <c r="W64" s="250">
        <f>Diagrama!B9</f>
        <v>422</v>
      </c>
      <c r="X64" s="250">
        <f>Diagrama!C9</f>
        <v>484</v>
      </c>
      <c r="Y64" s="250">
        <f>Diagrama!D9</f>
        <v>2988</v>
      </c>
      <c r="Z64" s="250">
        <f>Diagrama!E9</f>
        <v>0</v>
      </c>
      <c r="AA64" s="250">
        <f>Diagrama!F9</f>
        <v>0</v>
      </c>
      <c r="AB64" s="250">
        <f>Diagrama!G9</f>
        <v>0</v>
      </c>
      <c r="AC64" s="250">
        <f>Diagrama!H9</f>
        <v>0</v>
      </c>
      <c r="AD64" s="250">
        <f>Diagrama!I9</f>
        <v>0</v>
      </c>
      <c r="AE64" s="250">
        <f>Diagrama!J9</f>
        <v>0</v>
      </c>
      <c r="AF64" s="250">
        <f>Diagrama!K9</f>
        <v>0</v>
      </c>
      <c r="AG64" s="250">
        <f>Diagrama!L9</f>
        <v>0</v>
      </c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</row>
    <row r="65" spans="15:46" x14ac:dyDescent="0.2">
      <c r="O65" s="242"/>
      <c r="P65" s="242"/>
      <c r="Q65" s="242"/>
      <c r="R65" s="242"/>
      <c r="S65" s="243" t="s">
        <v>32</v>
      </c>
      <c r="T65" s="251">
        <v>1.1681034482758621</v>
      </c>
      <c r="U65" s="252">
        <v>1.1681034482758621</v>
      </c>
      <c r="V65" s="251">
        <v>1.1681034482758621</v>
      </c>
      <c r="W65" s="253">
        <f>Diagrama!B20</f>
        <v>3.4308943089430892</v>
      </c>
      <c r="X65" s="253">
        <f>Diagrama!C20</f>
        <v>2.863905325443787</v>
      </c>
      <c r="Y65" s="253">
        <f>Diagrama!D20</f>
        <v>1.1745283018867925</v>
      </c>
      <c r="Z65" s="253" t="e">
        <f>Diagrama!E20</f>
        <v>#DIV/0!</v>
      </c>
      <c r="AA65" s="253" t="e">
        <f>Diagrama!F20</f>
        <v>#DIV/0!</v>
      </c>
      <c r="AB65" s="253" t="e">
        <f>Diagrama!G20</f>
        <v>#DIV/0!</v>
      </c>
      <c r="AC65" s="253" t="e">
        <f>Diagrama!H20</f>
        <v>#DIV/0!</v>
      </c>
      <c r="AD65" s="253" t="e">
        <f>Diagrama!I20</f>
        <v>#DIV/0!</v>
      </c>
      <c r="AE65" s="253" t="e">
        <f>Diagrama!J20</f>
        <v>#DIV/0!</v>
      </c>
      <c r="AF65" s="253" t="e">
        <f>Diagrama!K20</f>
        <v>#DIV/0!</v>
      </c>
      <c r="AG65" s="253" t="e">
        <f>Diagrama!L20</f>
        <v>#DIV/0!</v>
      </c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</row>
    <row r="66" spans="15:46" x14ac:dyDescent="0.2">
      <c r="O66" s="242"/>
      <c r="P66" s="242"/>
      <c r="Q66" s="242"/>
      <c r="R66" s="242"/>
      <c r="S66" s="243" t="s">
        <v>33</v>
      </c>
      <c r="T66" s="251">
        <v>5.9487179487179462</v>
      </c>
      <c r="U66" s="252">
        <v>5.9487179487179462</v>
      </c>
      <c r="V66" s="251">
        <v>5.9487179487179462</v>
      </c>
      <c r="W66" s="253">
        <f>Diagrama!B21</f>
        <v>0.41137123745819404</v>
      </c>
      <c r="X66" s="253">
        <f>Diagrama!C21</f>
        <v>0.53650793650793649</v>
      </c>
      <c r="Y66" s="253">
        <f>Diagrama!D21</f>
        <v>5.7297297297297316</v>
      </c>
      <c r="Z66" s="253" t="e">
        <f>Diagrama!E21</f>
        <v>#DIV/0!</v>
      </c>
      <c r="AA66" s="253" t="e">
        <f>Diagrama!F21</f>
        <v>#DIV/0!</v>
      </c>
      <c r="AB66" s="253" t="e">
        <f>Diagrama!G21</f>
        <v>#DIV/0!</v>
      </c>
      <c r="AC66" s="253" t="e">
        <f>Diagrama!H21</f>
        <v>#DIV/0!</v>
      </c>
      <c r="AD66" s="253" t="e">
        <f>Diagrama!I21</f>
        <v>#DIV/0!</v>
      </c>
      <c r="AE66" s="253" t="e">
        <f>Diagrama!J21</f>
        <v>#DIV/0!</v>
      </c>
      <c r="AF66" s="253" t="e">
        <f>Diagrama!K21</f>
        <v>#DIV/0!</v>
      </c>
      <c r="AG66" s="253" t="e">
        <f>Diagrama!L21</f>
        <v>#DIV/0!</v>
      </c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</row>
    <row r="67" spans="15:46" x14ac:dyDescent="0.2">
      <c r="O67" s="242"/>
      <c r="P67" s="242"/>
      <c r="Q67" s="242"/>
      <c r="R67" s="242"/>
      <c r="S67" s="243" t="s">
        <v>34</v>
      </c>
      <c r="T67" s="251">
        <v>12.897435897435898</v>
      </c>
      <c r="U67" s="252">
        <v>12.897435897435898</v>
      </c>
      <c r="V67" s="251">
        <v>12.897435897435898</v>
      </c>
      <c r="W67" s="253">
        <f>Diagrama!B22</f>
        <v>1.7402597402597404</v>
      </c>
      <c r="X67" s="253">
        <f>Diagrama!C22</f>
        <v>2.0632911392405062</v>
      </c>
      <c r="Y67" s="253">
        <f>Diagrama!D22</f>
        <v>23.292682926829269</v>
      </c>
      <c r="Z67" s="253" t="e">
        <f>Diagrama!E22</f>
        <v>#DIV/0!</v>
      </c>
      <c r="AA67" s="253" t="e">
        <f>Diagrama!F22</f>
        <v>#DIV/0!</v>
      </c>
      <c r="AB67" s="253" t="e">
        <f>Diagrama!G22</f>
        <v>#DIV/0!</v>
      </c>
      <c r="AC67" s="253" t="e">
        <f>Diagrama!H22</f>
        <v>#DIV/0!</v>
      </c>
      <c r="AD67" s="253" t="e">
        <f>Diagrama!I22</f>
        <v>#DIV/0!</v>
      </c>
      <c r="AE67" s="253" t="e">
        <f>Diagrama!J22</f>
        <v>#DIV/0!</v>
      </c>
      <c r="AF67" s="253" t="e">
        <f>Diagrama!K22</f>
        <v>#DIV/0!</v>
      </c>
      <c r="AG67" s="253" t="e">
        <f>Diagrama!L22</f>
        <v>#DIV/0!</v>
      </c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</row>
    <row r="68" spans="15:46" x14ac:dyDescent="0.2">
      <c r="O68" s="242"/>
      <c r="P68" s="242"/>
      <c r="Q68" s="242"/>
      <c r="R68" s="242"/>
      <c r="S68" s="243" t="s">
        <v>22</v>
      </c>
      <c r="T68" s="251">
        <v>9.0568657023376978E-2</v>
      </c>
      <c r="U68" s="252">
        <v>9.0568657023376978E-2</v>
      </c>
      <c r="V68" s="251">
        <v>9.0568657023376978E-2</v>
      </c>
      <c r="W68" s="253">
        <f>Diagrama!B23</f>
        <v>1.9714840431986407</v>
      </c>
      <c r="X68" s="253">
        <f>Diagrama!C23</f>
        <v>1.3880277344175409</v>
      </c>
      <c r="Y68" s="253">
        <f>Diagrama!D23</f>
        <v>5.0424775264249731E-2</v>
      </c>
      <c r="Z68" s="253" t="e">
        <f>Diagrama!E23</f>
        <v>#DIV/0!</v>
      </c>
      <c r="AA68" s="253" t="e">
        <f>Diagrama!F23</f>
        <v>#DIV/0!</v>
      </c>
      <c r="AB68" s="253" t="e">
        <f>Diagrama!G23</f>
        <v>#DIV/0!</v>
      </c>
      <c r="AC68" s="253" t="e">
        <f>Diagrama!H23</f>
        <v>#DIV/0!</v>
      </c>
      <c r="AD68" s="253" t="e">
        <f>Diagrama!I23</f>
        <v>#DIV/0!</v>
      </c>
      <c r="AE68" s="253" t="e">
        <f>Diagrama!J23</f>
        <v>#DIV/0!</v>
      </c>
      <c r="AF68" s="253" t="e">
        <f>Diagrama!K23</f>
        <v>#DIV/0!</v>
      </c>
      <c r="AG68" s="253" t="e">
        <f>Diagrama!L23</f>
        <v>#DIV/0!</v>
      </c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</row>
    <row r="69" spans="15:46" x14ac:dyDescent="0.2">
      <c r="O69" s="242"/>
      <c r="P69" s="242"/>
      <c r="Q69" s="242"/>
      <c r="R69" s="242"/>
      <c r="S69" s="243" t="s">
        <v>14</v>
      </c>
      <c r="T69" s="254">
        <v>7.195571955719557</v>
      </c>
      <c r="U69" s="252">
        <v>7.195571955719557</v>
      </c>
      <c r="V69" s="254">
        <v>7.195571955719557</v>
      </c>
      <c r="W69" s="255">
        <f t="shared" ref="W69:AB69" si="0">100*W61/W64</f>
        <v>36.492890995260666</v>
      </c>
      <c r="X69" s="255">
        <f t="shared" si="0"/>
        <v>32.644628099173552</v>
      </c>
      <c r="Y69" s="255">
        <f t="shared" si="0"/>
        <v>4.1164658634538149</v>
      </c>
      <c r="Z69" s="255" t="e">
        <f t="shared" si="0"/>
        <v>#DIV/0!</v>
      </c>
      <c r="AA69" s="255" t="e">
        <f t="shared" si="0"/>
        <v>#DIV/0!</v>
      </c>
      <c r="AB69" s="255" t="e">
        <f t="shared" si="0"/>
        <v>#DIV/0!</v>
      </c>
      <c r="AC69" s="255" t="e">
        <f>100*AC61/AC64</f>
        <v>#DIV/0!</v>
      </c>
      <c r="AD69" s="255" t="e">
        <f>100*AD61/AD64</f>
        <v>#DIV/0!</v>
      </c>
      <c r="AE69" s="255" t="e">
        <f>100*AE61/AE64</f>
        <v>#DIV/0!</v>
      </c>
      <c r="AF69" s="255" t="e">
        <f>100*AF61/AF64</f>
        <v>#DIV/0!</v>
      </c>
      <c r="AG69" s="255" t="e">
        <f>100*AG61/AG64</f>
        <v>#DIV/0!</v>
      </c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</row>
    <row r="70" spans="15:46" x14ac:dyDescent="0.2">
      <c r="O70" s="242"/>
      <c r="P70" s="242"/>
      <c r="Q70" s="242"/>
      <c r="R70" s="242"/>
      <c r="S70" s="243" t="s">
        <v>76</v>
      </c>
      <c r="T70" s="249">
        <v>0</v>
      </c>
      <c r="U70" s="249">
        <v>0</v>
      </c>
      <c r="V70" s="249">
        <v>0</v>
      </c>
      <c r="W70" s="242"/>
      <c r="X70" s="242"/>
      <c r="Y70" s="242"/>
      <c r="Z70" s="242"/>
      <c r="AA70" s="242"/>
      <c r="AB70" s="242"/>
      <c r="AC70" s="242"/>
      <c r="AD70" s="242"/>
      <c r="AE70" s="242"/>
      <c r="AF70" s="242"/>
      <c r="AG70" s="242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</row>
    <row r="71" spans="15:46" x14ac:dyDescent="0.2">
      <c r="O71" s="242"/>
      <c r="P71" s="242"/>
      <c r="Q71" s="242"/>
      <c r="R71" s="242"/>
      <c r="S71" s="243" t="s">
        <v>77</v>
      </c>
      <c r="T71" s="243"/>
      <c r="U71" s="243"/>
      <c r="V71" s="243"/>
      <c r="W71" s="242"/>
      <c r="X71" s="242"/>
      <c r="Y71" s="242"/>
      <c r="Z71" s="242"/>
      <c r="AA71" s="242"/>
      <c r="AB71" s="242"/>
      <c r="AC71" s="242"/>
      <c r="AD71" s="242"/>
      <c r="AE71" s="242"/>
      <c r="AF71" s="242"/>
      <c r="AG71" s="242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</row>
    <row r="72" spans="15:46" x14ac:dyDescent="0.2">
      <c r="O72" s="242"/>
      <c r="P72" s="242"/>
      <c r="Q72" s="242"/>
      <c r="R72" s="242" t="s">
        <v>91</v>
      </c>
      <c r="S72" s="243">
        <v>0</v>
      </c>
      <c r="T72" s="243" t="b">
        <v>0</v>
      </c>
      <c r="U72" s="243" t="b">
        <v>0</v>
      </c>
      <c r="V72" s="243" t="b">
        <v>0</v>
      </c>
      <c r="W72" s="243">
        <f>IF(T72,1,0)</f>
        <v>0</v>
      </c>
      <c r="X72" s="244"/>
      <c r="Y72" s="244"/>
      <c r="Z72" s="242"/>
      <c r="AA72" s="242"/>
      <c r="AB72" s="242"/>
      <c r="AC72" s="242"/>
      <c r="AD72" s="242"/>
      <c r="AE72" s="242"/>
      <c r="AF72" s="242"/>
      <c r="AG72" s="242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</row>
    <row r="73" spans="15:46" x14ac:dyDescent="0.2">
      <c r="O73" s="242"/>
      <c r="P73" s="242"/>
      <c r="Q73" s="242"/>
      <c r="R73" s="242"/>
      <c r="S73" s="243"/>
      <c r="T73" s="256"/>
      <c r="U73" s="243"/>
      <c r="V73" s="243"/>
      <c r="W73" s="242"/>
      <c r="X73" s="242"/>
      <c r="Y73" s="242"/>
      <c r="Z73" s="242"/>
      <c r="AA73" s="242"/>
      <c r="AB73" s="242"/>
      <c r="AC73" s="242"/>
      <c r="AD73" s="242"/>
      <c r="AE73" s="242"/>
      <c r="AF73" s="242"/>
      <c r="AG73" s="242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</row>
    <row r="74" spans="15:46" x14ac:dyDescent="0.2">
      <c r="O74" s="242"/>
      <c r="P74" s="242"/>
      <c r="Q74" s="242"/>
      <c r="R74" s="242"/>
      <c r="S74" s="243"/>
      <c r="T74" s="256"/>
      <c r="U74" s="243"/>
      <c r="V74" s="243"/>
      <c r="W74" s="242"/>
      <c r="X74" s="242"/>
      <c r="Y74" s="242"/>
      <c r="Z74" s="242"/>
      <c r="AA74" s="242"/>
      <c r="AB74" s="242"/>
      <c r="AC74" s="242"/>
      <c r="AD74" s="242"/>
      <c r="AE74" s="242"/>
      <c r="AF74" s="242"/>
      <c r="AG74" s="242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</row>
    <row r="75" spans="15:46" x14ac:dyDescent="0.2">
      <c r="O75" s="242"/>
      <c r="P75" s="242"/>
      <c r="Q75" s="242"/>
      <c r="R75" s="242"/>
      <c r="S75" s="243"/>
      <c r="T75" s="256"/>
      <c r="U75" s="243"/>
      <c r="V75" s="243"/>
      <c r="W75" s="242"/>
      <c r="X75" s="242"/>
      <c r="Y75" s="242"/>
      <c r="Z75" s="242"/>
      <c r="AA75" s="242"/>
      <c r="AB75" s="242"/>
      <c r="AC75" s="242"/>
      <c r="AD75" s="242"/>
      <c r="AE75" s="242"/>
      <c r="AF75" s="242"/>
      <c r="AG75" s="242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a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154</v>
      </c>
      <c r="H2" s="40"/>
      <c r="I2" s="40"/>
    </row>
    <row r="3" spans="1:11" x14ac:dyDescent="0.25">
      <c r="A3" s="37">
        <v>1</v>
      </c>
      <c r="B3" s="38" t="str">
        <f>$B$2</f>
        <v>a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145</v>
      </c>
      <c r="H3" s="40"/>
      <c r="I3" s="40"/>
    </row>
    <row r="4" spans="1:11" x14ac:dyDescent="0.25">
      <c r="A4" s="37">
        <v>1</v>
      </c>
      <c r="B4" s="38" t="str">
        <f t="shared" ref="B4" si="0">$B$2</f>
        <v>a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123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0.36492890995260663</v>
      </c>
      <c r="H5" s="42" t="s">
        <v>5</v>
      </c>
      <c r="I5" s="44">
        <f>IF(E2="Renewable",G2,IF(E3="Renewable",G3,IF(E4="Renewable",G4,)))</f>
        <v>154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0.34360189573459715</v>
      </c>
      <c r="H6" s="42" t="s">
        <v>6</v>
      </c>
      <c r="I6" s="44">
        <f>IF(E2="Non-renewable",G2,IF(E3="Non-renewable",G3,IF(E4="Non-renewable",G4,)))</f>
        <v>145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0.29146919431279622</v>
      </c>
      <c r="H7" s="42" t="s">
        <v>7</v>
      </c>
      <c r="I7" s="44">
        <f>IF(E2="Purchased",G2,IF(E3="Purchased",G3,IF(E4="Purchased",G4,)))</f>
        <v>123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422</v>
      </c>
    </row>
    <row r="9" spans="1:11" x14ac:dyDescent="0.25">
      <c r="A9" s="37">
        <v>2</v>
      </c>
      <c r="B9" s="38" t="str">
        <f>Entrada_de_Dados_2!B5</f>
        <v>b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158</v>
      </c>
      <c r="H9" s="40"/>
      <c r="I9" s="40"/>
      <c r="K9" s="17"/>
    </row>
    <row r="10" spans="1:11" x14ac:dyDescent="0.25">
      <c r="A10" s="37">
        <v>2</v>
      </c>
      <c r="B10" s="38" t="str">
        <f>$B$9</f>
        <v>b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157</v>
      </c>
      <c r="H10" s="40"/>
      <c r="I10" s="40"/>
      <c r="K10" s="17"/>
    </row>
    <row r="11" spans="1:11" x14ac:dyDescent="0.25">
      <c r="A11" s="37">
        <v>2</v>
      </c>
      <c r="B11" s="38" t="str">
        <f>$B$9</f>
        <v>b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169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0.32644628099173556</v>
      </c>
      <c r="H12" s="42" t="s">
        <v>5</v>
      </c>
      <c r="I12" s="44">
        <f>IF(E9="Renewable",G9,IF(E10="Renewable",G10,IF(E11="Renewable",G11,)))</f>
        <v>158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0.32438016528925617</v>
      </c>
      <c r="H13" s="42" t="s">
        <v>6</v>
      </c>
      <c r="I13" s="44">
        <f>IF(E9="Non-renewable",G9,IF(E10="Non-renewable",G10,IF(E11="Non-renewable",G11,)))</f>
        <v>157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0.34917355371900827</v>
      </c>
      <c r="H14" s="42" t="s">
        <v>7</v>
      </c>
      <c r="I14" s="44">
        <f>IF(E9="Purchased",G9,IF(E10="Purchased",G10,IF(E11="Purchased",G11,)))</f>
        <v>169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484</v>
      </c>
    </row>
    <row r="16" spans="1:11" x14ac:dyDescent="0.25">
      <c r="A16" s="37">
        <v>3</v>
      </c>
      <c r="B16" s="38" t="str">
        <f>Entrada_de_Dados_2!B8</f>
        <v>c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123</v>
      </c>
      <c r="H16" s="40"/>
      <c r="I16" s="40"/>
      <c r="K16" s="17"/>
    </row>
    <row r="17" spans="1:11" x14ac:dyDescent="0.25">
      <c r="A17" s="37">
        <v>3</v>
      </c>
      <c r="B17" s="38" t="str">
        <f>$B$16</f>
        <v>c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321</v>
      </c>
      <c r="H17" s="40"/>
      <c r="I17" s="40"/>
      <c r="K17" s="17"/>
    </row>
    <row r="18" spans="1:11" x14ac:dyDescent="0.25">
      <c r="A18" s="37">
        <v>3</v>
      </c>
      <c r="B18" s="38" t="str">
        <f>$B$16</f>
        <v>c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2544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4.1164658634538151E-2</v>
      </c>
      <c r="H19" s="42" t="s">
        <v>5</v>
      </c>
      <c r="I19" s="44">
        <f>IF(E16="Renewable",G16,IF(E17="Renewable",G17,IF(E18="Renewable",G18,)))</f>
        <v>123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0.10742971887550201</v>
      </c>
      <c r="H20" s="42" t="s">
        <v>6</v>
      </c>
      <c r="I20" s="44">
        <f>IF(E16="Non-renewable",G16,IF(E17="Non-renewable",G17,IF(E18="Non-renewable",G18,)))</f>
        <v>321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0.85140562248995988</v>
      </c>
      <c r="H21" s="42" t="s">
        <v>7</v>
      </c>
      <c r="I21" s="44">
        <f>IF(E16="Purchased",G16,IF(E17="Purchased",G17,IF(E18="Purchased",G18,)))</f>
        <v>2544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2988</v>
      </c>
    </row>
    <row r="23" spans="1:11" x14ac:dyDescent="0.25">
      <c r="A23" s="37">
        <v>4</v>
      </c>
      <c r="B23" s="38">
        <f>Entrada_de_Dados_2!B11</f>
        <v>0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0</v>
      </c>
      <c r="H23" s="40"/>
      <c r="I23" s="40"/>
      <c r="K23" s="17"/>
    </row>
    <row r="24" spans="1:11" x14ac:dyDescent="0.25">
      <c r="A24" s="37">
        <v>4</v>
      </c>
      <c r="B24" s="38">
        <f>$B$23</f>
        <v>0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0</v>
      </c>
      <c r="H24" s="40"/>
      <c r="I24" s="40"/>
      <c r="K24" s="17"/>
    </row>
    <row r="25" spans="1:11" x14ac:dyDescent="0.25">
      <c r="A25" s="37">
        <v>4</v>
      </c>
      <c r="B25" s="38">
        <f>$B$23</f>
        <v>0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0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 t="e">
        <f>I26/I29</f>
        <v>#DIV/0!</v>
      </c>
      <c r="H26" s="42" t="s">
        <v>5</v>
      </c>
      <c r="I26" s="44">
        <f>IF(E23="Renewable",G23,IF(E24="Renewable",G24,IF(E25="Renewable",G25,)))</f>
        <v>0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 t="e">
        <f>I27/I29</f>
        <v>#DIV/0!</v>
      </c>
      <c r="H27" s="42" t="s">
        <v>6</v>
      </c>
      <c r="I27" s="44">
        <f>IF(E23="Non-renewable",G23,IF(E24="Non-renewable",G24,IF(E25="Non-renewable",G25,)))</f>
        <v>0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 t="e">
        <f>I28/I29</f>
        <v>#DIV/0!</v>
      </c>
      <c r="H28" s="42" t="s">
        <v>7</v>
      </c>
      <c r="I28" s="44">
        <f>IF(E23="Purchased",G23,IF(E24="Purchased",G24,IF(E25="Purchased",G25,)))</f>
        <v>0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 t="e">
        <f>SUM(G26:G28)</f>
        <v>#DIV/0!</v>
      </c>
      <c r="H29" s="47" t="s">
        <v>18</v>
      </c>
      <c r="I29" s="49">
        <f>SUM(I26:I28)</f>
        <v>0</v>
      </c>
    </row>
    <row r="30" spans="1:11" x14ac:dyDescent="0.25">
      <c r="A30" s="37">
        <v>5</v>
      </c>
      <c r="B30" s="38">
        <f>Entrada_de_Dados_2!B14</f>
        <v>0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0</v>
      </c>
      <c r="H30" s="40"/>
      <c r="I30" s="40"/>
      <c r="K30" s="17"/>
    </row>
    <row r="31" spans="1:11" x14ac:dyDescent="0.25">
      <c r="A31" s="37">
        <v>5</v>
      </c>
      <c r="B31" s="38">
        <f>$B$30</f>
        <v>0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0</v>
      </c>
      <c r="H31" s="40"/>
      <c r="I31" s="40"/>
      <c r="K31" s="17"/>
    </row>
    <row r="32" spans="1:11" x14ac:dyDescent="0.25">
      <c r="A32" s="37">
        <v>5</v>
      </c>
      <c r="B32" s="38">
        <f>$B$30</f>
        <v>0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0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 t="e">
        <f>I33/I36</f>
        <v>#DIV/0!</v>
      </c>
      <c r="H33" s="42" t="s">
        <v>5</v>
      </c>
      <c r="I33" s="44">
        <f>IF(E30="Renewable",G30,IF(E31="Renewable",G31,IF(E32="Renewable",G32,)))</f>
        <v>0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 t="e">
        <f>I34/I36</f>
        <v>#DIV/0!</v>
      </c>
      <c r="H34" s="42" t="s">
        <v>6</v>
      </c>
      <c r="I34" s="44">
        <f>IF(E30="Non-renewable",G30,IF(E31="Non-renewable",G31,IF(E32="Non-renewable",G32,)))</f>
        <v>0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 t="e">
        <f>I35/I36</f>
        <v>#DIV/0!</v>
      </c>
      <c r="H35" s="42" t="s">
        <v>7</v>
      </c>
      <c r="I35" s="44">
        <f>IF(E30="Purchased",G30,IF(E31="Purchased",G31,IF(E32="Purchased",G32,)))</f>
        <v>0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 t="e">
        <f>SUM(G33:G35)</f>
        <v>#DIV/0!</v>
      </c>
      <c r="H36" s="47" t="s">
        <v>18</v>
      </c>
      <c r="I36" s="49">
        <f>SUM(I33:I35)</f>
        <v>0</v>
      </c>
    </row>
    <row r="37" spans="1:11" x14ac:dyDescent="0.25">
      <c r="A37" s="37">
        <v>6</v>
      </c>
      <c r="B37" s="38">
        <f>Entrada_de_Dados_2!B17</f>
        <v>0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0</v>
      </c>
      <c r="H37" s="40"/>
      <c r="I37" s="40"/>
      <c r="K37" s="17"/>
    </row>
    <row r="38" spans="1:11" x14ac:dyDescent="0.25">
      <c r="A38" s="37">
        <v>6</v>
      </c>
      <c r="B38" s="38">
        <f>$B$37</f>
        <v>0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0</v>
      </c>
      <c r="H38" s="40"/>
      <c r="I38" s="40"/>
      <c r="K38" s="17"/>
    </row>
    <row r="39" spans="1:11" x14ac:dyDescent="0.25">
      <c r="A39" s="37">
        <v>6</v>
      </c>
      <c r="B39" s="38">
        <f>$B$37</f>
        <v>0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0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 t="e">
        <f>I40/I43</f>
        <v>#DIV/0!</v>
      </c>
      <c r="H40" s="42" t="s">
        <v>5</v>
      </c>
      <c r="I40" s="44">
        <f>IF(E37="Renewable",G37,IF(E38="Renewable",G38,IF(E39="Renewable",G39,)))</f>
        <v>0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 t="e">
        <f>I41/I43</f>
        <v>#DIV/0!</v>
      </c>
      <c r="H41" s="42" t="s">
        <v>6</v>
      </c>
      <c r="I41" s="44">
        <f>IF(E37="Non-renewable",G37,IF(E38="Non-renewable",G38,IF(E39="Non-renewable",G39,)))</f>
        <v>0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 t="e">
        <f>I42/I43</f>
        <v>#DIV/0!</v>
      </c>
      <c r="H42" s="42" t="s">
        <v>7</v>
      </c>
      <c r="I42" s="44">
        <f>IF(E37="Purchased",G37,IF(E38="Purchased",G38,IF(E39="Purchased",G39,)))</f>
        <v>0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 t="e">
        <f>SUM(G40:G42)</f>
        <v>#DIV/0!</v>
      </c>
      <c r="H43" s="47" t="s">
        <v>18</v>
      </c>
      <c r="I43" s="49">
        <f>SUM(I40:I42)</f>
        <v>0</v>
      </c>
    </row>
    <row r="44" spans="1:11" x14ac:dyDescent="0.25">
      <c r="A44" s="37">
        <v>7</v>
      </c>
      <c r="B44" s="38">
        <f>Entrada_de_Dados_2!B20</f>
        <v>0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0</v>
      </c>
      <c r="H44" s="40"/>
      <c r="I44" s="40"/>
    </row>
    <row r="45" spans="1:11" x14ac:dyDescent="0.25">
      <c r="A45" s="37">
        <v>7</v>
      </c>
      <c r="B45" s="38">
        <f>$B$44</f>
        <v>0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0</v>
      </c>
      <c r="H45" s="40"/>
      <c r="I45" s="40"/>
    </row>
    <row r="46" spans="1:11" x14ac:dyDescent="0.25">
      <c r="A46" s="37">
        <v>7</v>
      </c>
      <c r="B46" s="38">
        <f>$B$44</f>
        <v>0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0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 t="e">
        <f>I47/I50</f>
        <v>#DIV/0!</v>
      </c>
      <c r="H47" s="42" t="s">
        <v>5</v>
      </c>
      <c r="I47" s="44">
        <f>IF(E44="Renewable",G44,IF(E45="Renewable",G45,IF(E46="Renewable",G46,)))</f>
        <v>0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 t="e">
        <f>I48/I50</f>
        <v>#DIV/0!</v>
      </c>
      <c r="H48" s="42" t="s">
        <v>6</v>
      </c>
      <c r="I48" s="44">
        <f>IF(E44="Non-renewable",G44,IF(E45="Non-renewable",G45,IF(E46="Non-renewable",G46,)))</f>
        <v>0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 t="e">
        <f>I49/I50</f>
        <v>#DIV/0!</v>
      </c>
      <c r="H49" s="42" t="s">
        <v>7</v>
      </c>
      <c r="I49" s="44">
        <f>IF(E44="Purchased",G44,IF(E45="Purchased",G45,IF(E46="Purchased",G46,)))</f>
        <v>0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 t="e">
        <f>SUM(G47:G49)</f>
        <v>#DIV/0!</v>
      </c>
      <c r="H50" s="47" t="s">
        <v>18</v>
      </c>
      <c r="I50" s="49">
        <f>SUM(I47:I49)</f>
        <v>0</v>
      </c>
    </row>
    <row r="51" spans="1:9" x14ac:dyDescent="0.25">
      <c r="A51" s="37">
        <v>8</v>
      </c>
      <c r="B51" s="38">
        <f>Entrada_de_Dados_2!B23</f>
        <v>0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0</v>
      </c>
      <c r="H51" s="40"/>
      <c r="I51" s="40"/>
    </row>
    <row r="52" spans="1:9" x14ac:dyDescent="0.25">
      <c r="A52" s="37">
        <v>8</v>
      </c>
      <c r="B52" s="38">
        <f>$B$51</f>
        <v>0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0</v>
      </c>
      <c r="H52" s="40"/>
      <c r="I52" s="40"/>
    </row>
    <row r="53" spans="1:9" x14ac:dyDescent="0.25">
      <c r="A53" s="37">
        <v>8</v>
      </c>
      <c r="B53" s="38">
        <f>$B$51</f>
        <v>0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0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 t="e">
        <f>I54/I57</f>
        <v>#DIV/0!</v>
      </c>
      <c r="H54" s="42" t="s">
        <v>5</v>
      </c>
      <c r="I54" s="44">
        <f>IF(E51="Renewable",G51,IF(E52="Renewable",G52,IF(E53="Renewable",G53,)))</f>
        <v>0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 t="e">
        <f>I55/I57</f>
        <v>#DIV/0!</v>
      </c>
      <c r="H55" s="42" t="s">
        <v>6</v>
      </c>
      <c r="I55" s="44">
        <f>IF(E51="Non-renewable",G51,IF(E52="Non-renewable",G52,IF(E53="Non-renewable",G53,)))</f>
        <v>0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 t="e">
        <f>I56/I57</f>
        <v>#DIV/0!</v>
      </c>
      <c r="H56" s="42" t="s">
        <v>7</v>
      </c>
      <c r="I56" s="44">
        <f>IF(E51="Purchased",G51,IF(E52="Purchased",G52,IF(E53="Purchased",G53,)))</f>
        <v>0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 t="e">
        <f>SUM(G54:G56)</f>
        <v>#DIV/0!</v>
      </c>
      <c r="H57" s="47" t="s">
        <v>18</v>
      </c>
      <c r="I57" s="49">
        <f>SUM(I54:I56)</f>
        <v>0</v>
      </c>
    </row>
    <row r="58" spans="1:9" x14ac:dyDescent="0.25">
      <c r="A58" s="37">
        <v>9</v>
      </c>
      <c r="B58" s="38">
        <f>Entrada_de_Dados_2!B26</f>
        <v>0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0</v>
      </c>
      <c r="H58" s="40"/>
      <c r="I58" s="40"/>
    </row>
    <row r="59" spans="1:9" x14ac:dyDescent="0.25">
      <c r="A59" s="37">
        <v>9</v>
      </c>
      <c r="B59" s="38">
        <f>$B$58</f>
        <v>0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0</v>
      </c>
      <c r="H59" s="40"/>
      <c r="I59" s="40"/>
    </row>
    <row r="60" spans="1:9" x14ac:dyDescent="0.25">
      <c r="A60" s="37">
        <v>9</v>
      </c>
      <c r="B60" s="38">
        <f>$B$58</f>
        <v>0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0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 t="e">
        <f>I61/I64</f>
        <v>#DIV/0!</v>
      </c>
      <c r="H61" s="42" t="s">
        <v>5</v>
      </c>
      <c r="I61" s="44">
        <f>IF(E58="Renewable",G58,IF(E59="Renewable",G59,IF(E60="Renewable",G60,)))</f>
        <v>0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 t="e">
        <f>I62/I64</f>
        <v>#DIV/0!</v>
      </c>
      <c r="H62" s="42" t="s">
        <v>6</v>
      </c>
      <c r="I62" s="44">
        <f>IF(E58="Non-renewable",G58,IF(E59="Non-renewable",G59,IF(E60="Non-renewable",G60,)))</f>
        <v>0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 t="e">
        <f>I63/I64</f>
        <v>#DIV/0!</v>
      </c>
      <c r="H63" s="42" t="s">
        <v>7</v>
      </c>
      <c r="I63" s="44">
        <f>IF(E58="Purchased",G58,IF(E59="Purchased",G59,IF(E60="Purchased",G60,)))</f>
        <v>0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 t="e">
        <f>SUM(G61:G63)</f>
        <v>#DIV/0!</v>
      </c>
      <c r="H64" s="47" t="s">
        <v>18</v>
      </c>
      <c r="I64" s="49">
        <f>SUM(I61:I63)</f>
        <v>0</v>
      </c>
    </row>
    <row r="65" spans="1:9" x14ac:dyDescent="0.25">
      <c r="A65" s="37">
        <v>10</v>
      </c>
      <c r="B65" s="38">
        <f>Entrada_de_Dados_2!B29</f>
        <v>0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0</v>
      </c>
      <c r="H65" s="40"/>
      <c r="I65" s="40"/>
    </row>
    <row r="66" spans="1:9" x14ac:dyDescent="0.25">
      <c r="A66" s="37">
        <v>10</v>
      </c>
      <c r="B66" s="38">
        <f>$B$65</f>
        <v>0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0</v>
      </c>
      <c r="H66" s="40"/>
      <c r="I66" s="40"/>
    </row>
    <row r="67" spans="1:9" x14ac:dyDescent="0.25">
      <c r="A67" s="37">
        <v>10</v>
      </c>
      <c r="B67" s="38">
        <f>$B$65</f>
        <v>0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0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 t="e">
        <f>I68/I71</f>
        <v>#DIV/0!</v>
      </c>
      <c r="H68" s="42" t="s">
        <v>5</v>
      </c>
      <c r="I68" s="44">
        <f>IF(E65="Renewable",G65,IF(E66="Renewable",G66,IF(E67="Renewable",G67,)))</f>
        <v>0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 t="e">
        <f>I69/I71</f>
        <v>#DIV/0!</v>
      </c>
      <c r="H69" s="42" t="s">
        <v>6</v>
      </c>
      <c r="I69" s="44">
        <f>IF(E65="Non-renewable",G65,IF(E66="Non-renewable",G66,IF(E67="Non-renewable",G67,)))</f>
        <v>0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 t="e">
        <f>I70/I71</f>
        <v>#DIV/0!</v>
      </c>
      <c r="H70" s="42" t="s">
        <v>7</v>
      </c>
      <c r="I70" s="44">
        <f>IF(E65="Purchased",G65,IF(E66="Purchased",G66,IF(E67="Purchased",G67,)))</f>
        <v>0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 t="e">
        <f>SUM(G68:G70)</f>
        <v>#DIV/0!</v>
      </c>
      <c r="H71" s="47" t="s">
        <v>18</v>
      </c>
      <c r="I71" s="49">
        <f>SUM(I68:I70)</f>
        <v>0</v>
      </c>
    </row>
    <row r="76" spans="1:9" ht="16.5" x14ac:dyDescent="0.35">
      <c r="F76" s="23"/>
      <c r="G76" s="24" t="str">
        <f>DIAG!T1</f>
        <v>a</v>
      </c>
      <c r="H76" s="23"/>
      <c r="I76" s="24" t="str">
        <f>DIAG!T2</f>
        <v>b</v>
      </c>
    </row>
    <row r="77" spans="1:9" ht="16.5" customHeight="1" x14ac:dyDescent="0.35">
      <c r="B77" s="220" t="str">
        <f>CONCATENATE("Dados Carregados a partir do Arquivo de Dados: ",DIAG!AD1)</f>
        <v>Dados Carregados a partir do Arquivo de Dados: E:\André\testes\teste 3 pontos.eMe</v>
      </c>
      <c r="C77" s="221"/>
      <c r="D77" s="222"/>
      <c r="E77" s="20" t="s">
        <v>32</v>
      </c>
      <c r="G77" s="21">
        <f>DIAG!W65</f>
        <v>3.4308943089430892</v>
      </c>
      <c r="H77" s="21"/>
      <c r="I77" s="21">
        <f>DIAG!X65</f>
        <v>2.863905325443787</v>
      </c>
    </row>
    <row r="78" spans="1:9" ht="16.5" x14ac:dyDescent="0.35">
      <c r="A78" s="25"/>
      <c r="B78" s="223"/>
      <c r="C78" s="224"/>
      <c r="D78" s="225"/>
      <c r="E78" s="20" t="s">
        <v>33</v>
      </c>
      <c r="G78" s="21">
        <f>DIAG!W66</f>
        <v>0.41137123745819404</v>
      </c>
      <c r="I78" s="21">
        <f>DIAG!X66</f>
        <v>0.53650793650793649</v>
      </c>
    </row>
    <row r="79" spans="1:9" ht="16.5" x14ac:dyDescent="0.35">
      <c r="A79" s="25"/>
      <c r="B79" s="223"/>
      <c r="C79" s="224"/>
      <c r="D79" s="225"/>
      <c r="E79" s="20" t="s">
        <v>34</v>
      </c>
      <c r="G79" s="21">
        <f>DIAG!W67</f>
        <v>1.7402597402597404</v>
      </c>
      <c r="I79" s="21">
        <f>DIAG!X67</f>
        <v>2.0632911392405062</v>
      </c>
    </row>
    <row r="80" spans="1:9" ht="16.5" x14ac:dyDescent="0.35">
      <c r="A80" s="25"/>
      <c r="B80" s="223"/>
      <c r="C80" s="224"/>
      <c r="D80" s="225"/>
      <c r="E80" s="20" t="s">
        <v>22</v>
      </c>
      <c r="G80" s="21">
        <f>DIAG!W68</f>
        <v>1.9714840431986407</v>
      </c>
      <c r="I80" s="21">
        <f>DIAG!X68</f>
        <v>1.3880277344175409</v>
      </c>
    </row>
    <row r="81" spans="1:9" ht="16.5" x14ac:dyDescent="0.35">
      <c r="A81" s="25"/>
      <c r="B81" s="226"/>
      <c r="C81" s="227"/>
      <c r="D81" s="228"/>
      <c r="E81" s="20" t="s">
        <v>14</v>
      </c>
      <c r="G81" s="22">
        <f>DIAG!W69/100</f>
        <v>0.36492890995260668</v>
      </c>
      <c r="I81" s="21">
        <f>DIAG!X69</f>
        <v>32.644628099173552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c</v>
      </c>
      <c r="H83" s="23"/>
      <c r="I83" s="24">
        <f>DIAG!T4</f>
        <v>0</v>
      </c>
    </row>
    <row r="84" spans="1:9" ht="16.5" x14ac:dyDescent="0.35">
      <c r="E84" s="20" t="s">
        <v>32</v>
      </c>
      <c r="G84" s="21">
        <f>DIAG!Y65</f>
        <v>1.1745283018867925</v>
      </c>
      <c r="H84" s="21"/>
      <c r="I84" s="21" t="e">
        <f>DIAG!Z65</f>
        <v>#DIV/0!</v>
      </c>
    </row>
    <row r="85" spans="1:9" ht="16.5" x14ac:dyDescent="0.35">
      <c r="E85" s="20" t="s">
        <v>33</v>
      </c>
      <c r="G85" s="21">
        <f>DIAG!Y66</f>
        <v>5.7297297297297316</v>
      </c>
      <c r="H85" s="21"/>
      <c r="I85" s="21" t="e">
        <f>DIAG!Z66</f>
        <v>#DIV/0!</v>
      </c>
    </row>
    <row r="86" spans="1:9" ht="16.5" x14ac:dyDescent="0.35">
      <c r="E86" s="20" t="s">
        <v>34</v>
      </c>
      <c r="G86" s="21">
        <f>DIAG!Y67</f>
        <v>23.292682926829269</v>
      </c>
      <c r="H86" s="21"/>
      <c r="I86" s="21" t="e">
        <f>DIAG!Z67</f>
        <v>#DIV/0!</v>
      </c>
    </row>
    <row r="87" spans="1:9" ht="16.5" x14ac:dyDescent="0.35">
      <c r="E87" s="20" t="s">
        <v>22</v>
      </c>
      <c r="G87" s="21">
        <f>DIAG!Y68</f>
        <v>5.0424775264249731E-2</v>
      </c>
      <c r="H87" s="21"/>
      <c r="I87" s="21" t="e">
        <f>DIAG!Z68</f>
        <v>#DIV/0!</v>
      </c>
    </row>
    <row r="88" spans="1:9" ht="16.5" x14ac:dyDescent="0.35">
      <c r="E88" s="20" t="s">
        <v>14</v>
      </c>
      <c r="G88" s="22">
        <f>DIAG!Y69/100</f>
        <v>4.1164658634538151E-2</v>
      </c>
      <c r="H88" s="22"/>
      <c r="I88" s="22" t="e">
        <f>DIAG!Z69/100</f>
        <v>#DIV/0!</v>
      </c>
    </row>
    <row r="89" spans="1:9" x14ac:dyDescent="0.25">
      <c r="G89" s="21">
        <f>DIAG!Y70</f>
        <v>0</v>
      </c>
    </row>
    <row r="90" spans="1:9" ht="16.5" x14ac:dyDescent="0.35">
      <c r="F90" s="23"/>
      <c r="G90" s="24">
        <f>DIAG!T5</f>
        <v>0</v>
      </c>
      <c r="H90" s="23"/>
      <c r="I90" s="24">
        <f>DIAG!T6</f>
        <v>0</v>
      </c>
    </row>
    <row r="91" spans="1:9" ht="16.5" x14ac:dyDescent="0.35">
      <c r="E91" s="20" t="s">
        <v>32</v>
      </c>
      <c r="G91" s="21" t="e">
        <f>DIAG!AA65</f>
        <v>#DIV/0!</v>
      </c>
      <c r="I91" s="21" t="e">
        <f>DIAG!AB65</f>
        <v>#DIV/0!</v>
      </c>
    </row>
    <row r="92" spans="1:9" ht="16.5" x14ac:dyDescent="0.35">
      <c r="E92" s="20" t="s">
        <v>33</v>
      </c>
      <c r="G92" s="21" t="e">
        <f>DIAG!AA66</f>
        <v>#DIV/0!</v>
      </c>
      <c r="I92" s="21" t="e">
        <f>DIAG!AB66</f>
        <v>#DIV/0!</v>
      </c>
    </row>
    <row r="93" spans="1:9" ht="16.5" x14ac:dyDescent="0.35">
      <c r="E93" s="20" t="s">
        <v>34</v>
      </c>
      <c r="G93" s="21" t="e">
        <f>DIAG!AA67</f>
        <v>#DIV/0!</v>
      </c>
      <c r="I93" s="21" t="e">
        <f>DIAG!AB67</f>
        <v>#DIV/0!</v>
      </c>
    </row>
    <row r="94" spans="1:9" ht="16.5" x14ac:dyDescent="0.35">
      <c r="E94" s="20" t="s">
        <v>22</v>
      </c>
      <c r="G94" s="21" t="e">
        <f>DIAG!AA68</f>
        <v>#DIV/0!</v>
      </c>
      <c r="I94" s="21" t="e">
        <f>DIAG!AB68</f>
        <v>#DIV/0!</v>
      </c>
    </row>
    <row r="95" spans="1:9" ht="16.5" x14ac:dyDescent="0.35">
      <c r="E95" s="20" t="s">
        <v>14</v>
      </c>
      <c r="G95" s="22" t="e">
        <f>DIAG!AA69/100</f>
        <v>#DIV/0!</v>
      </c>
      <c r="I95" s="22" t="e">
        <f>DIAG!AB69/100</f>
        <v>#DIV/0!</v>
      </c>
    </row>
    <row r="97" spans="5:9" ht="16.5" x14ac:dyDescent="0.35">
      <c r="F97" s="23"/>
      <c r="G97" s="24">
        <f>DIAG!T7</f>
        <v>0</v>
      </c>
      <c r="H97" s="23"/>
      <c r="I97" s="24">
        <f>DIAG!T8</f>
        <v>0</v>
      </c>
    </row>
    <row r="98" spans="5:9" ht="16.5" x14ac:dyDescent="0.35">
      <c r="E98" s="20" t="s">
        <v>32</v>
      </c>
      <c r="G98" s="21" t="e">
        <f>DIAG!AC65</f>
        <v>#DIV/0!</v>
      </c>
      <c r="I98" s="21" t="e">
        <f>DIAG!AD65</f>
        <v>#DIV/0!</v>
      </c>
    </row>
    <row r="99" spans="5:9" ht="16.5" x14ac:dyDescent="0.35">
      <c r="E99" s="20" t="s">
        <v>33</v>
      </c>
      <c r="G99" s="21" t="e">
        <f>DIAG!AC66</f>
        <v>#DIV/0!</v>
      </c>
      <c r="I99" s="21" t="e">
        <f>DIAG!AD66</f>
        <v>#DIV/0!</v>
      </c>
    </row>
    <row r="100" spans="5:9" ht="16.5" x14ac:dyDescent="0.35">
      <c r="E100" s="20" t="s">
        <v>34</v>
      </c>
      <c r="G100" s="21" t="e">
        <f>DIAG!AC67</f>
        <v>#DIV/0!</v>
      </c>
      <c r="I100" s="21" t="e">
        <f>DIAG!AD67</f>
        <v>#DIV/0!</v>
      </c>
    </row>
    <row r="101" spans="5:9" ht="16.5" x14ac:dyDescent="0.35">
      <c r="E101" s="20" t="s">
        <v>22</v>
      </c>
      <c r="G101" s="21" t="e">
        <f>DIAG!AC68</f>
        <v>#DIV/0!</v>
      </c>
      <c r="I101" s="21" t="e">
        <f>DIAG!AD68</f>
        <v>#DIV/0!</v>
      </c>
    </row>
    <row r="102" spans="5:9" ht="16.5" x14ac:dyDescent="0.35">
      <c r="E102" s="20" t="s">
        <v>14</v>
      </c>
      <c r="G102" s="22" t="e">
        <f>DIAG!AC69/100</f>
        <v>#DIV/0!</v>
      </c>
      <c r="I102" s="22" t="e">
        <f>DIAG!AD69/100</f>
        <v>#DIV/0!</v>
      </c>
    </row>
    <row r="104" spans="5:9" ht="16.5" x14ac:dyDescent="0.35">
      <c r="F104" s="23"/>
      <c r="G104" s="24">
        <f>DIAG!T9</f>
        <v>0</v>
      </c>
      <c r="H104" s="23"/>
      <c r="I104" s="24">
        <f>DIAG!T10</f>
        <v>0</v>
      </c>
    </row>
    <row r="105" spans="5:9" ht="16.5" x14ac:dyDescent="0.35">
      <c r="E105" s="20" t="s">
        <v>32</v>
      </c>
      <c r="G105" s="21" t="e">
        <f>DIAG!AE65</f>
        <v>#DIV/0!</v>
      </c>
      <c r="I105" s="21" t="e">
        <f>DIAG!AF65</f>
        <v>#DIV/0!</v>
      </c>
    </row>
    <row r="106" spans="5:9" ht="16.5" x14ac:dyDescent="0.35">
      <c r="E106" s="20" t="s">
        <v>33</v>
      </c>
      <c r="G106" s="21" t="e">
        <f>DIAG!AE66</f>
        <v>#DIV/0!</v>
      </c>
      <c r="I106" s="21" t="e">
        <f>DIAG!AF66</f>
        <v>#DIV/0!</v>
      </c>
    </row>
    <row r="107" spans="5:9" ht="16.5" x14ac:dyDescent="0.35">
      <c r="E107" s="20" t="s">
        <v>34</v>
      </c>
      <c r="G107" s="21" t="e">
        <f>DIAG!AE67</f>
        <v>#DIV/0!</v>
      </c>
      <c r="I107" s="21" t="e">
        <f>DIAG!AF67</f>
        <v>#DIV/0!</v>
      </c>
    </row>
    <row r="108" spans="5:9" ht="16.5" x14ac:dyDescent="0.35">
      <c r="E108" s="20" t="s">
        <v>22</v>
      </c>
      <c r="G108" s="21" t="e">
        <f>DIAG!AE68</f>
        <v>#DIV/0!</v>
      </c>
      <c r="I108" s="21" t="e">
        <f>DIAG!AF68</f>
        <v>#DIV/0!</v>
      </c>
    </row>
    <row r="109" spans="5:9" ht="16.5" x14ac:dyDescent="0.35">
      <c r="E109" s="20" t="s">
        <v>14</v>
      </c>
      <c r="G109" s="22" t="e">
        <f>DIAG!AE69/100</f>
        <v>#DIV/0!</v>
      </c>
      <c r="I109" s="22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4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117</v>
      </c>
      <c r="C1" s="3" t="s">
        <v>118</v>
      </c>
      <c r="D1" s="4" t="s">
        <v>119</v>
      </c>
      <c r="E1" s="5"/>
      <c r="F1" s="6"/>
      <c r="G1" s="7"/>
    </row>
    <row r="2" spans="1:7" ht="14.25" x14ac:dyDescent="0.3">
      <c r="A2" s="15">
        <v>1</v>
      </c>
      <c r="B2" s="14" t="s">
        <v>58</v>
      </c>
      <c r="C2" s="8" t="s">
        <v>120</v>
      </c>
      <c r="D2" s="9">
        <v>154</v>
      </c>
      <c r="E2" s="10"/>
      <c r="F2" s="11"/>
      <c r="G2" s="12"/>
    </row>
    <row r="3" spans="1:7" ht="14.25" x14ac:dyDescent="0.3">
      <c r="A3" s="15">
        <v>1</v>
      </c>
      <c r="B3" s="14" t="s">
        <v>58</v>
      </c>
      <c r="C3" s="8" t="s">
        <v>121</v>
      </c>
      <c r="D3" s="9">
        <v>145</v>
      </c>
      <c r="E3" s="10"/>
      <c r="F3" s="11"/>
      <c r="G3" s="12"/>
    </row>
    <row r="4" spans="1:7" ht="14.25" x14ac:dyDescent="0.3">
      <c r="A4" s="15">
        <v>1</v>
      </c>
      <c r="B4" s="14" t="s">
        <v>58</v>
      </c>
      <c r="C4" s="8" t="s">
        <v>122</v>
      </c>
      <c r="D4" s="9">
        <v>123</v>
      </c>
      <c r="E4" s="10"/>
      <c r="F4" s="11"/>
      <c r="G4" s="12"/>
    </row>
    <row r="5" spans="1:7" ht="14.25" x14ac:dyDescent="0.3">
      <c r="A5" s="15">
        <v>2</v>
      </c>
      <c r="B5" s="14" t="s">
        <v>59</v>
      </c>
      <c r="C5" s="8" t="s">
        <v>120</v>
      </c>
      <c r="D5" s="9">
        <v>158</v>
      </c>
      <c r="E5" s="10"/>
      <c r="F5" s="11"/>
      <c r="G5" s="12"/>
    </row>
    <row r="6" spans="1:7" ht="14.25" x14ac:dyDescent="0.3">
      <c r="A6" s="15">
        <v>2</v>
      </c>
      <c r="B6" s="14" t="s">
        <v>59</v>
      </c>
      <c r="C6" s="8" t="s">
        <v>121</v>
      </c>
      <c r="D6" s="9">
        <v>157</v>
      </c>
      <c r="E6" s="10"/>
      <c r="F6" s="11"/>
      <c r="G6" s="12"/>
    </row>
    <row r="7" spans="1:7" ht="14.25" x14ac:dyDescent="0.3">
      <c r="A7" s="15">
        <v>2</v>
      </c>
      <c r="B7" s="14" t="s">
        <v>59</v>
      </c>
      <c r="C7" s="8" t="s">
        <v>122</v>
      </c>
      <c r="D7" s="9">
        <v>169</v>
      </c>
      <c r="E7" s="10"/>
      <c r="F7" s="11"/>
      <c r="G7" s="12"/>
    </row>
    <row r="8" spans="1:7" ht="14.25" x14ac:dyDescent="0.3">
      <c r="A8" s="15">
        <v>3</v>
      </c>
      <c r="B8" s="14" t="s">
        <v>124</v>
      </c>
      <c r="C8" s="8" t="s">
        <v>120</v>
      </c>
      <c r="D8" s="9">
        <v>123</v>
      </c>
      <c r="E8" s="10"/>
      <c r="F8" s="11"/>
      <c r="G8" s="12"/>
    </row>
    <row r="9" spans="1:7" ht="14.25" x14ac:dyDescent="0.3">
      <c r="A9" s="15">
        <v>3</v>
      </c>
      <c r="B9" s="14" t="s">
        <v>124</v>
      </c>
      <c r="C9" s="8" t="s">
        <v>121</v>
      </c>
      <c r="D9" s="9">
        <v>321</v>
      </c>
      <c r="E9" s="10"/>
      <c r="F9" s="11"/>
      <c r="G9" s="12"/>
    </row>
    <row r="10" spans="1:7" ht="14.25" x14ac:dyDescent="0.3">
      <c r="A10" s="15">
        <v>3</v>
      </c>
      <c r="B10" s="14" t="s">
        <v>124</v>
      </c>
      <c r="C10" s="8" t="s">
        <v>122</v>
      </c>
      <c r="D10" s="9">
        <v>2544</v>
      </c>
      <c r="E10" s="10"/>
      <c r="F10" s="11"/>
      <c r="G10" s="12"/>
    </row>
    <row r="11" spans="1:7" ht="14.25" x14ac:dyDescent="0.3">
      <c r="A11" s="15">
        <v>4</v>
      </c>
      <c r="B11" s="14"/>
      <c r="C11" s="8" t="s">
        <v>120</v>
      </c>
      <c r="D11" s="9"/>
      <c r="E11" s="10"/>
      <c r="F11" s="11"/>
      <c r="G11" s="12"/>
    </row>
    <row r="12" spans="1:7" ht="14.25" x14ac:dyDescent="0.3">
      <c r="A12" s="15">
        <v>4</v>
      </c>
      <c r="B12" s="14">
        <v>0</v>
      </c>
      <c r="C12" s="8" t="s">
        <v>121</v>
      </c>
      <c r="D12" s="9"/>
      <c r="E12" s="10"/>
      <c r="F12" s="11"/>
      <c r="G12" s="12"/>
    </row>
    <row r="13" spans="1:7" ht="14.25" x14ac:dyDescent="0.3">
      <c r="A13" s="15">
        <v>4</v>
      </c>
      <c r="B13" s="14">
        <v>0</v>
      </c>
      <c r="C13" s="8" t="s">
        <v>122</v>
      </c>
      <c r="D13" s="9"/>
      <c r="E13" s="10"/>
      <c r="F13" s="11"/>
      <c r="G13" s="12"/>
    </row>
    <row r="14" spans="1:7" ht="14.25" x14ac:dyDescent="0.3">
      <c r="A14" s="15">
        <v>5</v>
      </c>
      <c r="B14" s="14"/>
      <c r="C14" s="8" t="s">
        <v>120</v>
      </c>
      <c r="D14" s="9"/>
      <c r="E14" s="10"/>
      <c r="F14" s="11"/>
      <c r="G14" s="12"/>
    </row>
    <row r="15" spans="1:7" ht="14.25" x14ac:dyDescent="0.3">
      <c r="A15" s="15">
        <v>5</v>
      </c>
      <c r="B15" s="14">
        <v>0</v>
      </c>
      <c r="C15" s="8" t="s">
        <v>121</v>
      </c>
      <c r="D15" s="9"/>
      <c r="E15" s="10"/>
      <c r="F15" s="11"/>
      <c r="G15" s="12"/>
    </row>
    <row r="16" spans="1:7" ht="14.25" x14ac:dyDescent="0.3">
      <c r="A16" s="15">
        <v>5</v>
      </c>
      <c r="B16" s="14">
        <v>0</v>
      </c>
      <c r="C16" s="8" t="s">
        <v>122</v>
      </c>
      <c r="D16" s="9"/>
      <c r="E16" s="10"/>
      <c r="F16" s="11"/>
      <c r="G16" s="12"/>
    </row>
    <row r="17" spans="1:9" ht="14.25" x14ac:dyDescent="0.3">
      <c r="A17" s="15">
        <v>6</v>
      </c>
      <c r="B17" s="14"/>
      <c r="C17" s="8" t="s">
        <v>120</v>
      </c>
      <c r="D17" s="9"/>
      <c r="E17" s="10"/>
      <c r="F17" s="11"/>
      <c r="G17" s="12"/>
    </row>
    <row r="18" spans="1:9" ht="14.25" x14ac:dyDescent="0.3">
      <c r="A18" s="15">
        <v>6</v>
      </c>
      <c r="B18" s="14">
        <v>0</v>
      </c>
      <c r="C18" s="8" t="s">
        <v>121</v>
      </c>
      <c r="D18" s="9"/>
      <c r="E18" s="10"/>
      <c r="F18" s="11"/>
      <c r="G18" s="12"/>
    </row>
    <row r="19" spans="1:9" ht="14.25" x14ac:dyDescent="0.3">
      <c r="A19" s="15">
        <v>6</v>
      </c>
      <c r="B19" s="14">
        <v>0</v>
      </c>
      <c r="C19" s="8" t="s">
        <v>122</v>
      </c>
      <c r="D19" s="9"/>
      <c r="E19" s="10"/>
      <c r="F19" s="11"/>
      <c r="G19" s="12"/>
    </row>
    <row r="20" spans="1:9" ht="14.25" x14ac:dyDescent="0.3">
      <c r="A20" s="15">
        <v>7</v>
      </c>
      <c r="B20" s="14"/>
      <c r="C20" s="8" t="s">
        <v>120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121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122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120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121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122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120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121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122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120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121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28" t="s">
        <v>122</v>
      </c>
      <c r="D31" s="13"/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O29" sqref="O29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5" width="4.5" style="52" bestFit="1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35"/>
      <c r="C1" s="235"/>
      <c r="D1" s="53"/>
      <c r="E1" s="235"/>
      <c r="F1" s="235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38" t="s">
        <v>20</v>
      </c>
      <c r="B4" s="239"/>
      <c r="C4" s="239"/>
      <c r="D4" s="239"/>
      <c r="E4" s="239"/>
      <c r="F4" s="239"/>
      <c r="G4" s="239"/>
      <c r="H4" s="239"/>
      <c r="I4" s="239"/>
      <c r="J4" s="239"/>
      <c r="K4" s="240"/>
      <c r="L4" s="236"/>
      <c r="M4" s="237"/>
      <c r="O4" s="54" t="s">
        <v>89</v>
      </c>
      <c r="P4" s="52">
        <f>DIAG!W1</f>
        <v>3</v>
      </c>
    </row>
    <row r="5" spans="1:28" x14ac:dyDescent="0.2">
      <c r="A5" s="55" t="s">
        <v>21</v>
      </c>
      <c r="B5" s="56" t="str">
        <f>CONCATENATE(" 1-",Resumo!B2)</f>
        <v xml:space="preserve"> 1-a</v>
      </c>
      <c r="C5" s="56" t="str">
        <f>CONCATENATE(" 2-",Resumo!B9)</f>
        <v xml:space="preserve"> 2-b</v>
      </c>
      <c r="D5" s="56" t="str">
        <f>CONCATENATE(" 3-",Resumo!B16)</f>
        <v xml:space="preserve"> 3-c</v>
      </c>
      <c r="E5" s="56" t="str">
        <f>CONCATENATE(" 4-",Resumo!B23)</f>
        <v xml:space="preserve"> 4-0</v>
      </c>
      <c r="F5" s="56" t="str">
        <f>CONCATENATE(" 5-",Resumo!B30)</f>
        <v xml:space="preserve"> 5-0</v>
      </c>
      <c r="G5" s="56" t="str">
        <f>CONCATENATE(" 6-",Resumo!B37)</f>
        <v xml:space="preserve"> 6-0</v>
      </c>
      <c r="H5" s="56" t="str">
        <f>CONCATENATE(" 7-",Resumo!B44)</f>
        <v xml:space="preserve"> 7-0</v>
      </c>
      <c r="I5" s="56" t="str">
        <f>CONCATENATE(" 8-",Resumo!B51)</f>
        <v xml:space="preserve"> 8-0</v>
      </c>
      <c r="J5" s="56" t="str">
        <f>CONCATENATE(" 9-",Resumo!B58)</f>
        <v xml:space="preserve"> 9-0</v>
      </c>
      <c r="K5" s="56" t="str">
        <f>CONCATENATE("10-",Resumo!B65)</f>
        <v>10-0</v>
      </c>
      <c r="L5" s="56" t="s">
        <v>1</v>
      </c>
      <c r="O5" s="54" t="s">
        <v>87</v>
      </c>
      <c r="P5" s="57">
        <f ca="1">IF(P4=0,0,MAX(OFFSET(Q4,1,1,1,P4)))</f>
        <v>2988</v>
      </c>
      <c r="R5" s="57">
        <f t="shared" ref="R5:AA5" si="0">B9</f>
        <v>422</v>
      </c>
      <c r="S5" s="57">
        <f t="shared" si="0"/>
        <v>484</v>
      </c>
      <c r="T5" s="57">
        <f t="shared" si="0"/>
        <v>2988</v>
      </c>
      <c r="U5" s="57">
        <f t="shared" si="0"/>
        <v>0</v>
      </c>
      <c r="V5" s="57">
        <f t="shared" si="0"/>
        <v>0</v>
      </c>
      <c r="W5" s="57">
        <f t="shared" si="0"/>
        <v>0</v>
      </c>
      <c r="X5" s="57">
        <f t="shared" si="0"/>
        <v>0</v>
      </c>
      <c r="Y5" s="57">
        <f t="shared" si="0"/>
        <v>0</v>
      </c>
      <c r="Z5" s="57">
        <f t="shared" si="0"/>
        <v>0</v>
      </c>
      <c r="AA5" s="57">
        <f t="shared" si="0"/>
        <v>0</v>
      </c>
    </row>
    <row r="6" spans="1:28" x14ac:dyDescent="0.2">
      <c r="A6" s="58" t="s">
        <v>5</v>
      </c>
      <c r="B6" s="59">
        <f>Resumo!I5</f>
        <v>154</v>
      </c>
      <c r="C6" s="59">
        <f>Resumo!I12</f>
        <v>158</v>
      </c>
      <c r="D6" s="59">
        <f>Resumo!I19</f>
        <v>123</v>
      </c>
      <c r="E6" s="59">
        <f>Resumo!I26</f>
        <v>0</v>
      </c>
      <c r="F6" s="59">
        <f>Resumo!I33</f>
        <v>0</v>
      </c>
      <c r="G6" s="59">
        <f>Resumo!I40</f>
        <v>0</v>
      </c>
      <c r="H6" s="59">
        <f>Resumo!I47</f>
        <v>0</v>
      </c>
      <c r="I6" s="59">
        <f>Resumo!I54</f>
        <v>0</v>
      </c>
      <c r="J6" s="59">
        <f>Resumo!I61</f>
        <v>0</v>
      </c>
      <c r="K6" s="59">
        <f>Resumo!I68</f>
        <v>0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422</v>
      </c>
      <c r="R6" s="52">
        <f ca="1">IF(R5=0,0,LOG(R5/$P$6,10))</f>
        <v>0</v>
      </c>
      <c r="S6" s="52">
        <f t="shared" ref="S6:AA6" ca="1" si="1">IF(S5=0,0,LOG(S5/$P$6,10))</f>
        <v>5.9532910682738638E-2</v>
      </c>
      <c r="T6" s="52">
        <f t="shared" ca="1" si="1"/>
        <v>0.85006814218168725</v>
      </c>
      <c r="U6" s="52">
        <f t="shared" si="1"/>
        <v>0</v>
      </c>
      <c r="V6" s="52">
        <f t="shared" si="1"/>
        <v>0</v>
      </c>
      <c r="W6" s="52">
        <f t="shared" si="1"/>
        <v>0</v>
      </c>
      <c r="X6" s="52">
        <f t="shared" si="1"/>
        <v>0</v>
      </c>
      <c r="Y6" s="52">
        <f t="shared" si="1"/>
        <v>0</v>
      </c>
      <c r="Z6" s="52">
        <f t="shared" si="1"/>
        <v>0</v>
      </c>
      <c r="AA6" s="52">
        <f t="shared" si="1"/>
        <v>0</v>
      </c>
    </row>
    <row r="7" spans="1:28" x14ac:dyDescent="0.2">
      <c r="A7" s="58" t="s">
        <v>6</v>
      </c>
      <c r="B7" s="59">
        <f>Resumo!I6</f>
        <v>145</v>
      </c>
      <c r="C7" s="59">
        <f>Resumo!I13</f>
        <v>157</v>
      </c>
      <c r="D7" s="59">
        <f>Resumo!I20</f>
        <v>321</v>
      </c>
      <c r="E7" s="59">
        <f>Resumo!I27</f>
        <v>0</v>
      </c>
      <c r="F7" s="59">
        <f>Resumo!I34</f>
        <v>0</v>
      </c>
      <c r="G7" s="59">
        <f>Resumo!I41</f>
        <v>0</v>
      </c>
      <c r="H7" s="59">
        <f>Resumo!I48</f>
        <v>0</v>
      </c>
      <c r="I7" s="59">
        <f>Resumo!I55</f>
        <v>0</v>
      </c>
      <c r="J7" s="59">
        <f>Resumo!I62</f>
        <v>0</v>
      </c>
      <c r="K7" s="59">
        <f>Resumo!I69</f>
        <v>0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123</v>
      </c>
      <c r="C8" s="63">
        <f>Resumo!I14</f>
        <v>169</v>
      </c>
      <c r="D8" s="63">
        <f>Resumo!I21</f>
        <v>2544</v>
      </c>
      <c r="E8" s="63">
        <f>Resumo!I28</f>
        <v>0</v>
      </c>
      <c r="F8" s="63">
        <f>Resumo!I35</f>
        <v>0</v>
      </c>
      <c r="G8" s="63">
        <f>Resumo!I42</f>
        <v>0</v>
      </c>
      <c r="H8" s="59">
        <f>Resumo!I49</f>
        <v>0</v>
      </c>
      <c r="I8" s="59">
        <f>Resumo!I56</f>
        <v>0</v>
      </c>
      <c r="J8" s="59">
        <f>Resumo!I63</f>
        <v>0</v>
      </c>
      <c r="K8" s="59">
        <f>Resumo!I70</f>
        <v>0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0.85006814218168725</v>
      </c>
      <c r="R8" s="57">
        <f ca="1">R6/$P$8</f>
        <v>0</v>
      </c>
      <c r="S8" s="52">
        <f t="shared" ref="S8:AA8" ca="1" si="2">S6/$P$8</f>
        <v>7.0033104087336234E-2</v>
      </c>
      <c r="T8" s="52">
        <f t="shared" ca="1" si="2"/>
        <v>1</v>
      </c>
      <c r="U8" s="52">
        <f t="shared" ca="1" si="2"/>
        <v>0</v>
      </c>
      <c r="V8" s="52">
        <f t="shared" ca="1" si="2"/>
        <v>0</v>
      </c>
      <c r="W8" s="52">
        <f t="shared" ca="1" si="2"/>
        <v>0</v>
      </c>
      <c r="X8" s="52">
        <f t="shared" ca="1" si="2"/>
        <v>0</v>
      </c>
      <c r="Y8" s="52">
        <f t="shared" ca="1" si="2"/>
        <v>0</v>
      </c>
      <c r="Z8" s="52">
        <f t="shared" ca="1" si="2"/>
        <v>0</v>
      </c>
      <c r="AA8" s="52">
        <f t="shared" ca="1" si="2"/>
        <v>0</v>
      </c>
    </row>
    <row r="9" spans="1:28" x14ac:dyDescent="0.2">
      <c r="A9" s="62" t="s">
        <v>18</v>
      </c>
      <c r="B9" s="64">
        <f>Resumo!I8</f>
        <v>422</v>
      </c>
      <c r="C9" s="64">
        <f>Resumo!I15</f>
        <v>484</v>
      </c>
      <c r="D9" s="64">
        <f>Resumo!I22</f>
        <v>2988</v>
      </c>
      <c r="E9" s="64">
        <f>Resumo!I29</f>
        <v>0</v>
      </c>
      <c r="F9" s="64">
        <f>Resumo!I36</f>
        <v>0</v>
      </c>
      <c r="G9" s="64">
        <f>Resumo!I43</f>
        <v>0</v>
      </c>
      <c r="H9" s="65">
        <f>Resumo!I50</f>
        <v>0</v>
      </c>
      <c r="I9" s="66">
        <f>Resumo!I57</f>
        <v>0</v>
      </c>
      <c r="J9" s="66">
        <f>Resumo!I64</f>
        <v>0</v>
      </c>
      <c r="K9" s="66">
        <f>Resumo!I71</f>
        <v>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3">B20/B22</f>
        <v>1.9714840431986407</v>
      </c>
      <c r="C10" s="69">
        <f t="shared" si="3"/>
        <v>1.3880277344175409</v>
      </c>
      <c r="D10" s="69">
        <f t="shared" si="3"/>
        <v>5.0424775264249731E-2</v>
      </c>
      <c r="E10" s="69" t="e">
        <f t="shared" si="3"/>
        <v>#DIV/0!</v>
      </c>
      <c r="F10" s="69" t="e">
        <f t="shared" si="3"/>
        <v>#DIV/0!</v>
      </c>
      <c r="G10" s="69" t="e">
        <f t="shared" si="3"/>
        <v>#DIV/0!</v>
      </c>
      <c r="H10" s="69" t="e">
        <f t="shared" si="3"/>
        <v>#DIV/0!</v>
      </c>
      <c r="I10" s="69" t="e">
        <f t="shared" si="3"/>
        <v>#DIV/0!</v>
      </c>
      <c r="J10" s="69" t="e">
        <f t="shared" si="3"/>
        <v>#DIV/0!</v>
      </c>
      <c r="K10" s="69" t="e">
        <f t="shared" si="3"/>
        <v>#DIV/0!</v>
      </c>
      <c r="L10" s="69" t="e">
        <f t="shared" si="3"/>
        <v>#DIV/0!</v>
      </c>
      <c r="N10" s="60"/>
      <c r="O10" s="52" t="s">
        <v>12</v>
      </c>
      <c r="R10" s="52">
        <f ca="1">ROUND(10*R8,0)</f>
        <v>0</v>
      </c>
      <c r="S10" s="52">
        <f t="shared" ref="S10:AA10" ca="1" si="4">ROUND(10*S8,0)</f>
        <v>1</v>
      </c>
      <c r="T10" s="52">
        <f t="shared" ca="1" si="4"/>
        <v>10</v>
      </c>
      <c r="U10" s="52">
        <f t="shared" ca="1" si="4"/>
        <v>0</v>
      </c>
      <c r="V10" s="52">
        <f t="shared" ca="1" si="4"/>
        <v>0</v>
      </c>
      <c r="W10" s="52">
        <f t="shared" ca="1" si="4"/>
        <v>0</v>
      </c>
      <c r="X10" s="52">
        <f t="shared" ca="1" si="4"/>
        <v>0</v>
      </c>
      <c r="Y10" s="52">
        <f t="shared" ca="1" si="4"/>
        <v>0</v>
      </c>
      <c r="Z10" s="52">
        <f t="shared" ca="1" si="4"/>
        <v>0</v>
      </c>
      <c r="AA10" s="52">
        <f t="shared" ca="1" si="4"/>
        <v>0</v>
      </c>
      <c r="AB10" s="60"/>
    </row>
    <row r="11" spans="1:28" x14ac:dyDescent="0.2">
      <c r="A11" s="67" t="s">
        <v>14</v>
      </c>
      <c r="B11" s="70">
        <f>B6/B$9</f>
        <v>0.36492890995260663</v>
      </c>
      <c r="C11" s="70">
        <f t="shared" ref="C11:L11" si="5">C6/C$9</f>
        <v>0.32644628099173556</v>
      </c>
      <c r="D11" s="70">
        <f t="shared" si="5"/>
        <v>4.1164658634538151E-2</v>
      </c>
      <c r="E11" s="70" t="e">
        <f t="shared" si="5"/>
        <v>#DIV/0!</v>
      </c>
      <c r="F11" s="70" t="e">
        <f t="shared" si="5"/>
        <v>#DIV/0!</v>
      </c>
      <c r="G11" s="70" t="e">
        <f t="shared" si="5"/>
        <v>#DIV/0!</v>
      </c>
      <c r="H11" s="70" t="e">
        <f t="shared" ref="H11:K13" si="6">H6/H$9</f>
        <v>#DIV/0!</v>
      </c>
      <c r="I11" s="70" t="e">
        <f t="shared" si="6"/>
        <v>#DIV/0!</v>
      </c>
      <c r="J11" s="70" t="e">
        <f t="shared" si="6"/>
        <v>#DIV/0!</v>
      </c>
      <c r="K11" s="70" t="e">
        <f t="shared" si="6"/>
        <v>#DIV/0!</v>
      </c>
      <c r="L11" s="70" t="e">
        <f t="shared" si="5"/>
        <v>#DIV/0!</v>
      </c>
      <c r="N11" s="60"/>
    </row>
    <row r="12" spans="1:28" x14ac:dyDescent="0.2">
      <c r="A12" s="67" t="s">
        <v>16</v>
      </c>
      <c r="B12" s="70">
        <f t="shared" ref="B12:L13" si="7">B7/B$9</f>
        <v>0.34360189573459715</v>
      </c>
      <c r="C12" s="70">
        <f t="shared" si="7"/>
        <v>0.32438016528925617</v>
      </c>
      <c r="D12" s="70">
        <f t="shared" si="7"/>
        <v>0.10742971887550201</v>
      </c>
      <c r="E12" s="70" t="e">
        <f t="shared" si="7"/>
        <v>#DIV/0!</v>
      </c>
      <c r="F12" s="70" t="e">
        <f t="shared" si="7"/>
        <v>#DIV/0!</v>
      </c>
      <c r="G12" s="70" t="e">
        <f t="shared" si="7"/>
        <v>#DIV/0!</v>
      </c>
      <c r="H12" s="70" t="e">
        <f t="shared" si="6"/>
        <v>#DIV/0!</v>
      </c>
      <c r="I12" s="70" t="e">
        <f t="shared" si="6"/>
        <v>#DIV/0!</v>
      </c>
      <c r="J12" s="70" t="e">
        <f t="shared" si="6"/>
        <v>#DIV/0!</v>
      </c>
      <c r="K12" s="70" t="e">
        <f t="shared" si="6"/>
        <v>#DIV/0!</v>
      </c>
      <c r="L12" s="70" t="e">
        <f t="shared" si="7"/>
        <v>#DIV/0!</v>
      </c>
    </row>
    <row r="13" spans="1:28" x14ac:dyDescent="0.2">
      <c r="A13" s="67" t="s">
        <v>15</v>
      </c>
      <c r="B13" s="70">
        <f t="shared" si="7"/>
        <v>0.29146919431279622</v>
      </c>
      <c r="C13" s="70">
        <f t="shared" si="7"/>
        <v>0.34917355371900827</v>
      </c>
      <c r="D13" s="70">
        <f t="shared" si="7"/>
        <v>0.85140562248995988</v>
      </c>
      <c r="E13" s="70" t="e">
        <f t="shared" si="7"/>
        <v>#DIV/0!</v>
      </c>
      <c r="F13" s="70" t="e">
        <f t="shared" si="7"/>
        <v>#DIV/0!</v>
      </c>
      <c r="G13" s="70" t="e">
        <f t="shared" si="7"/>
        <v>#DIV/0!</v>
      </c>
      <c r="H13" s="70" t="e">
        <f t="shared" si="6"/>
        <v>#DIV/0!</v>
      </c>
      <c r="I13" s="70" t="e">
        <f t="shared" si="6"/>
        <v>#DIV/0!</v>
      </c>
      <c r="J13" s="70" t="e">
        <f t="shared" si="6"/>
        <v>#DIV/0!</v>
      </c>
      <c r="K13" s="70" t="e">
        <f t="shared" si="6"/>
        <v>#DIV/0!</v>
      </c>
      <c r="L13" s="70" t="e">
        <f t="shared" si="7"/>
        <v>#DIV/0!</v>
      </c>
    </row>
    <row r="14" spans="1:28" x14ac:dyDescent="0.2">
      <c r="A14" s="232" t="s">
        <v>23</v>
      </c>
      <c r="B14" s="233"/>
      <c r="C14" s="233"/>
      <c r="D14" s="233"/>
      <c r="E14" s="233"/>
      <c r="F14" s="233"/>
      <c r="G14" s="233"/>
      <c r="H14" s="233"/>
      <c r="I14" s="233"/>
      <c r="J14" s="233"/>
      <c r="K14" s="233"/>
      <c r="L14" s="234"/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8">B6/B9</f>
        <v>0.36492890995260663</v>
      </c>
      <c r="C15" s="72">
        <f t="shared" si="8"/>
        <v>0.32644628099173556</v>
      </c>
      <c r="D15" s="72">
        <f t="shared" si="8"/>
        <v>4.1164658634538151E-2</v>
      </c>
      <c r="E15" s="72" t="e">
        <f t="shared" si="8"/>
        <v>#DIV/0!</v>
      </c>
      <c r="F15" s="72" t="e">
        <f t="shared" si="8"/>
        <v>#DIV/0!</v>
      </c>
      <c r="G15" s="72" t="e">
        <f t="shared" si="8"/>
        <v>#DIV/0!</v>
      </c>
      <c r="H15" s="72" t="e">
        <f>H6/H9</f>
        <v>#DIV/0!</v>
      </c>
      <c r="I15" s="72" t="e">
        <f>I6/I9</f>
        <v>#DIV/0!</v>
      </c>
      <c r="J15" s="72" t="e">
        <f>J6/J9</f>
        <v>#DIV/0!</v>
      </c>
      <c r="K15" s="72" t="e">
        <f>K6/K9</f>
        <v>#DIV/0!</v>
      </c>
      <c r="L15" s="72" t="e">
        <f t="shared" si="8"/>
        <v>#DIV/0!</v>
      </c>
      <c r="S15" s="52" t="s">
        <v>47</v>
      </c>
      <c r="T15" s="73">
        <f t="shared" ref="T15:X16" si="9">T18*$Y$15+T20*$Z$15+T22*$AA$15</f>
        <v>-0.57999999999999996</v>
      </c>
      <c r="U15" s="73">
        <f t="shared" si="9"/>
        <v>0.57999999999999996</v>
      </c>
      <c r="V15" s="73">
        <f t="shared" si="9"/>
        <v>0.57999999999999996</v>
      </c>
      <c r="W15" s="73">
        <f t="shared" si="9"/>
        <v>-0.57999999999999996</v>
      </c>
      <c r="X15" s="73">
        <f t="shared" si="9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0">B7/B9</f>
        <v>0.34360189573459715</v>
      </c>
      <c r="C16" s="72">
        <f t="shared" si="10"/>
        <v>0.32438016528925617</v>
      </c>
      <c r="D16" s="72">
        <f t="shared" si="10"/>
        <v>0.10742971887550201</v>
      </c>
      <c r="E16" s="72" t="e">
        <f t="shared" si="10"/>
        <v>#DIV/0!</v>
      </c>
      <c r="F16" s="72" t="e">
        <f t="shared" si="10"/>
        <v>#DIV/0!</v>
      </c>
      <c r="G16" s="72" t="e">
        <f t="shared" si="10"/>
        <v>#DIV/0!</v>
      </c>
      <c r="H16" s="72" t="e">
        <f>H7/H9</f>
        <v>#DIV/0!</v>
      </c>
      <c r="I16" s="72" t="e">
        <f>I7/I9</f>
        <v>#DIV/0!</v>
      </c>
      <c r="J16" s="72" t="e">
        <f>J7/J9</f>
        <v>#DIV/0!</v>
      </c>
      <c r="K16" s="72" t="e">
        <f>K7/K9</f>
        <v>#DIV/0!</v>
      </c>
      <c r="L16" s="72" t="e">
        <f t="shared" si="10"/>
        <v>#DIV/0!</v>
      </c>
      <c r="S16" s="52" t="s">
        <v>56</v>
      </c>
      <c r="T16" s="73">
        <f t="shared" si="9"/>
        <v>-0.1</v>
      </c>
      <c r="U16" s="73">
        <f t="shared" si="9"/>
        <v>-0.1</v>
      </c>
      <c r="V16" s="73">
        <f t="shared" si="9"/>
        <v>1.1000000000000001</v>
      </c>
      <c r="W16" s="73">
        <f t="shared" si="9"/>
        <v>1.1000000000000001</v>
      </c>
      <c r="X16" s="73">
        <f t="shared" si="9"/>
        <v>-0.1</v>
      </c>
    </row>
    <row r="17" spans="1:51" x14ac:dyDescent="0.2">
      <c r="A17" s="51" t="s">
        <v>26</v>
      </c>
      <c r="B17" s="75">
        <f t="shared" ref="B17:L17" si="11">B8/B9</f>
        <v>0.29146919431279622</v>
      </c>
      <c r="C17" s="76">
        <f t="shared" si="11"/>
        <v>0.34917355371900827</v>
      </c>
      <c r="D17" s="76">
        <f t="shared" si="11"/>
        <v>0.85140562248995988</v>
      </c>
      <c r="E17" s="76" t="e">
        <f t="shared" si="11"/>
        <v>#DIV/0!</v>
      </c>
      <c r="F17" s="76" t="e">
        <f t="shared" si="11"/>
        <v>#DIV/0!</v>
      </c>
      <c r="G17" s="76" t="e">
        <f t="shared" si="11"/>
        <v>#DIV/0!</v>
      </c>
      <c r="H17" s="76" t="e">
        <f>H8/H9</f>
        <v>#DIV/0!</v>
      </c>
      <c r="I17" s="76" t="e">
        <f>I8/I9</f>
        <v>#DIV/0!</v>
      </c>
      <c r="J17" s="76" t="e">
        <f>J8/J9</f>
        <v>#DIV/0!</v>
      </c>
      <c r="K17" s="76" t="e">
        <f>K8/K9</f>
        <v>#DIV/0!</v>
      </c>
      <c r="L17" s="76" t="e">
        <f t="shared" si="11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2">B15+B16</f>
        <v>0.70853080568720372</v>
      </c>
      <c r="C18" s="81">
        <f t="shared" si="12"/>
        <v>0.65082644628099173</v>
      </c>
      <c r="D18" s="81">
        <f t="shared" si="12"/>
        <v>0.14859437751004018</v>
      </c>
      <c r="E18" s="81" t="e">
        <f t="shared" si="12"/>
        <v>#DIV/0!</v>
      </c>
      <c r="F18" s="81" t="e">
        <f t="shared" si="12"/>
        <v>#DIV/0!</v>
      </c>
      <c r="G18" s="81" t="e">
        <f t="shared" si="12"/>
        <v>#DIV/0!</v>
      </c>
      <c r="H18" s="81" t="e">
        <f>H15+H16</f>
        <v>#DIV/0!</v>
      </c>
      <c r="I18" s="81" t="e">
        <f>I15+I16</f>
        <v>#DIV/0!</v>
      </c>
      <c r="J18" s="81" t="e">
        <f>J15+J16</f>
        <v>#DIV/0!</v>
      </c>
      <c r="K18" s="81" t="e">
        <f>K15+K16</f>
        <v>#DIV/0!</v>
      </c>
      <c r="L18" s="81" t="e">
        <f t="shared" si="12"/>
        <v>#DIV/0!</v>
      </c>
      <c r="M18" s="82" t="s">
        <v>28</v>
      </c>
      <c r="N18" s="83"/>
      <c r="S18" s="52" t="s">
        <v>100</v>
      </c>
      <c r="T18" s="73">
        <v>-0.57999999999999996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3">B15+B16+B17</f>
        <v>1</v>
      </c>
      <c r="C19" s="81">
        <f t="shared" si="13"/>
        <v>1</v>
      </c>
      <c r="D19" s="81">
        <f t="shared" si="13"/>
        <v>1</v>
      </c>
      <c r="E19" s="81" t="e">
        <f t="shared" si="13"/>
        <v>#DIV/0!</v>
      </c>
      <c r="F19" s="81" t="e">
        <f t="shared" si="13"/>
        <v>#DIV/0!</v>
      </c>
      <c r="G19" s="81" t="e">
        <f t="shared" si="13"/>
        <v>#DIV/0!</v>
      </c>
      <c r="H19" s="81" t="e">
        <f>H15+H16+H17</f>
        <v>#DIV/0!</v>
      </c>
      <c r="I19" s="81" t="e">
        <f>I15+I16+I17</f>
        <v>#DIV/0!</v>
      </c>
      <c r="J19" s="81" t="e">
        <f>J15+J16+J17</f>
        <v>#DIV/0!</v>
      </c>
      <c r="K19" s="81" t="e">
        <f>K15+K16+K17</f>
        <v>#DIV/0!</v>
      </c>
      <c r="L19" s="81" t="e">
        <f t="shared" si="13"/>
        <v>#DIV/0!</v>
      </c>
      <c r="M19" s="84" t="s">
        <v>30</v>
      </c>
      <c r="N19" s="84" t="s">
        <v>31</v>
      </c>
      <c r="S19" s="52" t="s">
        <v>101</v>
      </c>
      <c r="T19" s="73">
        <v>-0.1</v>
      </c>
      <c r="U19" s="73">
        <v>-0.1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4">1/B17</f>
        <v>3.4308943089430892</v>
      </c>
      <c r="C20" s="87">
        <f t="shared" si="14"/>
        <v>2.863905325443787</v>
      </c>
      <c r="D20" s="87">
        <f t="shared" si="14"/>
        <v>1.1745283018867925</v>
      </c>
      <c r="E20" s="87" t="e">
        <f t="shared" si="14"/>
        <v>#DIV/0!</v>
      </c>
      <c r="F20" s="87" t="e">
        <f t="shared" si="14"/>
        <v>#DIV/0!</v>
      </c>
      <c r="G20" s="87" t="e">
        <f t="shared" si="14"/>
        <v>#DIV/0!</v>
      </c>
      <c r="H20" s="87" t="e">
        <f>1/H17</f>
        <v>#DIV/0!</v>
      </c>
      <c r="I20" s="87" t="e">
        <f>1/I17</f>
        <v>#DIV/0!</v>
      </c>
      <c r="J20" s="87" t="e">
        <f>1/J17</f>
        <v>#DIV/0!</v>
      </c>
      <c r="K20" s="87" t="e">
        <f>1/K17</f>
        <v>#DIV/0!</v>
      </c>
      <c r="L20" s="87" t="e">
        <f t="shared" si="14"/>
        <v>#DIV/0!</v>
      </c>
      <c r="M20" s="88">
        <v>5</v>
      </c>
      <c r="N20" s="89">
        <v>2</v>
      </c>
      <c r="S20" s="52" t="s">
        <v>99</v>
      </c>
      <c r="T20" s="73">
        <v>-0.57999999999999996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15">B17/(1-B17)</f>
        <v>0.41137123745819404</v>
      </c>
      <c r="C21" s="92">
        <f t="shared" si="15"/>
        <v>0.53650793650793649</v>
      </c>
      <c r="D21" s="92">
        <f t="shared" si="15"/>
        <v>5.7297297297297316</v>
      </c>
      <c r="E21" s="92" t="e">
        <f t="shared" si="15"/>
        <v>#DIV/0!</v>
      </c>
      <c r="F21" s="92" t="e">
        <f t="shared" si="15"/>
        <v>#DIV/0!</v>
      </c>
      <c r="G21" s="92" t="e">
        <f t="shared" si="15"/>
        <v>#DIV/0!</v>
      </c>
      <c r="H21" s="92" t="e">
        <f>H17/(1-H17)</f>
        <v>#DIV/0!</v>
      </c>
      <c r="I21" s="92" t="e">
        <f>I17/(1-I17)</f>
        <v>#DIV/0!</v>
      </c>
      <c r="J21" s="92" t="e">
        <f>J17/(1-J17)</f>
        <v>#DIV/0!</v>
      </c>
      <c r="K21" s="92" t="e">
        <f>K17/(1-K17)</f>
        <v>#DIV/0!</v>
      </c>
      <c r="L21" s="92" t="e">
        <f t="shared" si="15"/>
        <v>#DIV/0!</v>
      </c>
      <c r="M21" s="93">
        <v>0.25</v>
      </c>
      <c r="N21" s="94">
        <v>1</v>
      </c>
      <c r="S21" s="52" t="s">
        <v>102</v>
      </c>
      <c r="T21" s="73">
        <v>0</v>
      </c>
      <c r="U21" s="73">
        <v>0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16">(1-B15)/B15</f>
        <v>1.7402597402597404</v>
      </c>
      <c r="C22" s="92">
        <f t="shared" si="16"/>
        <v>2.0632911392405062</v>
      </c>
      <c r="D22" s="92">
        <f t="shared" si="16"/>
        <v>23.292682926829269</v>
      </c>
      <c r="E22" s="92" t="e">
        <f t="shared" si="16"/>
        <v>#DIV/0!</v>
      </c>
      <c r="F22" s="92" t="e">
        <f t="shared" si="16"/>
        <v>#DIV/0!</v>
      </c>
      <c r="G22" s="92" t="e">
        <f t="shared" si="16"/>
        <v>#DIV/0!</v>
      </c>
      <c r="H22" s="92" t="e">
        <f>(1-H15)/H15</f>
        <v>#DIV/0!</v>
      </c>
      <c r="I22" s="92" t="e">
        <f>(1-I15)/I15</f>
        <v>#DIV/0!</v>
      </c>
      <c r="J22" s="92" t="e">
        <f>(1-J15)/J15</f>
        <v>#DIV/0!</v>
      </c>
      <c r="K22" s="92" t="e">
        <f>(1-K15)/K15</f>
        <v>#DIV/0!</v>
      </c>
      <c r="L22" s="92" t="e">
        <f t="shared" si="16"/>
        <v>#DIV/0!</v>
      </c>
      <c r="M22" s="93">
        <v>2</v>
      </c>
      <c r="N22" s="94">
        <v>10</v>
      </c>
      <c r="S22" s="52" t="s">
        <v>103</v>
      </c>
      <c r="T22" s="73">
        <v>-0.57999999999999996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17">B20/B22</f>
        <v>1.9714840431986407</v>
      </c>
      <c r="C23" s="96">
        <f t="shared" si="17"/>
        <v>1.3880277344175409</v>
      </c>
      <c r="D23" s="96">
        <f t="shared" si="17"/>
        <v>5.0424775264249731E-2</v>
      </c>
      <c r="E23" s="96" t="e">
        <f t="shared" si="17"/>
        <v>#DIV/0!</v>
      </c>
      <c r="F23" s="96" t="e">
        <f t="shared" si="17"/>
        <v>#DIV/0!</v>
      </c>
      <c r="G23" s="96" t="e">
        <f t="shared" si="17"/>
        <v>#DIV/0!</v>
      </c>
      <c r="H23" s="96" t="e">
        <f>H20/H22</f>
        <v>#DIV/0!</v>
      </c>
      <c r="I23" s="96" t="e">
        <f>I20/I22</f>
        <v>#DIV/0!</v>
      </c>
      <c r="J23" s="96" t="e">
        <f>J20/J22</f>
        <v>#DIV/0!</v>
      </c>
      <c r="K23" s="96" t="e">
        <f>K20/K22</f>
        <v>#DIV/0!</v>
      </c>
      <c r="L23" s="96" t="e">
        <f t="shared" si="17"/>
        <v>#DIV/0!</v>
      </c>
      <c r="M23" s="97">
        <v>5</v>
      </c>
      <c r="N23" s="98">
        <v>1</v>
      </c>
      <c r="S23" s="52" t="s">
        <v>104</v>
      </c>
      <c r="T23" s="73">
        <v>0</v>
      </c>
      <c r="U23" s="73">
        <v>0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32" t="s">
        <v>35</v>
      </c>
      <c r="B24" s="233"/>
      <c r="C24" s="233"/>
      <c r="D24" s="233"/>
      <c r="E24" s="233"/>
      <c r="F24" s="233"/>
      <c r="G24" s="233"/>
      <c r="H24" s="233"/>
      <c r="I24" s="233"/>
      <c r="J24" s="233"/>
      <c r="K24" s="233"/>
      <c r="L24" s="234"/>
    </row>
    <row r="25" spans="1:51" x14ac:dyDescent="0.2">
      <c r="A25" s="99" t="s">
        <v>36</v>
      </c>
      <c r="B25" s="100" t="str">
        <f t="shared" ref="B25:L25" si="18">B5</f>
        <v xml:space="preserve"> 1-a</v>
      </c>
      <c r="C25" s="56" t="str">
        <f t="shared" si="18"/>
        <v xml:space="preserve"> 2-b</v>
      </c>
      <c r="D25" s="56" t="str">
        <f t="shared" si="18"/>
        <v xml:space="preserve"> 3-c</v>
      </c>
      <c r="E25" s="56" t="str">
        <f t="shared" si="18"/>
        <v xml:space="preserve"> 4-0</v>
      </c>
      <c r="F25" s="56" t="str">
        <f t="shared" si="18"/>
        <v xml:space="preserve"> 5-0</v>
      </c>
      <c r="G25" s="56" t="str">
        <f t="shared" si="18"/>
        <v xml:space="preserve"> 6-0</v>
      </c>
      <c r="H25" s="56" t="str">
        <f>H5</f>
        <v xml:space="preserve"> 7-0</v>
      </c>
      <c r="I25" s="56" t="str">
        <f>I5</f>
        <v xml:space="preserve"> 8-0</v>
      </c>
      <c r="J25" s="56" t="str">
        <f>J5</f>
        <v xml:space="preserve"> 9-0</v>
      </c>
      <c r="K25" s="56" t="str">
        <f>K5</f>
        <v>10-0</v>
      </c>
      <c r="L25" s="56" t="str">
        <f t="shared" si="18"/>
        <v>Simergia</v>
      </c>
    </row>
    <row r="26" spans="1:51" ht="15.75" x14ac:dyDescent="0.3">
      <c r="A26" s="101" t="s">
        <v>112</v>
      </c>
      <c r="B26" s="102">
        <f t="shared" ref="B26:L26" si="19">(2*B17+B15-1)/SQRT(3)</f>
        <v>-3.0098829199459155E-2</v>
      </c>
      <c r="C26" s="103">
        <f t="shared" si="19"/>
        <v>1.4314469484040389E-2</v>
      </c>
      <c r="D26" s="103">
        <f t="shared" si="19"/>
        <v>0.42953468822240243</v>
      </c>
      <c r="E26" s="103" t="e">
        <f t="shared" si="19"/>
        <v>#DIV/0!</v>
      </c>
      <c r="F26" s="103" t="e">
        <f t="shared" si="19"/>
        <v>#DIV/0!</v>
      </c>
      <c r="G26" s="103" t="e">
        <f t="shared" si="19"/>
        <v>#DIV/0!</v>
      </c>
      <c r="H26" s="103" t="e">
        <f>(2*H17+H15-1)/SQRT(3)</f>
        <v>#DIV/0!</v>
      </c>
      <c r="I26" s="103" t="e">
        <f>(2*I17+I15-1)/SQRT(3)</f>
        <v>#DIV/0!</v>
      </c>
      <c r="J26" s="103" t="e">
        <f>(2*J17+J15-1)/SQRT(3)</f>
        <v>#DIV/0!</v>
      </c>
      <c r="K26" s="103" t="e">
        <f>(2*K17+K15-1)/SQRT(3)</f>
        <v>#DIV/0!</v>
      </c>
      <c r="L26" s="81" t="e">
        <f t="shared" si="19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113</v>
      </c>
      <c r="B27" s="108">
        <f>IF(DIAG!T11,B15,-1)</f>
        <v>0.36492890995260663</v>
      </c>
      <c r="C27" s="109">
        <f>IF(DIAG!T12,C15,-1)</f>
        <v>0.32644628099173556</v>
      </c>
      <c r="D27" s="109">
        <f>IF(DIAG!T13,D15,-1)</f>
        <v>4.1164658634538151E-2</v>
      </c>
      <c r="E27" s="109">
        <f>IF(DIAG!T14,E15,-1)</f>
        <v>-1</v>
      </c>
      <c r="F27" s="109">
        <f>IF(DIAG!T15,F15,-1)</f>
        <v>-1</v>
      </c>
      <c r="G27" s="103">
        <f>IF(DIAG!T16,G15,-1)</f>
        <v>-1</v>
      </c>
      <c r="H27" s="103">
        <f>IF(DIAG!T17,H15,-1)</f>
        <v>-1</v>
      </c>
      <c r="I27" s="103">
        <f>IF(DIAG!T18,I15,-1)</f>
        <v>-1</v>
      </c>
      <c r="J27" s="103">
        <f>IF(DIAG!T19,J15,-1)</f>
        <v>-1</v>
      </c>
      <c r="K27" s="103">
        <f>IF(DIAG!T20,K15,-1)</f>
        <v>-1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29" t="s">
        <v>36</v>
      </c>
      <c r="B28" s="230"/>
      <c r="C28" s="231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1-a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5</v>
      </c>
      <c r="U34" s="33">
        <v>6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0">-1/SQRT(3)+P34*(1/SQRT(3)/10)</f>
        <v>-0.51961524227066325</v>
      </c>
      <c r="Q35" s="140">
        <f t="shared" si="20"/>
        <v>-0.46188021535170065</v>
      </c>
      <c r="R35" s="140">
        <f t="shared" si="20"/>
        <v>-0.40414518843273811</v>
      </c>
      <c r="S35" s="140">
        <f t="shared" si="20"/>
        <v>-0.34641016151377552</v>
      </c>
      <c r="T35" s="140">
        <f t="shared" si="20"/>
        <v>-0.28867513459481292</v>
      </c>
      <c r="U35" s="140">
        <f t="shared" si="20"/>
        <v>-0.23094010767585038</v>
      </c>
      <c r="V35" s="140">
        <f t="shared" si="20"/>
        <v>-0.17320508075688779</v>
      </c>
      <c r="W35" s="140">
        <f t="shared" si="20"/>
        <v>-0.11547005383792519</v>
      </c>
      <c r="X35" s="140">
        <f t="shared" si="20"/>
        <v>-5.7735026918962595E-2</v>
      </c>
      <c r="Y35" s="78">
        <f>-1/SQRT(3)+Y34*(1/SQRT(3)/10)</f>
        <v>0</v>
      </c>
      <c r="Z35" s="140">
        <f t="shared" ref="Z35:AH35" si="21">1/SQRT(3)-Z34*1/SQRT(3)/10</f>
        <v>5.7735026918962595E-2</v>
      </c>
      <c r="AA35" s="140">
        <f t="shared" si="21"/>
        <v>0.11547005383792519</v>
      </c>
      <c r="AB35" s="140">
        <f t="shared" si="21"/>
        <v>0.17320508075688779</v>
      </c>
      <c r="AC35" s="140">
        <f t="shared" si="21"/>
        <v>0.23094010767585038</v>
      </c>
      <c r="AD35" s="140">
        <f t="shared" si="21"/>
        <v>0.28867513459481292</v>
      </c>
      <c r="AE35" s="140">
        <f t="shared" si="21"/>
        <v>0.34641016151377552</v>
      </c>
      <c r="AF35" s="140">
        <f t="shared" si="21"/>
        <v>0.40414518843273811</v>
      </c>
      <c r="AG35" s="140">
        <f t="shared" si="21"/>
        <v>0.46188021535170065</v>
      </c>
      <c r="AH35" s="140">
        <f t="shared" si="21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2">SQRT(3)*P35+1</f>
        <v>9.9999999999999978E-2</v>
      </c>
      <c r="Q37" s="34">
        <f t="shared" si="22"/>
        <v>0.19999999999999996</v>
      </c>
      <c r="R37" s="34">
        <f t="shared" si="22"/>
        <v>0.29999999999999993</v>
      </c>
      <c r="S37" s="34">
        <f t="shared" si="22"/>
        <v>0.39999999999999991</v>
      </c>
      <c r="T37" s="34">
        <f t="shared" si="22"/>
        <v>0.5</v>
      </c>
      <c r="U37" s="34">
        <f t="shared" si="22"/>
        <v>0.59999999999999987</v>
      </c>
      <c r="V37" s="34">
        <f t="shared" si="22"/>
        <v>0.7</v>
      </c>
      <c r="W37" s="34">
        <f t="shared" si="22"/>
        <v>0.79999999999999993</v>
      </c>
      <c r="X37" s="34">
        <f t="shared" si="22"/>
        <v>0.89999999999999991</v>
      </c>
      <c r="Y37" s="77">
        <f>SQRT(3)*Y35+1</f>
        <v>1</v>
      </c>
      <c r="Z37" s="34">
        <f t="shared" ref="Z37:AH37" si="23">1-SQRT(3)*Z35</f>
        <v>0.89999999999999991</v>
      </c>
      <c r="AA37" s="34">
        <f t="shared" si="23"/>
        <v>0.79999999999999993</v>
      </c>
      <c r="AB37" s="34">
        <f t="shared" si="23"/>
        <v>0.7</v>
      </c>
      <c r="AC37" s="34">
        <f t="shared" si="23"/>
        <v>0.59999999999999987</v>
      </c>
      <c r="AD37" s="34">
        <f t="shared" si="23"/>
        <v>0.5</v>
      </c>
      <c r="AE37" s="34">
        <f t="shared" si="23"/>
        <v>0.39999999999999991</v>
      </c>
      <c r="AF37" s="34">
        <f t="shared" si="23"/>
        <v>0.29999999999999993</v>
      </c>
      <c r="AG37" s="34">
        <f t="shared" si="23"/>
        <v>0.19999999999999996</v>
      </c>
      <c r="AH37" s="34">
        <f t="shared" si="23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>
        <f>-S42</f>
        <v>0.35799999999999998</v>
      </c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>
        <f>IF(DIAG!$X$42,0.5,-1)</f>
        <v>-1</v>
      </c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0.4</v>
      </c>
      <c r="M45" s="132"/>
      <c r="N45" s="137" t="str">
        <f>IF(DIAG!$T$43,CONCATENATE("N=",TRUNC(L45/2,2)),"")</f>
        <v/>
      </c>
      <c r="O45" s="132">
        <f>IF(DIAG!$T$43,IF(1-$L$45-SQRT(3)*(O35)&gt;1,1,1-$L$45-SQRT(3)*(O35)),-1)</f>
        <v>-1</v>
      </c>
      <c r="P45" s="132">
        <f>IF(DIAG!$T$43,IF(1-$L$45-SQRT(3)*(P35)&gt;1,1,1-$L$45-SQRT(3)*(P35)),-1)</f>
        <v>-1</v>
      </c>
      <c r="Q45" s="132">
        <f>IF(DIAG!$T$43,IF(1-$L$45-SQRT(3)*(Q35)&gt;1,1,1-$L$45-SQRT(3)*(Q35)),-1)</f>
        <v>-1</v>
      </c>
      <c r="R45" s="132">
        <f>IF(DIAG!$T$43,IF(1-$L$45-SQRT(3)*(R35)&gt;1,1,1-$L$45-SQRT(3)*(R35)),-1)</f>
        <v>-1</v>
      </c>
      <c r="S45" s="132">
        <f>IF(DIAG!$T$43,IF(1-$L$45-SQRT(3)*(S35)&gt;1,1,1-$L$45-SQRT(3)*(S35)),-1)</f>
        <v>-1</v>
      </c>
      <c r="T45" s="132">
        <f>IF(DIAG!$T$43,IF(1-$L$45-SQRT(3)*(T35)&gt;1,1,1-$L$45-SQRT(3)*(T35)),-1)</f>
        <v>-1</v>
      </c>
      <c r="U45" s="132">
        <f>IF(DIAG!$T$43,IF(1-$L$45-SQRT(3)*(U35)&gt;1,1,1-$L$45-SQRT(3)*(U35)),-1)</f>
        <v>-1</v>
      </c>
      <c r="V45" s="132">
        <f>IF(DIAG!$T$43,IF(1-$L$45-SQRT(3)*(V35)&gt;1,1,1-$L$45-SQRT(3)*(V35)),-1)</f>
        <v>-1</v>
      </c>
      <c r="W45" s="132">
        <f>IF(DIAG!$T$43,IF(1-$L$45-SQRT(3)*(W35)&gt;1,1,1-$L$45-SQRT(3)*(W35)),-1)</f>
        <v>-1</v>
      </c>
      <c r="X45" s="132">
        <f>IF(DIAG!$T$43,IF(1-$L$45-SQRT(3)*(X35)&gt;1,1,1-$L$45-SQRT(3)*(X35)),-1)</f>
        <v>-1</v>
      </c>
      <c r="Y45" s="132">
        <f>IF(DIAG!$T$43,IF(1-$L$45-SQRT(3)*(Y35)&gt;1,1,1-$L$45-SQRT(3)*(Y35)),-1)</f>
        <v>-1</v>
      </c>
      <c r="Z45" s="132">
        <f>IF(DIAG!$T$43,IF(1-$L$45-SQRT(3)*(Z35)&gt;1,1,1-$L$45-SQRT(3)*(Z35)),-1)</f>
        <v>-1</v>
      </c>
      <c r="AA45" s="132">
        <f>IF(DIAG!$T$43,IF(1-$L$45-SQRT(3)*(AA35)&gt;1,1,1-$L$45-SQRT(3)*(AA35)),-1)</f>
        <v>-1</v>
      </c>
      <c r="AB45" s="132">
        <f>IF(DIAG!$T$43,IF(1-$L$45-SQRT(3)*(AB35)&gt;1,1,1-$L$45-SQRT(3)*(AB35)),-1)</f>
        <v>-1</v>
      </c>
      <c r="AC45" s="132">
        <f>IF(DIAG!$T$43,IF(1-$L$45-SQRT(3)*(AC35)&gt;1,1,1-$L$45-SQRT(3)*(AC35)),-1)</f>
        <v>-1</v>
      </c>
      <c r="AD45" s="132">
        <f>IF(DIAG!$T$43,IF(1-$L$45-SQRT(3)*(AD35)&gt;1,1,1-$L$45-SQRT(3)*(AD35)),-1)</f>
        <v>-1</v>
      </c>
      <c r="AE45" s="132">
        <f>IF(DIAG!$T$43,IF(1-$L$45-SQRT(3)*(AE35)&gt;1,1,1-$L$45-SQRT(3)*(AE35)),-1)</f>
        <v>-1</v>
      </c>
      <c r="AF45" s="132">
        <f>IF(DIAG!$T$43,IF(1-$L$45-SQRT(3)*(AF35)&gt;1,1,1-$L$45-SQRT(3)*(AF35)),-1)</f>
        <v>-1</v>
      </c>
      <c r="AG45" s="132">
        <f>IF(DIAG!$T$43,IF(1-$L$45-SQRT(3)*(AG35)&gt;1,1,1-$L$45-SQRT(3)*(AG35)),-1)</f>
        <v>-1</v>
      </c>
      <c r="AH45" s="132">
        <f>IF(DIAG!$T$43,IF(1-$L$45-SQRT(3)*(AH35)&gt;1,1,1-$L$45-SQRT(3)*(AH35)),-1)</f>
        <v>-1</v>
      </c>
      <c r="AI45" s="165">
        <f>IF(DIAG!$T$43,IF(1-$L$45-SQRT(3)*(AI35)&gt;1,1,1-$L$45-SQRT(3)*(AI35)),-1)</f>
        <v>-1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0.5</v>
      </c>
      <c r="M46" s="137"/>
      <c r="N46" s="137" t="str">
        <f>IF(DIAG!$T$44,CONCATENATE("F=",TRUNC(L46/2,2),CHAR(10),"EYR=",TRUNC(2/L46,2),CHAR(10),"EIR= ",TRUNC(L46/(2*(1-L46/2)),2)),"")</f>
        <v/>
      </c>
      <c r="O46" s="137">
        <f>IF(DIAG!$T$44,IF(1-$L$46+SQRT(3)*(O35)&gt;1,1,1-$L$46+SQRT(3)*(O35)),-1)</f>
        <v>-1</v>
      </c>
      <c r="P46" s="137">
        <f>IF(DIAG!$T$44,IF(1-$L$46+SQRT(3)*(P35)&gt;1,1,1-$L$46+SQRT(3)*(P35)),-1)</f>
        <v>-1</v>
      </c>
      <c r="Q46" s="137">
        <f>IF(DIAG!$T$44,IF(1-$L$46+SQRT(3)*(Q35)&gt;1,1,1-$L$46+SQRT(3)*(Q35)),-1)</f>
        <v>-1</v>
      </c>
      <c r="R46" s="137">
        <f>IF(DIAG!$T$44,IF(1-$L$46+SQRT(3)*(R35)&gt;1,1,1-$L$46+SQRT(3)*(R35)),-1)</f>
        <v>-1</v>
      </c>
      <c r="S46" s="137">
        <f>IF(DIAG!$T$44,IF(1-$L$46+SQRT(3)*(S35)&gt;1,1,1-$L$46+SQRT(3)*(S35)),-1)</f>
        <v>-1</v>
      </c>
      <c r="T46" s="137">
        <f>IF(DIAG!$T$44,IF(1-$L$46+SQRT(3)*(T35)&gt;1,1,1-$L$46+SQRT(3)*(T35)),-1)</f>
        <v>-1</v>
      </c>
      <c r="U46" s="137">
        <f>IF(DIAG!$T$44,IF(1-$L$46+SQRT(3)*(U35)&gt;1,1,1-$L$46+SQRT(3)*(U35)),-1)</f>
        <v>-1</v>
      </c>
      <c r="V46" s="137">
        <f>IF(DIAG!$T$44,IF(1-$L$46+SQRT(3)*(V35)&gt;1,1,1-$L$46+SQRT(3)*(V35)),-1)</f>
        <v>-1</v>
      </c>
      <c r="W46" s="137">
        <f>IF(DIAG!$T$44,IF(1-$L$46+SQRT(3)*(W35)&gt;1,1,1-$L$46+SQRT(3)*(W35)),-1)</f>
        <v>-1</v>
      </c>
      <c r="X46" s="137">
        <f>IF(DIAG!$T$44,IF(1-$L$46+SQRT(3)*(X35)&gt;1,1,1-$L$46+SQRT(3)*(X35)),-1)</f>
        <v>-1</v>
      </c>
      <c r="Y46" s="137">
        <f>IF(DIAG!$T$44,IF(1-$L$46+SQRT(3)*(Y35)&gt;1,1,1-$L$46+SQRT(3)*(Y35)),-1)</f>
        <v>-1</v>
      </c>
      <c r="Z46" s="137">
        <f>IF(DIAG!$T$44,IF(1-$L$46+SQRT(3)*(Z35)&gt;1,1,1-$L$46+SQRT(3)*(Z35)),-1)</f>
        <v>-1</v>
      </c>
      <c r="AA46" s="137">
        <f>IF(DIAG!$T$44,IF(1-$L$46+SQRT(3)*(AA35)&gt;1,1,1-$L$46+SQRT(3)*(AA35)),-1)</f>
        <v>-1</v>
      </c>
      <c r="AB46" s="137">
        <f>IF(DIAG!$T$44,IF(1-$L$46+SQRT(3)*(AB35)&gt;1,1,1-$L$46+SQRT(3)*(AB35)),-1)</f>
        <v>-1</v>
      </c>
      <c r="AC46" s="137">
        <f>IF(DIAG!$T$44,IF(1-$L$46+SQRT(3)*(AC35)&gt;1,1,1-$L$46+SQRT(3)*(AC35)),-1)</f>
        <v>-1</v>
      </c>
      <c r="AD46" s="137">
        <f>IF(DIAG!$T$44,IF(1-$L$46+SQRT(3)*(AD35)&gt;1,1,1-$L$46+SQRT(3)*(AD35)),-1)</f>
        <v>-1</v>
      </c>
      <c r="AE46" s="137">
        <f>IF(DIAG!$T$44,IF(1-$L$46+SQRT(3)*(AE35)&gt;1,1,1-$L$46+SQRT(3)*(AE35)),-1)</f>
        <v>-1</v>
      </c>
      <c r="AF46" s="137">
        <f>IF(DIAG!$T$44,IF(1-$L$46+SQRT(3)*(AF35)&gt;1,1,1-$L$46+SQRT(3)*(AF35)),-1)</f>
        <v>-1</v>
      </c>
      <c r="AG46" s="137">
        <f>IF(DIAG!$T$44,IF(1-$L$46+SQRT(3)*(AG35)&gt;1,1,1-$L$46+SQRT(3)*(AG35)),-1)</f>
        <v>-1</v>
      </c>
      <c r="AH46" s="137">
        <f>IF(DIAG!$T$44,IF(1-$L$46+SQRT(3)*(AH35)&gt;1,1,1-$L$46+SQRT(3)*(AH35)),-1)</f>
        <v>-1</v>
      </c>
      <c r="AI46" s="167">
        <f>IF(DIAG!$T$44,IF(1-$L$46+SQRT(3)*(AI35)&gt;1,1,1-$L$46+SQRT(3)*(AI35)),-1)</f>
        <v>-1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0.28000000000000003</v>
      </c>
      <c r="M47" s="143"/>
      <c r="N47" s="143" t="str">
        <f>IF(DIAG!$T$42,CONCATENATE("R = ",L47,CHAR(10),"ELR=",TRUNC((1-L47)/(L47),2)),"")</f>
        <v/>
      </c>
      <c r="O47" s="143">
        <f>IF(DIAG!$T$42,$L$47,-1)</f>
        <v>-1</v>
      </c>
      <c r="P47" s="143">
        <f>IF(DIAG!$T$42,$L$47,-1)</f>
        <v>-1</v>
      </c>
      <c r="Q47" s="143">
        <f>IF(DIAG!$T$42,$L$47,-1)</f>
        <v>-1</v>
      </c>
      <c r="R47" s="143">
        <f>IF(DIAG!$T$42,$L$47,-1)</f>
        <v>-1</v>
      </c>
      <c r="S47" s="143">
        <f>IF(DIAG!$T$42,$L$47,-1)</f>
        <v>-1</v>
      </c>
      <c r="T47" s="143">
        <f>IF(DIAG!$T$42,$L$47,-1)</f>
        <v>-1</v>
      </c>
      <c r="U47" s="143">
        <f>IF(DIAG!$T$42,$L$47,-1)</f>
        <v>-1</v>
      </c>
      <c r="V47" s="143">
        <f>IF(DIAG!$T$42,$L$47,-1)</f>
        <v>-1</v>
      </c>
      <c r="W47" s="143">
        <f>IF(DIAG!$T$42,$L$47,-1)</f>
        <v>-1</v>
      </c>
      <c r="X47" s="143">
        <f>IF(DIAG!$T$42,$L$47,-1)</f>
        <v>-1</v>
      </c>
      <c r="Y47" s="143">
        <f>IF(DIAG!$T$42,$L$47,-1)</f>
        <v>-1</v>
      </c>
      <c r="Z47" s="143">
        <f>IF(DIAG!$T$42,$L$47,-1)</f>
        <v>-1</v>
      </c>
      <c r="AA47" s="143">
        <f>IF(DIAG!$T$42,$L$47,-1)</f>
        <v>-1</v>
      </c>
      <c r="AB47" s="143">
        <f>IF(DIAG!$T$42,$L$47,-1)</f>
        <v>-1</v>
      </c>
      <c r="AC47" s="143">
        <f>IF(DIAG!$T$42,$L$47,-1)</f>
        <v>-1</v>
      </c>
      <c r="AD47" s="143">
        <f>IF(DIAG!$T$42,$L$47,-1)</f>
        <v>-1</v>
      </c>
      <c r="AE47" s="143">
        <f>IF(DIAG!$T$42,$L$47,-1)</f>
        <v>-1</v>
      </c>
      <c r="AF47" s="143">
        <f>IF(DIAG!$T$42,$L$47,-1)</f>
        <v>-1</v>
      </c>
      <c r="AG47" s="143">
        <f>IF(DIAG!$T$42,$L$47,-1)</f>
        <v>-1</v>
      </c>
      <c r="AH47" s="143">
        <f>IF(DIAG!$T$42,$L$47,-1)</f>
        <v>-1</v>
      </c>
      <c r="AI47" s="169">
        <f>IF(DIAG!$T$42,$L$47,-1)</f>
        <v>-1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U50" si="24">B26</f>
        <v>-3.0098829199459155E-2</v>
      </c>
      <c r="Q50" s="170">
        <f t="shared" si="24"/>
        <v>1.4314469484040389E-2</v>
      </c>
      <c r="R50" s="170">
        <f t="shared" si="24"/>
        <v>0.42953468822240243</v>
      </c>
      <c r="S50" s="170" t="e">
        <f t="shared" si="24"/>
        <v>#DIV/0!</v>
      </c>
      <c r="T50" s="170" t="e">
        <f t="shared" si="24"/>
        <v>#DIV/0!</v>
      </c>
      <c r="U50" s="170" t="e">
        <f t="shared" si="24"/>
        <v>#DIV/0!</v>
      </c>
      <c r="V50" s="170" t="e">
        <f>H26</f>
        <v>#DIV/0!</v>
      </c>
      <c r="W50" s="170" t="e">
        <f>I26</f>
        <v>#DIV/0!</v>
      </c>
      <c r="X50" s="170" t="e">
        <f>J26</f>
        <v>#DIV/0!</v>
      </c>
      <c r="Y50" s="171" t="e">
        <f>K26</f>
        <v>#DIV/0!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1-a</v>
      </c>
      <c r="O51" s="137"/>
      <c r="P51" s="138">
        <f>B27</f>
        <v>0.36492890995260663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2-b</v>
      </c>
      <c r="O52" s="137"/>
      <c r="P52" s="137"/>
      <c r="Q52" s="138">
        <f>C27</f>
        <v>0.32644628099173556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3-c</v>
      </c>
      <c r="O53" s="137"/>
      <c r="P53" s="137"/>
      <c r="Q53" s="137"/>
      <c r="R53" s="138">
        <f>D27</f>
        <v>4.1164658634538151E-2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4-0</v>
      </c>
      <c r="O54" s="137"/>
      <c r="P54" s="137"/>
      <c r="Q54" s="137"/>
      <c r="R54" s="137"/>
      <c r="S54" s="138">
        <f>E27</f>
        <v>-1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5-0</v>
      </c>
      <c r="O55" s="137"/>
      <c r="P55" s="137"/>
      <c r="Q55" s="137"/>
      <c r="R55" s="137"/>
      <c r="S55" s="137"/>
      <c r="T55" s="138">
        <f>F27</f>
        <v>-1</v>
      </c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6-0</v>
      </c>
      <c r="O56" s="137"/>
      <c r="P56" s="137"/>
      <c r="Q56" s="137"/>
      <c r="R56" s="137"/>
      <c r="S56" s="137"/>
      <c r="T56" s="137"/>
      <c r="U56" s="138">
        <f>G27</f>
        <v>-1</v>
      </c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7-0</v>
      </c>
      <c r="O57" s="137"/>
      <c r="P57" s="137"/>
      <c r="Q57" s="137"/>
      <c r="R57" s="137"/>
      <c r="S57" s="137"/>
      <c r="T57" s="137"/>
      <c r="U57" s="138"/>
      <c r="V57" s="138">
        <f>H27</f>
        <v>-1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8-0</v>
      </c>
      <c r="O58" s="137"/>
      <c r="P58" s="137"/>
      <c r="Q58" s="137"/>
      <c r="R58" s="137"/>
      <c r="S58" s="137"/>
      <c r="T58" s="137"/>
      <c r="U58" s="138"/>
      <c r="V58" s="137"/>
      <c r="W58" s="138">
        <f>I27</f>
        <v>-1</v>
      </c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9-0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-1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10-0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-1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25">(2*O66*($M65+1)-$M65-$M65*O66^2)/(SQRT(3)*$M65*(1-O66))</f>
        <v>-1.7320508075688774</v>
      </c>
      <c r="P65" s="133">
        <f t="shared" si="25"/>
        <v>-1.7320508075688774</v>
      </c>
      <c r="Q65" s="133">
        <f t="shared" si="25"/>
        <v>-1.7320508075688774</v>
      </c>
      <c r="R65" s="133">
        <f t="shared" si="25"/>
        <v>-1.7320508075688774</v>
      </c>
      <c r="S65" s="133">
        <f t="shared" si="25"/>
        <v>-1.7320508075688774</v>
      </c>
      <c r="T65" s="133">
        <f t="shared" si="25"/>
        <v>-1.7320508075688774</v>
      </c>
      <c r="U65" s="133">
        <f t="shared" si="25"/>
        <v>-1.7320508075688774</v>
      </c>
      <c r="V65" s="133">
        <f t="shared" si="25"/>
        <v>-1.7320508075688774</v>
      </c>
      <c r="W65" s="133">
        <f t="shared" si="25"/>
        <v>-1.7320508075688774</v>
      </c>
      <c r="X65" s="133">
        <f t="shared" si="25"/>
        <v>-1.7320508075688774</v>
      </c>
      <c r="Y65" s="133">
        <f t="shared" si="25"/>
        <v>-1.7320508075688774</v>
      </c>
      <c r="Z65" s="133">
        <f t="shared" si="25"/>
        <v>-1.7320508075688774</v>
      </c>
      <c r="AA65" s="133">
        <f t="shared" si="25"/>
        <v>-1.7320508075688774</v>
      </c>
      <c r="AB65" s="133">
        <f t="shared" si="25"/>
        <v>-1.7320508075688774</v>
      </c>
      <c r="AC65" s="133">
        <f t="shared" si="25"/>
        <v>-1.7320508075688774</v>
      </c>
      <c r="AD65" s="133">
        <f t="shared" si="25"/>
        <v>-1.7320508075688774</v>
      </c>
      <c r="AE65" s="133">
        <f t="shared" si="25"/>
        <v>-1.7320508075688774</v>
      </c>
      <c r="AF65" s="133">
        <f t="shared" si="25"/>
        <v>-1.7320508075688774</v>
      </c>
      <c r="AG65" s="173">
        <f t="shared" si="25"/>
        <v>-1.7320508075688774</v>
      </c>
      <c r="AM65" s="101">
        <f>AO64</f>
        <v>1</v>
      </c>
      <c r="AN65" s="132" t="s">
        <v>55</v>
      </c>
      <c r="AO65" s="133">
        <f t="shared" ref="AO65:BG65" si="26">(2*AO66*($M65+1)-$M65-$M65*AO66^2)/(SQRT(3)*$M65*(1-AO66))</f>
        <v>-1.7320508075688774</v>
      </c>
      <c r="AP65" s="133">
        <f t="shared" si="26"/>
        <v>-1.7320508075688774</v>
      </c>
      <c r="AQ65" s="133">
        <f t="shared" si="26"/>
        <v>-1.7320508075688774</v>
      </c>
      <c r="AR65" s="133">
        <f t="shared" si="26"/>
        <v>-1.7320508075688774</v>
      </c>
      <c r="AS65" s="133">
        <f t="shared" si="26"/>
        <v>-1.7320508075688774</v>
      </c>
      <c r="AT65" s="133">
        <f t="shared" si="26"/>
        <v>-1.7320508075688774</v>
      </c>
      <c r="AU65" s="133">
        <f t="shared" si="26"/>
        <v>-1.7320508075688774</v>
      </c>
      <c r="AV65" s="133">
        <f t="shared" si="26"/>
        <v>-1.7320508075688774</v>
      </c>
      <c r="AW65" s="133">
        <f t="shared" si="26"/>
        <v>-1.7320508075688774</v>
      </c>
      <c r="AX65" s="133">
        <f t="shared" si="26"/>
        <v>-1.7320508075688774</v>
      </c>
      <c r="AY65" s="133">
        <f t="shared" si="26"/>
        <v>-1.7320508075688774</v>
      </c>
      <c r="AZ65" s="133">
        <f t="shared" si="26"/>
        <v>-1.7320508075688774</v>
      </c>
      <c r="BA65" s="133">
        <f t="shared" si="26"/>
        <v>-1.7320508075688774</v>
      </c>
      <c r="BB65" s="133">
        <f t="shared" si="26"/>
        <v>-1.7320508075688774</v>
      </c>
      <c r="BC65" s="133">
        <f t="shared" si="26"/>
        <v>-1.7320508075688774</v>
      </c>
      <c r="BD65" s="133">
        <f t="shared" si="26"/>
        <v>-1.7320508075688774</v>
      </c>
      <c r="BE65" s="133">
        <f t="shared" si="26"/>
        <v>-1.7320508075688774</v>
      </c>
      <c r="BF65" s="133">
        <f t="shared" si="26"/>
        <v>-1.7320508075688774</v>
      </c>
      <c r="BG65" s="173">
        <f t="shared" si="26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f>IF(DIAG!$T$48,$AG$67*T75,-1)</f>
        <v>-1</v>
      </c>
      <c r="U66" s="158">
        <f>IF(DIAG!$T$48,$AG$67*U75,-1)</f>
        <v>-1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174">
        <f>IF(DIAG!T48,((2*$M$65+1-SQRT(4*$M$65+1))/($M$65*2))*DIAG!$T$48,-1)</f>
        <v>-1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0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27">(2*O70*($M69+1)-$M69-$M69*O70^2)/(SQRT(3)*$M69*(1-O70))</f>
        <v>-1.2701705922171769</v>
      </c>
      <c r="P69" s="133">
        <f t="shared" si="27"/>
        <v>-1.2701705922171769</v>
      </c>
      <c r="Q69" s="133">
        <f t="shared" si="27"/>
        <v>-1.2701705922171769</v>
      </c>
      <c r="R69" s="133">
        <f t="shared" si="27"/>
        <v>-1.2701705922171769</v>
      </c>
      <c r="S69" s="133">
        <f t="shared" si="27"/>
        <v>-1.2701705922171769</v>
      </c>
      <c r="T69" s="133">
        <f t="shared" si="27"/>
        <v>-1.2701705922171769</v>
      </c>
      <c r="U69" s="133">
        <f t="shared" si="27"/>
        <v>-1.2701705922171769</v>
      </c>
      <c r="V69" s="133">
        <f t="shared" si="27"/>
        <v>-1.2701705922171769</v>
      </c>
      <c r="W69" s="133">
        <f t="shared" si="27"/>
        <v>-1.2701705922171769</v>
      </c>
      <c r="X69" s="133">
        <f t="shared" si="27"/>
        <v>-1.2701705922171769</v>
      </c>
      <c r="Y69" s="133">
        <f t="shared" si="27"/>
        <v>-1.2701705922171769</v>
      </c>
      <c r="Z69" s="133">
        <f t="shared" si="27"/>
        <v>-1.2701705922171769</v>
      </c>
      <c r="AA69" s="133">
        <f t="shared" si="27"/>
        <v>-1.2701705922171769</v>
      </c>
      <c r="AB69" s="133">
        <f t="shared" si="27"/>
        <v>-1.2701705922171769</v>
      </c>
      <c r="AC69" s="133">
        <f t="shared" si="27"/>
        <v>-1.2701705922171769</v>
      </c>
      <c r="AD69" s="133">
        <f t="shared" si="27"/>
        <v>-1.2701705922171769</v>
      </c>
      <c r="AE69" s="133">
        <f t="shared" si="27"/>
        <v>-1.2701705922171769</v>
      </c>
      <c r="AF69" s="133">
        <f t="shared" si="27"/>
        <v>-1.2701705922171769</v>
      </c>
      <c r="AG69" s="173">
        <f t="shared" si="27"/>
        <v>-1.2701705922171769</v>
      </c>
      <c r="AM69" s="101">
        <f>AO68</f>
        <v>5</v>
      </c>
      <c r="AN69" s="132" t="s">
        <v>55</v>
      </c>
      <c r="AO69" s="133">
        <f t="shared" ref="AO69:BG69" si="28">(2*AO70*($M69+1)-$M69-$M69*AO70^2)/(SQRT(3)*$M69*(1-AO70))</f>
        <v>-1.2701705922171769</v>
      </c>
      <c r="AP69" s="133">
        <f t="shared" si="28"/>
        <v>-1.2701705922171769</v>
      </c>
      <c r="AQ69" s="133">
        <f t="shared" si="28"/>
        <v>-1.2701705922171769</v>
      </c>
      <c r="AR69" s="133">
        <f t="shared" si="28"/>
        <v>-1.2701705922171769</v>
      </c>
      <c r="AS69" s="133">
        <f t="shared" si="28"/>
        <v>-1.2701705922171769</v>
      </c>
      <c r="AT69" s="133">
        <f t="shared" si="28"/>
        <v>-1.2701705922171769</v>
      </c>
      <c r="AU69" s="133">
        <f t="shared" si="28"/>
        <v>-1.2701705922171769</v>
      </c>
      <c r="AV69" s="133">
        <f t="shared" si="28"/>
        <v>-1.2701705922171769</v>
      </c>
      <c r="AW69" s="133">
        <f t="shared" si="28"/>
        <v>-1.2701705922171769</v>
      </c>
      <c r="AX69" s="133">
        <f t="shared" si="28"/>
        <v>-1.2701705922171769</v>
      </c>
      <c r="AY69" s="133">
        <f t="shared" si="28"/>
        <v>-1.2701705922171769</v>
      </c>
      <c r="AZ69" s="133">
        <f t="shared" si="28"/>
        <v>-1.2701705922171769</v>
      </c>
      <c r="BA69" s="133">
        <f t="shared" si="28"/>
        <v>-1.2701705922171769</v>
      </c>
      <c r="BB69" s="133">
        <f t="shared" si="28"/>
        <v>-1.2701705922171769</v>
      </c>
      <c r="BC69" s="133">
        <f t="shared" si="28"/>
        <v>-1.2701705922171769</v>
      </c>
      <c r="BD69" s="133">
        <f t="shared" si="28"/>
        <v>-1.2701705922171769</v>
      </c>
      <c r="BE69" s="133">
        <f t="shared" si="28"/>
        <v>-1.2701705922171769</v>
      </c>
      <c r="BF69" s="133">
        <f t="shared" si="28"/>
        <v>-1.2701705922171769</v>
      </c>
      <c r="BG69" s="173">
        <f t="shared" si="28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f>IF(DIAG!$T$49,$AG$71*T75,-1)</f>
        <v>-1</v>
      </c>
      <c r="U70" s="158">
        <f>IF(DIAG!$T$49,$AG$71*U75,-1)</f>
        <v>-1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174">
        <f>IF(DIAG!T49,((2*$M$69+1-SQRT(4*$M$69+1))/($M$69*2))*DIAG!$T$49,-1)</f>
        <v>-1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0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-1.4433756729740645</v>
      </c>
      <c r="P73" s="133">
        <f t="shared" ref="P73:AG73" si="29">(2*P74*($M73+1)-$M73-$M73*P74^2)/(SQRT(3)*$M73*(1-P74))</f>
        <v>-1.4433756729740645</v>
      </c>
      <c r="Q73" s="133">
        <f t="shared" si="29"/>
        <v>-1.4433756729740645</v>
      </c>
      <c r="R73" s="133">
        <f t="shared" si="29"/>
        <v>-1.4433756729740645</v>
      </c>
      <c r="S73" s="133">
        <f t="shared" si="29"/>
        <v>-1.4433756729740645</v>
      </c>
      <c r="T73" s="133">
        <f t="shared" si="29"/>
        <v>-1.4433756729740645</v>
      </c>
      <c r="U73" s="133">
        <f t="shared" si="29"/>
        <v>-1.4433756729740645</v>
      </c>
      <c r="V73" s="133">
        <f>(2*V74*($M73+1)-$M73-$M73*V74^2)/(SQRT(3)*$M73*(1-V74))</f>
        <v>-1.4433756729740645</v>
      </c>
      <c r="W73" s="133">
        <f>(2*W74*($M73+1)-$M73-$M73*W74^2)/(SQRT(3)*$M73*(1-W74))</f>
        <v>-1.4433756729740645</v>
      </c>
      <c r="X73" s="133">
        <f>(2*X74*($M73+1)-$M73-$M73*X74^2)/(SQRT(3)*$M73*(1-X74))</f>
        <v>-1.4433756729740645</v>
      </c>
      <c r="Y73" s="133">
        <f>(2*Y74*($M73+1)-$M73-$M73*Y74^2)/(SQRT(3)*$M73*(1-Y74))</f>
        <v>-1.4433756729740645</v>
      </c>
      <c r="Z73" s="133">
        <f t="shared" si="29"/>
        <v>-1.4433756729740645</v>
      </c>
      <c r="AA73" s="133">
        <f>(2*AA74*($M73+1)-$M73-$M73*AA74^2)/(SQRT(3)*$M73*(1-AA74))</f>
        <v>-1.4433756729740645</v>
      </c>
      <c r="AB73" s="133">
        <f>(2*AB74*($M73+1)-$M73-$M73*AB74^2)/(SQRT(3)*$M73*(1-AB74))</f>
        <v>-1.4433756729740645</v>
      </c>
      <c r="AC73" s="133">
        <f>(2*AC74*($M73+1)-$M73-$M73*AC74^2)/(SQRT(3)*$M73*(1-AC74))</f>
        <v>-1.4433756729740645</v>
      </c>
      <c r="AD73" s="133">
        <f>(2*AD74*($M73+1)-$M73-$M73*AD74^2)/(SQRT(3)*$M73*(1-AD74))</f>
        <v>-1.4433756729740645</v>
      </c>
      <c r="AE73" s="133">
        <f t="shared" si="29"/>
        <v>-1.4433756729740645</v>
      </c>
      <c r="AF73" s="133">
        <f t="shared" si="29"/>
        <v>-1.4433756729740645</v>
      </c>
      <c r="AG73" s="173">
        <f t="shared" si="29"/>
        <v>-1.4433756729740645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-1</v>
      </c>
      <c r="P74" s="154">
        <f>IF(DIAG!$T$50,$AG$75*P75,-1)</f>
        <v>-1</v>
      </c>
      <c r="Q74" s="154">
        <f>IF(DIAG!$T$50,$AG$75*Q75,-1)</f>
        <v>-1</v>
      </c>
      <c r="R74" s="154">
        <f>IF(DIAG!$T$50,$AG$75*R75,-1)</f>
        <v>-1</v>
      </c>
      <c r="S74" s="154">
        <f>IF(DIAG!$T$50,$AG$75*S75,-1)</f>
        <v>-1</v>
      </c>
      <c r="T74" s="154">
        <f>IF(DIAG!$T$50,$AG$75*T75,-1)</f>
        <v>-1</v>
      </c>
      <c r="U74" s="154">
        <f>IF(DIAG!$T$50,$AG$75*U75,-1)</f>
        <v>-1</v>
      </c>
      <c r="V74" s="154">
        <f>IF(DIAG!$T$50,$AG$75*V75,-1)</f>
        <v>-1</v>
      </c>
      <c r="W74" s="154">
        <f>IF(DIAG!$T$50,$AG$75*W75,-1)</f>
        <v>-1</v>
      </c>
      <c r="X74" s="154">
        <f>IF(DIAG!$T$50,$AG$75*X75,-1)</f>
        <v>-1</v>
      </c>
      <c r="Y74" s="154">
        <f>IF(DIAG!$T$50,$AG$75*Y75,-1)</f>
        <v>-1</v>
      </c>
      <c r="Z74" s="154">
        <f>IF(DIAG!$T$50,$AG$75*Z75,-1)</f>
        <v>-1</v>
      </c>
      <c r="AA74" s="154">
        <f>IF(DIAG!$T$50,$AG$75*AA75,-1)</f>
        <v>-1</v>
      </c>
      <c r="AB74" s="154">
        <f>IF(DIAG!$T$50,$AG$75*AB75,-1)</f>
        <v>-1</v>
      </c>
      <c r="AC74" s="154">
        <f>IF(DIAG!$T$50,$AG$75*AC75,-1)</f>
        <v>-1</v>
      </c>
      <c r="AD74" s="154">
        <f>IF(DIAG!$T$50,$AG$75*AD75,-1)</f>
        <v>-1</v>
      </c>
      <c r="AE74" s="154">
        <f>IF(DIAG!$T$50,$AG$75*AE75,-1)</f>
        <v>-1</v>
      </c>
      <c r="AF74" s="154">
        <f>IF(DIAG!$T$50,$AG$75*AF75,-1)</f>
        <v>-1</v>
      </c>
      <c r="AG74" s="174">
        <f>IF(DIAG!T50,((2*$M$73+1-SQRT(4*$M$73+1))/($M$73*2))*DIAG!$T$50,-1)</f>
        <v>-1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0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112</v>
      </c>
      <c r="B78" s="183" t="s">
        <v>113</v>
      </c>
      <c r="C78" s="53" t="s">
        <v>58</v>
      </c>
      <c r="D78" s="53" t="s">
        <v>59</v>
      </c>
      <c r="E78" s="79" t="s">
        <v>112</v>
      </c>
      <c r="F78" s="183" t="s">
        <v>113</v>
      </c>
      <c r="G78" s="79" t="s">
        <v>112</v>
      </c>
      <c r="H78" s="183" t="s">
        <v>113</v>
      </c>
      <c r="N78" s="53" t="s">
        <v>47</v>
      </c>
      <c r="O78" s="73">
        <f>O35</f>
        <v>-0.57735026918962584</v>
      </c>
      <c r="P78" s="73">
        <f t="shared" ref="P78:AH78" si="30">P35</f>
        <v>-0.51961524227066325</v>
      </c>
      <c r="Q78" s="73">
        <f t="shared" si="30"/>
        <v>-0.46188021535170065</v>
      </c>
      <c r="R78" s="73">
        <f t="shared" si="30"/>
        <v>-0.40414518843273811</v>
      </c>
      <c r="S78" s="73">
        <f t="shared" si="30"/>
        <v>-0.34641016151377552</v>
      </c>
      <c r="T78" s="73">
        <f t="shared" si="30"/>
        <v>-0.28867513459481292</v>
      </c>
      <c r="U78" s="73">
        <f t="shared" si="30"/>
        <v>-0.23094010767585038</v>
      </c>
      <c r="V78" s="73">
        <f t="shared" si="30"/>
        <v>-0.17320508075688779</v>
      </c>
      <c r="W78" s="73">
        <f t="shared" si="30"/>
        <v>-0.11547005383792519</v>
      </c>
      <c r="X78" s="73">
        <f t="shared" si="30"/>
        <v>-5.7735026918962595E-2</v>
      </c>
      <c r="Y78" s="73">
        <f>Y35</f>
        <v>0</v>
      </c>
      <c r="Z78" s="73">
        <f t="shared" si="30"/>
        <v>5.7735026918962595E-2</v>
      </c>
      <c r="AA78" s="73">
        <f t="shared" si="30"/>
        <v>0.11547005383792519</v>
      </c>
      <c r="AB78" s="73">
        <f t="shared" si="30"/>
        <v>0.17320508075688779</v>
      </c>
      <c r="AC78" s="73">
        <f t="shared" si="30"/>
        <v>0.23094010767585038</v>
      </c>
      <c r="AD78" s="73">
        <f t="shared" si="30"/>
        <v>0.28867513459481292</v>
      </c>
      <c r="AE78" s="73">
        <f t="shared" si="30"/>
        <v>0.34641016151377552</v>
      </c>
      <c r="AF78" s="73">
        <f t="shared" si="30"/>
        <v>0.40414518843273811</v>
      </c>
      <c r="AG78" s="73">
        <f t="shared" si="30"/>
        <v>0.46188021535170065</v>
      </c>
      <c r="AH78" s="73">
        <f t="shared" si="30"/>
        <v>0.51961524227066325</v>
      </c>
      <c r="AI78" s="184">
        <f>AI35</f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-3.0098829199459155E-2</v>
      </c>
      <c r="B79" s="186">
        <f>VLOOKUP(B78,A27:K27,DIAG!$T$58+1,0)</f>
        <v>0.36492890995260663</v>
      </c>
      <c r="E79" s="185">
        <f>VLOOKUP(E78,A26:K26,DIAG!$W$56+1,0)</f>
        <v>0.42953468822240243</v>
      </c>
      <c r="F79" s="186">
        <f>VLOOKUP(F78,A27:K27,DIAG!$W$56+1,0)</f>
        <v>4.1164658634538151E-2</v>
      </c>
      <c r="G79" s="185">
        <f>VLOOKUP(G78,A26:K26,DIAG!$W$58+1,0)</f>
        <v>-3.0098829199459155E-2</v>
      </c>
      <c r="H79" s="186">
        <f>VLOOKUP(H78,A27:K27,DIAG!$W$58+1,0)</f>
        <v>0.36492890995260663</v>
      </c>
      <c r="AI79" s="187"/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4.0883179683548619E-2</v>
      </c>
      <c r="D80" s="73">
        <f>(B80*(A80-$E$79)-A80*(B80-$F$79))/(A80-$E$79)</f>
        <v>2.3603914795624639E-2</v>
      </c>
      <c r="E80" s="73" t="s">
        <v>5</v>
      </c>
      <c r="F80" s="73"/>
      <c r="N80" s="53" t="s">
        <v>114</v>
      </c>
      <c r="O80" s="73">
        <f>IF(DIAG!$T$55,($C$80*O35+$D$80),-1)</f>
        <v>-1</v>
      </c>
      <c r="P80" s="73">
        <f>IF(DIAG!$T$55,($C$80*P35+$D$80),-1)</f>
        <v>-1</v>
      </c>
      <c r="Q80" s="73">
        <f>IF(DIAG!$T$55,($C$80*Q35+$D$80),-1)</f>
        <v>-1</v>
      </c>
      <c r="R80" s="73">
        <f>IF(DIAG!$T$55,($C$80*R35+$D$80),-1)</f>
        <v>-1</v>
      </c>
      <c r="S80" s="73">
        <f>IF(DIAG!$T$55,($C$80*S35+$D$80),-1)</f>
        <v>-1</v>
      </c>
      <c r="T80" s="73">
        <f>IF(DIAG!$T$55,($C$80*T35+$D$80),-1)</f>
        <v>-1</v>
      </c>
      <c r="U80" s="73">
        <f>IF(DIAG!$T$55,($C$80*U35+$D$80),-1)</f>
        <v>-1</v>
      </c>
      <c r="V80" s="73">
        <f>IF(DIAG!$T$55,($C$80*V35+$D$80),-1)</f>
        <v>-1</v>
      </c>
      <c r="W80" s="73">
        <f>IF(DIAG!$T$55,($C$80*W35+$D$80),-1)</f>
        <v>-1</v>
      </c>
      <c r="X80" s="73">
        <f>IF(DIAG!$T$55,($C$80*X35+$D$80),-1)</f>
        <v>-1</v>
      </c>
      <c r="Y80" s="73">
        <f>IF(DIAG!$T$55,($C$80*Y35+$D$80),-1)</f>
        <v>-1</v>
      </c>
      <c r="Z80" s="73">
        <f>IF(DIAG!$T$55,($C$80*Z35+$D$80),-1)</f>
        <v>-1</v>
      </c>
      <c r="AA80" s="73">
        <f>IF(DIAG!$T$55,($C$80*AA35+$D$80),-1)</f>
        <v>-1</v>
      </c>
      <c r="AB80" s="73">
        <f>IF(DIAG!$T$55,($C$80*AB35+$D$80),-1)</f>
        <v>-1</v>
      </c>
      <c r="AC80" s="73">
        <f>IF(DIAG!$T$55,($C$80*AC35+$D$80),-1)</f>
        <v>-1</v>
      </c>
      <c r="AD80" s="73">
        <f>IF(DIAG!$T$55,($C$80*AD35+$D$80),-1)</f>
        <v>-1</v>
      </c>
      <c r="AE80" s="73">
        <f>IF(DIAG!$T$55,($C$80*AE35+$D$80),-1)</f>
        <v>-1</v>
      </c>
      <c r="AF80" s="73">
        <f>IF(DIAG!$T$55,($C$80*AF35+$D$80),-1)</f>
        <v>-1</v>
      </c>
      <c r="AG80" s="73">
        <f>IF(DIAG!$T$55,($C$80*AG35+$D$80),-1)</f>
        <v>-1</v>
      </c>
      <c r="AH80" s="73">
        <f>IF(DIAG!$T$55,($C$80*AH35+$D$80),-1)</f>
        <v>-1</v>
      </c>
      <c r="AI80" s="184">
        <f>IF(DIAG!$T$55,($C$80*AI35+$D$80),-1)</f>
        <v>-1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-0.60075636118379971</v>
      </c>
      <c r="D81" s="73">
        <f>(B81*(A81-$G$79)-A81*(B81-$H$79))/(A81-$G$79)</f>
        <v>0.3468468468468468</v>
      </c>
      <c r="E81" s="73" t="s">
        <v>7</v>
      </c>
      <c r="N81" s="53" t="s">
        <v>115</v>
      </c>
      <c r="O81" s="73">
        <f>IF(DIAG!$T$56,($C$81*O35+$D$81),-1)</f>
        <v>-1</v>
      </c>
      <c r="P81" s="73">
        <f>IF(DIAG!$T$56,($C$81*P35+$D$81),-1)</f>
        <v>-1</v>
      </c>
      <c r="Q81" s="73">
        <f>IF(DIAG!$T$56,($C$81*Q35+$D$81),-1)</f>
        <v>-1</v>
      </c>
      <c r="R81" s="73">
        <f>IF(DIAG!$T$56,($C$81*R35+$D$81),-1)</f>
        <v>-1</v>
      </c>
      <c r="S81" s="73">
        <f>IF(DIAG!$T$56,($C$81*S35+$D$81),-1)</f>
        <v>-1</v>
      </c>
      <c r="T81" s="73">
        <f>IF(DIAG!$T$56,($C$81*T35+$D$81),-1)</f>
        <v>-1</v>
      </c>
      <c r="U81" s="73">
        <f>IF(DIAG!$T$56,($C$81*U35+$D$81),-1)</f>
        <v>-1</v>
      </c>
      <c r="V81" s="73">
        <f>IF(DIAG!$T$56,($C$81*V35+$D$81),-1)</f>
        <v>-1</v>
      </c>
      <c r="W81" s="73">
        <f>IF(DIAG!$T$56,($C$81*W35+$D$81),-1)</f>
        <v>-1</v>
      </c>
      <c r="X81" s="73">
        <f>IF(DIAG!$T$56,($C$81*X35+$D$81),-1)</f>
        <v>-1</v>
      </c>
      <c r="Y81" s="73">
        <f>IF(DIAG!$T$56,($C$81*Y35+$D$81),-1)</f>
        <v>-1</v>
      </c>
      <c r="Z81" s="73">
        <f>IF(DIAG!$T$56,($C$81*Z35+$D$81),-1)</f>
        <v>-1</v>
      </c>
      <c r="AA81" s="73">
        <f>IF(DIAG!$T$56,($C$81*AA35+$D$81),-1)</f>
        <v>-1</v>
      </c>
      <c r="AB81" s="73">
        <f>IF(DIAG!$T$56,($C$81*AB35+$D$81),-1)</f>
        <v>-1</v>
      </c>
      <c r="AC81" s="73">
        <f>IF(DIAG!$T$56,($C$81*AC35+$D$81),-1)</f>
        <v>-1</v>
      </c>
      <c r="AD81" s="73">
        <f>IF(DIAG!$T$56,($C$81*AD35+$D$81),-1)</f>
        <v>-1</v>
      </c>
      <c r="AE81" s="73">
        <f>IF(DIAG!$T$56,($C$81*AE35+$D$81),-1)</f>
        <v>-1</v>
      </c>
      <c r="AF81" s="73">
        <f>IF(DIAG!$T$56,($C$81*AF35+$D$81),-1)</f>
        <v>-1</v>
      </c>
      <c r="AG81" s="73">
        <f>IF(DIAG!$T$56,($C$81*AG35+$D$81),-1)</f>
        <v>-1</v>
      </c>
      <c r="AH81" s="73">
        <f>IF(DIAG!$T$56,($C$81*AH35+$D$81),-1)</f>
        <v>-1</v>
      </c>
      <c r="AI81" s="184">
        <f>IF(DIAG!$T$56,($C$81*AI35+$D$81),-1)</f>
        <v>-1</v>
      </c>
    </row>
    <row r="82" spans="1:35" ht="15.75" x14ac:dyDescent="0.3">
      <c r="A82" s="189">
        <v>0</v>
      </c>
      <c r="B82" s="190">
        <v>1</v>
      </c>
      <c r="C82" s="73">
        <f>(B82-$B$79)/(A82-$A$79)</f>
        <v>21.099528019475422</v>
      </c>
      <c r="D82" s="73">
        <f>(B82*(A82-$A$79)-A82*(B82-$B$79))/(A82-$A$79)</f>
        <v>1</v>
      </c>
      <c r="E82" s="73" t="s">
        <v>6</v>
      </c>
      <c r="N82" s="53" t="s">
        <v>116</v>
      </c>
      <c r="O82" s="73">
        <f>IF(DIAG!$T$54,($C$82*O35+$D$82),-1)</f>
        <v>-1</v>
      </c>
      <c r="P82" s="73">
        <f>IF(DIAG!$T$54,($C$82*P35+$D$82),-1)</f>
        <v>-1</v>
      </c>
      <c r="Q82" s="73">
        <f>IF(DIAG!$T$54,($C$82*Q35+$D$82),-1)</f>
        <v>-1</v>
      </c>
      <c r="R82" s="73">
        <f>IF(DIAG!$T$54,($C$82*R35+$D$82),-1)</f>
        <v>-1</v>
      </c>
      <c r="S82" s="73">
        <f>IF(DIAG!$T$54,($C$82*S35+$D$82),-1)</f>
        <v>-1</v>
      </c>
      <c r="T82" s="73">
        <f>IF(DIAG!$T$54,($C$82*T35+$D$82),-1)</f>
        <v>-1</v>
      </c>
      <c r="U82" s="73">
        <f>IF(DIAG!$T$54,($C$82*U35+$D$82),-1)</f>
        <v>-1</v>
      </c>
      <c r="V82" s="73">
        <f>IF(DIAG!$T$54,($C$82*V35+$D$82),-1)</f>
        <v>-1</v>
      </c>
      <c r="W82" s="73">
        <f>IF(DIAG!$T$54,($C$82*W35+$D$82),-1)</f>
        <v>-1</v>
      </c>
      <c r="X82" s="73">
        <f>IF(DIAG!$T$54,($C$82*X35+$D$82),-1)</f>
        <v>-1</v>
      </c>
      <c r="Y82" s="73">
        <f>IF(DIAG!$T$54,($C$82*Y35+$D$82),-1)</f>
        <v>-1</v>
      </c>
      <c r="Z82" s="73">
        <f>IF(DIAG!$T$54,($C$82*Z35+$D$82),-1)</f>
        <v>-1</v>
      </c>
      <c r="AA82" s="73">
        <f>IF(DIAG!$T$54,($C$82*AA35+$D$82),-1)</f>
        <v>-1</v>
      </c>
      <c r="AB82" s="73">
        <f>IF(DIAG!$T$54,($C$82*AB35+$D$82),-1)</f>
        <v>-1</v>
      </c>
      <c r="AC82" s="73">
        <f>IF(DIAG!$T$54,($C$82*AC35+$D$82),-1)</f>
        <v>-1</v>
      </c>
      <c r="AD82" s="73">
        <f>IF(DIAG!$T$54,($C$82*AD35+$D$82),-1)</f>
        <v>-1</v>
      </c>
      <c r="AE82" s="73">
        <f>IF(DIAG!$T$54,($C$82*AE35+$D$82),-1)</f>
        <v>-1</v>
      </c>
      <c r="AF82" s="73">
        <f>IF(DIAG!$T$54,($C$82*AF35+$D$82),-1)</f>
        <v>-1</v>
      </c>
      <c r="AG82" s="73">
        <f>IF(DIAG!$T$54,($C$82*AG35+$D$82),-1)</f>
        <v>-1</v>
      </c>
      <c r="AH82" s="73">
        <f>IF(DIAG!$T$54,($C$82*AH35+$D$82),-1)</f>
        <v>-1</v>
      </c>
      <c r="AI82" s="184">
        <f>IF(DIAG!$T$54,($C$82*AI35+$D$82),-1)</f>
        <v>-1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>
        <f>(R95-D82)/C82</f>
        <v>-4.7394425082730458E-2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>
        <f>SQRT((R94-S94)^2+(R95-S95)^2)</f>
        <v>1.0011224857773011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2023-04-11T02:47:18Z</cp:lastPrinted>
  <dcterms:created xsi:type="dcterms:W3CDTF">2003-07-04T14:12:44Z</dcterms:created>
  <dcterms:modified xsi:type="dcterms:W3CDTF">2023-04-11T02:47:23Z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