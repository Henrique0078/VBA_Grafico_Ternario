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372FC5E4-DE2B-4A8F-A919-6844506E25C2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<sst xmlns="http://schemas.openxmlformats.org/spreadsheetml/2006/main" count="489" uniqueCount="162">
  <si>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</si>
  <si>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</si>
  <si>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</si>
  <si>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</si>
  <si>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</si>
  <si>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</si>
  <si>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</si>
  <si>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</si>
  <si>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</si>
  <si>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</si>
  <si>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</si>
  <si>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</si>
  <si>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</si>
  <si>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</si>
  <si>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</si>
  <si>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</si>
  <si>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</si>
  <si>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</si>
  <si>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</si>
  <si>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</si>
  <si>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</si>
  <si>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</si>
  <si>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</si>
  <si>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</si>
  <si>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</si>
  <si>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</si>
  <si>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</si>
  <si>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</si>
  <si>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</si>
  <si>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</si>
  <si>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</si>
  <si>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</si>
  <si>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</si>
  <si>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</si>
  <si>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</si>
  <si>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</si>
  <si>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</si>
  <si>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</si>
  <si>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</si>
  <si>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</si>
  <si>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</si>
  <si>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</si>
  <si>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</si>
  <si>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</si>
  <si>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</si>
  <si>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</si>
  <si>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</si>
  <si>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</si>
  <si>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</si>
  <si>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</si>
  <si>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</si>
  <si>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</si>
  <si>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</si>
  <si>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</si>
  <si>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</si>
  <si>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</si>
  <si>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</si>
  <si>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</si>
  <si>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</si>
  <si>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</si>
  <si>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</si>
  <si>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</si>
  <si>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</si>
  <si>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</si>
  <si>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</si>
  <si>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</si>
  <si>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</si>
  <si>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</si>
  <si>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</si>
  <si>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</si>
  <si>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</si>
  <si>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</si>
  <si>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</si>
  <si>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</si>
  <si>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</si>
  <si>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</si>
  <si>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</si>
  <si>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</si>
  <si>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</si>
  <si>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</si>
  <si>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</si>
  <si>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</si>
  <si>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</si>
  <si>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</si>
  <si>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</si>
  <si>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</si>
  <si>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</si>
  <si>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</si>
  <si>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</si>
  <si>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</si>
  <si>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</si>
  <si>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</si>
  <si>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</si>
  <si>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</si>
  <si>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</si>
  <si>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</si>
  <si>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</si>
  <si>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</si>
  <si>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</si>
  <si>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</si>
  <si>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</si>
  <si>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</si>
  <si>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</si>
  <si>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</si>
  <si>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</si>
  <si>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</si>
  <si>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</si>
  <si>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</si>
  <si>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</si>
  <si>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</si>
  <si>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</si>
  <si>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</si>
  <si>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</si>
  <si>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</si>
  <si>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</si>
  <si>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</si>
  <si>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</si>
  <si>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</si>
  <si>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</si>
  <si>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</si>
  <si>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</si>
  <si>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</si>
  <si>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</si>
  <si>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</si>
  <si>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</si>
  <si>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</si>
  <si>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</si>
  <si>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</si>
  <si>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</si>
  <si>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</si>
  <si>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</si>
  <si>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</si>
  <si>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</si>
  <si>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</si>
  <si>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</si>
  <si>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</si>
  <si>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</si>
  <si>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</si>
  <si>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</si>
  <si>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</si>
  <si>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</si>
  <si>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</si>
  <si>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</si>
  <si>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</si>
  <si>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</si>
  <si>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</si>
  <si>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</si>
  <si>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</si>
  <si>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</si>
  <si>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</si>
  <si>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</si>
  <si>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</si>
  <si>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</si>
  <si>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</si>
  <si>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</si>
  <si>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</si>
  <si>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</si>
  <si>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</si>
  <si>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</si>
  <si>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</si>
  <si>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Point</t>
  </si>
  <si>
    <t>Emergy indices with partial renewabilities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</si>
</sst>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159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1</v>
      </c>
      <c r="X58" s="222">
        <v>1</v>
      </c>
      <c r="Y58" s="222">
        <v>1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</v>
      </c>
      <c r="U61" s="232">
        <v>1</v>
      </c>
      <c r="V61" s="232">
        <v>1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4</v>
      </c>
      <c r="U62" s="232">
        <v>4</v>
      </c>
      <c r="V62" s="232">
        <v>4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6</v>
      </c>
      <c r="U63" s="232">
        <v>6</v>
      </c>
      <c r="V63" s="232">
        <v>6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23</v>
      </c>
      <c r="U64" s="232">
        <v>23</v>
      </c>
      <c r="V64" s="232">
        <v>23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3.8333333333333335</v>
      </c>
      <c r="U65" s="235">
        <v>3.8333333333333335</v>
      </c>
      <c r="V65" s="234">
        <v>3.8333333333333335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0.35294117647058826</v>
      </c>
      <c r="U66" s="235">
        <v>0.35294117647058826</v>
      </c>
      <c r="V66" s="234">
        <v>0.35294117647058826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0.76923076923076927</v>
      </c>
      <c r="U67" s="235">
        <v>0.76923076923076927</v>
      </c>
      <c r="V67" s="234">
        <v>0.76923076923076927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4.9833333333333334</v>
      </c>
      <c r="U68" s="235">
        <v>4.9833333333333334</v>
      </c>
      <c r="V68" s="234">
        <v>4.9833333333333334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56.521739130434781</v>
      </c>
      <c r="U69" s="235">
        <v>56.521739130434781</v>
      </c>
      <c r="V69" s="237">
        <v>56.521739130434781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7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2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4" sqref="H14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160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161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I12" s="205"/>
      <c r="K12" s="205"/>
    </row>
    <row r="13" spans="1:12" x14ac:dyDescent="0.2">
      <c r="B13" s="203"/>
      <c r="I13" s="205"/>
      <c r="K13" s="205"/>
    </row>
    <row r="14" spans="1:12" x14ac:dyDescent="0.2">
      <c r="B14" s="203"/>
      <c r="I14" s="205"/>
      <c r="K14" s="205"/>
    </row>
    <row r="15" spans="1:12" x14ac:dyDescent="0.2">
      <c r="I15" s="205"/>
      <c r="K15" s="205"/>
    </row>
    <row r="17" spans="2:11" x14ac:dyDescent="0.2">
      <c r="B17" s="203"/>
    </row>
    <row r="18" spans="2:11" x14ac:dyDescent="0.2">
      <c r="B18" s="203"/>
    </row>
    <row r="19" spans="2:11" x14ac:dyDescent="0.2">
      <c r="B19" s="203"/>
    </row>
    <row r="22" spans="2:11" x14ac:dyDescent="0.2">
      <c r="B22" s="203"/>
      <c r="I22" s="205"/>
      <c r="K22" s="205"/>
    </row>
    <row r="23" spans="2:11" x14ac:dyDescent="0.2">
      <c r="B23" s="203"/>
      <c r="I23" s="205"/>
      <c r="K23" s="205"/>
    </row>
    <row r="24" spans="2:11" x14ac:dyDescent="0.2">
      <c r="B24" s="203"/>
      <c r="I24" s="205"/>
      <c r="K24" s="205"/>
    </row>
    <row r="25" spans="2:11" x14ac:dyDescent="0.2">
      <c r="I25" s="205"/>
      <c r="K25" s="205"/>
    </row>
    <row r="27" spans="2:11" x14ac:dyDescent="0.2">
      <c r="B27" s="203"/>
    </row>
    <row r="28" spans="2:11" x14ac:dyDescent="0.2">
      <c r="B28" s="203"/>
    </row>
    <row r="29" spans="2:11" x14ac:dyDescent="0.2">
      <c r="B29" s="203"/>
    </row>
    <row r="32" spans="2:11" x14ac:dyDescent="0.2">
      <c r="B32" s="203"/>
      <c r="I32" s="205"/>
      <c r="K32" s="205"/>
    </row>
    <row r="33" spans="2:11" x14ac:dyDescent="0.2">
      <c r="B33" s="203"/>
      <c r="I33" s="205"/>
      <c r="K33" s="205"/>
    </row>
    <row r="34" spans="2:11" x14ac:dyDescent="0.2">
      <c r="B34" s="203"/>
      <c r="I34" s="205"/>
      <c r="K34" s="205"/>
    </row>
    <row r="35" spans="2:11" x14ac:dyDescent="0.2">
      <c r="I35" s="205"/>
      <c r="K35" s="205"/>
    </row>
    <row r="37" spans="2:11" x14ac:dyDescent="0.2">
      <c r="B37" s="203"/>
    </row>
    <row r="38" spans="2:11" x14ac:dyDescent="0.2">
      <c r="B38" s="203"/>
    </row>
    <row r="39" spans="2:11" x14ac:dyDescent="0.2">
      <c r="B39" s="203"/>
    </row>
    <row r="42" spans="2:11" x14ac:dyDescent="0.2">
      <c r="B42" s="203"/>
      <c r="I42" s="205"/>
      <c r="K42" s="205"/>
    </row>
    <row r="43" spans="2:11" x14ac:dyDescent="0.2">
      <c r="B43" s="203"/>
      <c r="I43" s="205"/>
      <c r="K43" s="205"/>
    </row>
    <row r="44" spans="2:11" x14ac:dyDescent="0.2">
      <c r="B44" s="203"/>
      <c r="I44" s="205"/>
      <c r="K44" s="205"/>
    </row>
    <row r="45" spans="2:11" x14ac:dyDescent="0.2">
      <c r="I45" s="205"/>
      <c r="K45" s="205"/>
    </row>
    <row r="47" spans="2:11" x14ac:dyDescent="0.2">
      <c r="B47" s="203"/>
    </row>
    <row r="48" spans="2:11" x14ac:dyDescent="0.2">
      <c r="B48" s="203"/>
    </row>
    <row r="49" spans="2:11" x14ac:dyDescent="0.2">
      <c r="B49" s="203"/>
    </row>
    <row r="52" spans="2:11" x14ac:dyDescent="0.2">
      <c r="B52" s="203"/>
      <c r="I52" s="205"/>
      <c r="K52" s="205"/>
    </row>
    <row r="53" spans="2:11" x14ac:dyDescent="0.2">
      <c r="B53" s="203"/>
      <c r="I53" s="205"/>
      <c r="K53" s="205"/>
    </row>
    <row r="54" spans="2:11" x14ac:dyDescent="0.2">
      <c r="B54" s="203"/>
      <c r="I54" s="205"/>
      <c r="K54" s="205"/>
    </row>
    <row r="55" spans="2:11" x14ac:dyDescent="0.2">
      <c r="I55" s="205"/>
      <c r="K55" s="205"/>
    </row>
    <row r="57" spans="2:11" x14ac:dyDescent="0.2">
      <c r="B57" s="203"/>
    </row>
    <row r="58" spans="2:11" x14ac:dyDescent="0.2">
      <c r="B58" s="203"/>
    </row>
    <row r="59" spans="2:11" x14ac:dyDescent="0.2">
      <c r="B59" s="203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160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0.40446689699657934</v>
      </c>
      <c r="E30" s="62">
        <f ca="1">IFERROR(M100,0)</f>
        <v>0.2893751051880929</v>
      </c>
      <c r="F30" s="62">
        <f ca="1">IFERROR(M103,0)</f>
        <v>0.65759122345576337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0.22430616375418846</v>
      </c>
      <c r="N87" s="131">
        <f ca="1">IFERROR(N91,0)</f>
        <v>-2.8266996293328735E-2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-1.0255800994045675E-16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-0.30574516396344054</v>
      </c>
      <c r="N88" s="136">
        <f ca="1">IFERROR((C81*N87+D81),0)</f>
        <v>-0.5244799368787032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0.99999999999999967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0.2243051944120607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-2.8272562280998843E-2</v>
      </c>
      <c r="P91" s="96" t="s">
        <v>8</v>
      </c>
      <c r="Q91" s="6" t="s">
        <v>56</v>
      </c>
      <c r="R91" s="135"/>
      <c r="S91" s="136">
        <f ca="1">IFERROR((SQRT(25*S88^2-10*S88+21)-6)/(5*SQRT(3)),0)</f>
        <v>-1.0255800994045675E-16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0.33412288466772261</v>
      </c>
      <c r="N92" s="140"/>
      <c r="P92" s="99" t="s">
        <v>57</v>
      </c>
      <c r="Q92" s="25"/>
      <c r="R92" s="141">
        <f ca="1">IFERROR(SQRT((R87-S87)^2+(R88-S88)^2),0)</f>
        <v>3.4849922553665969E-16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0.28935890610798587</v>
      </c>
      <c r="N100" s="143"/>
      <c r="P100" s="6" t="s">
        <v>60</v>
      </c>
      <c r="R100" s="142">
        <f ca="1">IFERROR(R92/R98,0)</f>
        <v>6.9867253775329612E-17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0.75932314910240817</v>
      </c>
      <c r="N102" s="147">
        <f ca="1">IFERROR(SQRT((M87-M94)^2+(M88-M95)^2),0)</f>
        <v>0.46703345240971694</v>
      </c>
      <c r="R102" s="134">
        <f ca="1">IFERROR((SQRT((S87-S94)^2+(S88-S95)^2)),0)</f>
        <v>1.1547005383792512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0.65759313680428444</v>
      </c>
      <c r="N103" s="149">
        <f ca="1">IFERROR(N102/M98,0)</f>
        <v>0.40446283420396545</v>
      </c>
      <c r="R103" s="148">
        <f ca="1">IFERROR(R102/R98,0)</f>
        <v>0.23149479148832813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1.3514148771162358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1.6068786207772197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1.4614368539503995</v>
      </c>
      <c r="R109" s="103">
        <f ca="1">IFERROR(LOG(100*R100),0)</f>
        <v>-14.15572632692828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1.8179572718927275</v>
      </c>
      <c r="N110" s="25"/>
      <c r="O110" s="25"/>
      <c r="P110" s="25"/>
      <c r="Q110" s="25"/>
      <c r="R110" s="153">
        <f ca="1">IFERROR(LOG(100*R103),0)</f>
        <v>1.3645412240653108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2023-08-21T21:13:35Z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