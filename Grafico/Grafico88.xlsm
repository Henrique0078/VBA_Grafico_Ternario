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68025418-B467-4B4C-A1E0-3E33FC66C793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66" i="6" s="1"/>
  <c r="B256" i="6"/>
  <c r="B255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<sst xmlns="http://schemas.openxmlformats.org/spreadsheetml/2006/main" count="494" uniqueCount="164">
  <si>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</si>
  <si>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</si>
  <si>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</si>
  <si>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</si>
  <si>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</si>
  <si>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</si>
  <si>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</si>
  <si>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</si>
  <si>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</si>
  <si>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</si>
  <si>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</si>
  <si>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</si>
  <si>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</si>
  <si>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</si>
  <si>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</si>
  <si>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</si>
  <si>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</si>
  <si>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</si>
  <si>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</si>
  <si>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</si>
  <si>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</si>
  <si>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</si>
  <si>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</si>
  <si>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</si>
  <si>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</si>
  <si>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</si>
  <si>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</si>
  <si>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</si>
  <si>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</si>
  <si>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</si>
  <si>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</si>
  <si>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</si>
  <si>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</si>
  <si>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</si>
  <si>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</si>
  <si>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</si>
  <si>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</si>
  <si>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</si>
  <si>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</si>
  <si>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</si>
  <si>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</si>
  <si>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</si>
  <si>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</si>
  <si>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</si>
  <si>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</si>
  <si>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</si>
  <si>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</si>
  <si>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</si>
  <si>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</si>
  <si>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</si>
  <si>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</si>
  <si>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</si>
  <si>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</si>
  <si>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</si>
  <si>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</si>
  <si>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</si>
  <si>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</si>
  <si>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</si>
  <si>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</si>
  <si>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</si>
  <si>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</si>
  <si>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</si>
  <si>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</si>
  <si>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</si>
  <si>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</si>
  <si>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</si>
  <si>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</si>
  <si>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</si>
  <si>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</si>
  <si>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</si>
  <si>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</si>
  <si>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</si>
  <si>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</si>
  <si>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</si>
  <si>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</si>
  <si>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</si>
  <si>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</si>
  <si>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</si>
  <si>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</si>
  <si>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</si>
  <si>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</si>
  <si>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</si>
  <si>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</si>
  <si>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</si>
  <si>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</si>
  <si>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</si>
  <si>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</si>
  <si>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</si>
  <si>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</si>
  <si>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</si>
  <si>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</si>
  <si>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</si>
  <si>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</si>
  <si>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</si>
  <si>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</si>
  <si>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</si>
  <si>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</si>
  <si>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</si>
  <si>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</si>
  <si>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</si>
  <si>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</si>
  <si>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</si>
  <si>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</si>
  <si>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</si>
  <si>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</si>
  <si>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</si>
  <si>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</si>
  <si>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</si>
  <si>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</si>
  <si>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</si>
  <si>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</si>
  <si>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</si>
  <si>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</si>
  <si>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</si>
  <si>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</si>
  <si>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</si>
  <si>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</si>
  <si>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</si>
  <si>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</si>
  <si>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</si>
  <si>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</si>
  <si>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</si>
  <si>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</si>
  <si>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</si>
  <si>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</si>
  <si>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</si>
  <si>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</si>
  <si>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</si>
  <si>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</si>
  <si>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</si>
  <si>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</si>
  <si>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</si>
  <si>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</si>
  <si>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</si>
  <si>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</si>
  <si>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</si>
  <si>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</si>
  <si>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</si>
  <si>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</si>
  <si>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</si>
  <si>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</si>
  <si>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</si>
  <si>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</si>
  <si>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</si>
  <si>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</si>
  <si>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</si>
  <si>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</si>
  <si>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</si>
  <si>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</si>
  <si>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</si>
  <si>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</si>
  <si>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</si>
  <si>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</si>
  <si>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</si>
  <si>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</si>
  <si>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</si>
  <si>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</si>
  <si>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</si>
  <si>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</si>
  <si>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</si>
  <si>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</si>
  <si>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</si>
  <si>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</si>
  <si>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Odum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</si>
</sst>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  <c r="O13" s="224">
        <v>69</v>
      </c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163</v>
      </c>
      <c r="X55" s="224" t="s">
        <v>163</v>
      </c>
      <c r="Y55" s="224" t="s">
        <v>163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W57" s="224" t="s">
        <v>163</v>
      </c>
      <c r="X57" s="224" t="s">
        <v>163</v>
      </c>
      <c r="Y57" s="224" t="s">
        <v>163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154</v>
      </c>
      <c r="U61" s="234">
        <v>154</v>
      </c>
      <c r="V61" s="234">
        <v>154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47</v>
      </c>
      <c r="U62" s="234">
        <v>47</v>
      </c>
      <c r="V62" s="234">
        <v>47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34</v>
      </c>
      <c r="U63" s="234">
        <v>34</v>
      </c>
      <c r="V63" s="234">
        <v>34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299</v>
      </c>
      <c r="U64" s="234">
        <v>299</v>
      </c>
      <c r="V64" s="234">
        <v>299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8.7941176470588243</v>
      </c>
      <c r="U65" s="237">
        <v>8.7941176470588243</v>
      </c>
      <c r="V65" s="236">
        <v>8.7941176470588243</v>
      </c>
      <c r="W65" s="238" t="e">
        <f>Diagrama!B230</f>
        <v>#DIV/0!</v>
      </c>
      <c r="X65" s="238" t="e">
        <f>Diagrama!C230</f>
        <v>#DIV/0!</v>
      </c>
      <c r="Y65" s="238" t="e">
        <f>Diagrama!D230</f>
        <v>#DIV/0!</v>
      </c>
      <c r="Z65" s="238" t="e">
        <f>Diagrama!E230</f>
        <v>#DIV/0!</v>
      </c>
      <c r="AA65" s="238" t="e">
        <f>Diagrama!F230</f>
        <v>#DIV/0!</v>
      </c>
      <c r="AB65" s="238" t="e">
        <f>Diagrama!G230</f>
        <v>#DIV/0!</v>
      </c>
      <c r="AC65" s="238" t="e">
        <f>Diagrama!H230</f>
        <v>#DIV/0!</v>
      </c>
      <c r="AD65" s="238" t="e">
        <f>Diagrama!I230</f>
        <v>#DIV/0!</v>
      </c>
      <c r="AE65" s="238" t="e">
        <f>Diagrama!J230</f>
        <v>#DIV/0!</v>
      </c>
      <c r="AF65" s="238" t="e">
        <f>Diagrama!K230</f>
        <v>#DIV/0!</v>
      </c>
      <c r="AG65" s="238" t="e">
        <f>Diagrama!L230</f>
        <v>#DIV/0!</v>
      </c>
      <c r="AH65" s="238" t="e">
        <f>Diagrama!M230</f>
        <v>#DIV/0!</v>
      </c>
      <c r="AI65" s="238" t="e">
        <f>Diagrama!N230</f>
        <v>#DIV/0!</v>
      </c>
      <c r="AJ65" s="238" t="e">
        <f>Diagrama!O230</f>
        <v>#DIV/0!</v>
      </c>
      <c r="AK65" s="238" t="e">
        <f>Diagrama!P230</f>
        <v>#DIV/0!</v>
      </c>
      <c r="AL65" s="238" t="e">
        <f>Diagrama!Q230</f>
        <v>#DIV/0!</v>
      </c>
      <c r="AM65" s="238" t="e">
        <f>Diagrama!R230</f>
        <v>#DIV/0!</v>
      </c>
      <c r="AN65" s="238" t="e">
        <f>Diagrama!S230</f>
        <v>#DIV/0!</v>
      </c>
      <c r="AO65" s="238" t="e">
        <f>Diagrama!T230</f>
        <v>#DIV/0!</v>
      </c>
      <c r="AP65" s="238" t="e">
        <f>Diagrama!U230</f>
        <v>#DIV/0!</v>
      </c>
      <c r="AQ65" s="238" t="e">
        <f>Diagrama!V230</f>
        <v>#DIV/0!</v>
      </c>
      <c r="AR65" s="238" t="e">
        <f>Diagrama!W230</f>
        <v>#DIV/0!</v>
      </c>
      <c r="AS65" s="238" t="e">
        <f>Diagrama!X230</f>
        <v>#DIV/0!</v>
      </c>
      <c r="AT65" s="238" t="e">
        <f>Diagrama!Y230</f>
        <v>#DIV/0!</v>
      </c>
      <c r="AU65" s="238" t="e">
        <f>Diagrama!Z230</f>
        <v>#DIV/0!</v>
      </c>
      <c r="AV65" s="238" t="e">
        <f>Diagrama!AA230</f>
        <v>#DIV/0!</v>
      </c>
      <c r="AW65" s="238" t="e">
        <f>Diagrama!AB230</f>
        <v>#DIV/0!</v>
      </c>
      <c r="AX65" s="238" t="e">
        <f>Diagrama!AC230</f>
        <v>#DIV/0!</v>
      </c>
      <c r="AY65" s="238" t="e">
        <f>Diagrama!AD230</f>
        <v>#DIV/0!</v>
      </c>
      <c r="AZ65" s="238" t="e">
        <f>Diagrama!AE230</f>
        <v>#DIV/0!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0.12830188679245283</v>
      </c>
      <c r="U66" s="237">
        <v>0.12830188679245283</v>
      </c>
      <c r="V66" s="236">
        <v>0.12830188679245283</v>
      </c>
      <c r="W66" s="238" t="e">
        <f>Diagrama!B231</f>
        <v>#DIV/0!</v>
      </c>
      <c r="X66" s="238" t="e">
        <f>Diagrama!C231</f>
        <v>#DIV/0!</v>
      </c>
      <c r="Y66" s="238" t="e">
        <f>Diagrama!D231</f>
        <v>#DIV/0!</v>
      </c>
      <c r="Z66" s="238" t="e">
        <f>Diagrama!E231</f>
        <v>#DIV/0!</v>
      </c>
      <c r="AA66" s="238" t="e">
        <f>Diagrama!F231</f>
        <v>#DIV/0!</v>
      </c>
      <c r="AB66" s="238" t="e">
        <f>Diagrama!G231</f>
        <v>#DIV/0!</v>
      </c>
      <c r="AC66" s="238" t="e">
        <f>Diagrama!H231</f>
        <v>#DIV/0!</v>
      </c>
      <c r="AD66" s="238" t="e">
        <f>Diagrama!I231</f>
        <v>#DIV/0!</v>
      </c>
      <c r="AE66" s="238" t="e">
        <f>Diagrama!J231</f>
        <v>#DIV/0!</v>
      </c>
      <c r="AF66" s="238" t="e">
        <f>Diagrama!K231</f>
        <v>#DIV/0!</v>
      </c>
      <c r="AG66" s="238" t="e">
        <f>Diagrama!L231</f>
        <v>#DIV/0!</v>
      </c>
      <c r="AH66" s="238" t="e">
        <f>Diagrama!M231</f>
        <v>#DIV/0!</v>
      </c>
      <c r="AI66" s="238" t="e">
        <f>Diagrama!N231</f>
        <v>#DIV/0!</v>
      </c>
      <c r="AJ66" s="238" t="e">
        <f>Diagrama!O231</f>
        <v>#DIV/0!</v>
      </c>
      <c r="AK66" s="238" t="e">
        <f>Diagrama!P231</f>
        <v>#DIV/0!</v>
      </c>
      <c r="AL66" s="238" t="e">
        <f>Diagrama!Q231</f>
        <v>#DIV/0!</v>
      </c>
      <c r="AM66" s="238" t="e">
        <f>Diagrama!R231</f>
        <v>#DIV/0!</v>
      </c>
      <c r="AN66" s="238" t="e">
        <f>Diagrama!S231</f>
        <v>#DIV/0!</v>
      </c>
      <c r="AO66" s="238" t="e">
        <f>Diagrama!T231</f>
        <v>#DIV/0!</v>
      </c>
      <c r="AP66" s="238" t="e">
        <f>Diagrama!U231</f>
        <v>#DIV/0!</v>
      </c>
      <c r="AQ66" s="238" t="e">
        <f>Diagrama!V231</f>
        <v>#DIV/0!</v>
      </c>
      <c r="AR66" s="238" t="e">
        <f>Diagrama!W231</f>
        <v>#DIV/0!</v>
      </c>
      <c r="AS66" s="238" t="e">
        <f>Diagrama!X231</f>
        <v>#DIV/0!</v>
      </c>
      <c r="AT66" s="238" t="e">
        <f>Diagrama!Y231</f>
        <v>#DIV/0!</v>
      </c>
      <c r="AU66" s="238" t="e">
        <f>Diagrama!Z231</f>
        <v>#DIV/0!</v>
      </c>
      <c r="AV66" s="238" t="e">
        <f>Diagrama!AA231</f>
        <v>#DIV/0!</v>
      </c>
      <c r="AW66" s="238" t="e">
        <f>Diagrama!AB231</f>
        <v>#DIV/0!</v>
      </c>
      <c r="AX66" s="238" t="e">
        <f>Diagrama!AC231</f>
        <v>#DIV/0!</v>
      </c>
      <c r="AY66" s="238" t="e">
        <f>Diagrama!AD231</f>
        <v>#DIV/0!</v>
      </c>
      <c r="AZ66" s="238" t="e">
        <f>Diagrama!AE231</f>
        <v>#DIV/0!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0.37155963302752293</v>
      </c>
      <c r="U67" s="237">
        <v>0.37155963302752293</v>
      </c>
      <c r="V67" s="236">
        <v>0.37155963302752293</v>
      </c>
      <c r="W67" s="238" t="e">
        <f>Diagrama!B232</f>
        <v>#DIV/0!</v>
      </c>
      <c r="X67" s="238" t="e">
        <f>Diagrama!C232</f>
        <v>#DIV/0!</v>
      </c>
      <c r="Y67" s="238" t="e">
        <f>Diagrama!D232</f>
        <v>#DIV/0!</v>
      </c>
      <c r="Z67" s="238" t="e">
        <f>Diagrama!E232</f>
        <v>#DIV/0!</v>
      </c>
      <c r="AA67" s="238" t="e">
        <f>Diagrama!F232</f>
        <v>#DIV/0!</v>
      </c>
      <c r="AB67" s="238" t="e">
        <f>Diagrama!G232</f>
        <v>#DIV/0!</v>
      </c>
      <c r="AC67" s="238" t="e">
        <f>Diagrama!H232</f>
        <v>#DIV/0!</v>
      </c>
      <c r="AD67" s="238" t="e">
        <f>Diagrama!I232</f>
        <v>#DIV/0!</v>
      </c>
      <c r="AE67" s="238" t="e">
        <f>Diagrama!J232</f>
        <v>#DIV/0!</v>
      </c>
      <c r="AF67" s="238" t="e">
        <f>Diagrama!K232</f>
        <v>#DIV/0!</v>
      </c>
      <c r="AG67" s="238" t="e">
        <f>Diagrama!L232</f>
        <v>#DIV/0!</v>
      </c>
      <c r="AH67" s="238" t="e">
        <f>Diagrama!M232</f>
        <v>#DIV/0!</v>
      </c>
      <c r="AI67" s="238" t="e">
        <f>Diagrama!N232</f>
        <v>#DIV/0!</v>
      </c>
      <c r="AJ67" s="238" t="e">
        <f>Diagrama!O232</f>
        <v>#DIV/0!</v>
      </c>
      <c r="AK67" s="238" t="e">
        <f>Diagrama!P232</f>
        <v>#DIV/0!</v>
      </c>
      <c r="AL67" s="238" t="e">
        <f>Diagrama!Q232</f>
        <v>#DIV/0!</v>
      </c>
      <c r="AM67" s="238" t="e">
        <f>Diagrama!R232</f>
        <v>#DIV/0!</v>
      </c>
      <c r="AN67" s="238" t="e">
        <f>Diagrama!S232</f>
        <v>#DIV/0!</v>
      </c>
      <c r="AO67" s="238" t="e">
        <f>Diagrama!T232</f>
        <v>#DIV/0!</v>
      </c>
      <c r="AP67" s="238" t="e">
        <f>Diagrama!U232</f>
        <v>#DIV/0!</v>
      </c>
      <c r="AQ67" s="238" t="e">
        <f>Diagrama!V232</f>
        <v>#DIV/0!</v>
      </c>
      <c r="AR67" s="238" t="e">
        <f>Diagrama!W232</f>
        <v>#DIV/0!</v>
      </c>
      <c r="AS67" s="238" t="e">
        <f>Diagrama!X232</f>
        <v>#DIV/0!</v>
      </c>
      <c r="AT67" s="238" t="e">
        <f>Diagrama!Y232</f>
        <v>#DIV/0!</v>
      </c>
      <c r="AU67" s="238" t="e">
        <f>Diagrama!Z232</f>
        <v>#DIV/0!</v>
      </c>
      <c r="AV67" s="238" t="e">
        <f>Diagrama!AA232</f>
        <v>#DIV/0!</v>
      </c>
      <c r="AW67" s="238" t="e">
        <f>Diagrama!AB232</f>
        <v>#DIV/0!</v>
      </c>
      <c r="AX67" s="238" t="e">
        <f>Diagrama!AC232</f>
        <v>#DIV/0!</v>
      </c>
      <c r="AY67" s="238" t="e">
        <f>Diagrama!AD232</f>
        <v>#DIV/0!</v>
      </c>
      <c r="AZ67" s="238" t="e">
        <f>Diagrama!AE232</f>
        <v>#DIV/0!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23.668119099491651</v>
      </c>
      <c r="U68" s="237">
        <v>23.668119099491651</v>
      </c>
      <c r="V68" s="236">
        <v>23.668119099491651</v>
      </c>
      <c r="W68" s="238" t="e">
        <f>Diagrama!B233</f>
        <v>#DIV/0!</v>
      </c>
      <c r="X68" s="238" t="e">
        <f>Diagrama!C233</f>
        <v>#DIV/0!</v>
      </c>
      <c r="Y68" s="238" t="e">
        <f>Diagrama!D233</f>
        <v>#DIV/0!</v>
      </c>
      <c r="Z68" s="238" t="e">
        <f>Diagrama!E233</f>
        <v>#DIV/0!</v>
      </c>
      <c r="AA68" s="238" t="e">
        <f>Diagrama!F233</f>
        <v>#DIV/0!</v>
      </c>
      <c r="AB68" s="238" t="e">
        <f>Diagrama!G233</f>
        <v>#DIV/0!</v>
      </c>
      <c r="AC68" s="238" t="e">
        <f>Diagrama!H233</f>
        <v>#DIV/0!</v>
      </c>
      <c r="AD68" s="238" t="e">
        <f>Diagrama!I233</f>
        <v>#DIV/0!</v>
      </c>
      <c r="AE68" s="238" t="e">
        <f>Diagrama!J233</f>
        <v>#DIV/0!</v>
      </c>
      <c r="AF68" s="238" t="e">
        <f>Diagrama!K233</f>
        <v>#DIV/0!</v>
      </c>
      <c r="AG68" s="238" t="e">
        <f>Diagrama!L233</f>
        <v>#DIV/0!</v>
      </c>
      <c r="AH68" s="238" t="e">
        <f>Diagrama!M233</f>
        <v>#DIV/0!</v>
      </c>
      <c r="AI68" s="238" t="e">
        <f>Diagrama!N233</f>
        <v>#DIV/0!</v>
      </c>
      <c r="AJ68" s="238" t="e">
        <f>Diagrama!O233</f>
        <v>#DIV/0!</v>
      </c>
      <c r="AK68" s="238" t="e">
        <f>Diagrama!P233</f>
        <v>#DIV/0!</v>
      </c>
      <c r="AL68" s="238" t="e">
        <f>Diagrama!Q233</f>
        <v>#DIV/0!</v>
      </c>
      <c r="AM68" s="238" t="e">
        <f>Diagrama!R233</f>
        <v>#DIV/0!</v>
      </c>
      <c r="AN68" s="238" t="e">
        <f>Diagrama!S233</f>
        <v>#DIV/0!</v>
      </c>
      <c r="AO68" s="238" t="e">
        <f>Diagrama!T233</f>
        <v>#DIV/0!</v>
      </c>
      <c r="AP68" s="238" t="e">
        <f>Diagrama!U233</f>
        <v>#DIV/0!</v>
      </c>
      <c r="AQ68" s="238" t="e">
        <f>Diagrama!V233</f>
        <v>#DIV/0!</v>
      </c>
      <c r="AR68" s="238" t="e">
        <f>Diagrama!W233</f>
        <v>#DIV/0!</v>
      </c>
      <c r="AS68" s="238" t="e">
        <f>Diagrama!X233</f>
        <v>#DIV/0!</v>
      </c>
      <c r="AT68" s="238" t="e">
        <f>Diagrama!Y233</f>
        <v>#DIV/0!</v>
      </c>
      <c r="AU68" s="238" t="e">
        <f>Diagrama!Z233</f>
        <v>#DIV/0!</v>
      </c>
      <c r="AV68" s="238" t="e">
        <f>Diagrama!AA233</f>
        <v>#DIV/0!</v>
      </c>
      <c r="AW68" s="238" t="e">
        <f>Diagrama!AB233</f>
        <v>#DIV/0!</v>
      </c>
      <c r="AX68" s="238" t="e">
        <f>Diagrama!AC233</f>
        <v>#DIV/0!</v>
      </c>
      <c r="AY68" s="238" t="e">
        <f>Diagrama!AD233</f>
        <v>#DIV/0!</v>
      </c>
      <c r="AZ68" s="238" t="e">
        <f>Diagrama!AE233</f>
        <v>#DIV/0!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72.909698996655521</v>
      </c>
      <c r="U69" s="237">
        <v>72.909698996655521</v>
      </c>
      <c r="V69" s="239">
        <v>72.909698996655521</v>
      </c>
      <c r="W69" s="240" t="e">
        <f>100*(W61+W76+W78)/W64</f>
        <v>#DIV/0!</v>
      </c>
      <c r="X69" s="240" t="e">
        <f t="shared" ref="X69:BA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47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17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17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17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ignoredErrors>
    <ignoredError sqref="AA65:AZ69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10" bestFit="1" customWidth="1"/>
    <col min="2" max="2" width="11.625" style="200" customWidth="1"/>
    <col min="3" max="4" width="0.5" style="200" hidden="1" customWidth="1"/>
    <col min="5" max="5" width="16.5" style="200" customWidth="1"/>
    <col min="6" max="6" width="4.875" style="200" hidden="1" customWidth="1"/>
    <col min="7" max="7" width="17.375" style="212" customWidth="1"/>
    <col min="8" max="8" width="17.375" style="213" customWidth="1"/>
    <col min="9" max="9" width="9.375" style="200" customWidth="1"/>
    <col min="10" max="10" width="13.75" style="213" customWidth="1"/>
    <col min="11" max="11" width="9" style="200"/>
    <col min="12" max="12" width="13.375" style="215" customWidth="1"/>
    <col min="13" max="16384" width="9" style="200"/>
  </cols>
  <sheetData>
    <row r="1" spans="1:12" ht="24" x14ac:dyDescent="0.2">
      <c r="A1" s="203" t="s">
        <v>9</v>
      </c>
      <c r="B1" s="204" t="s">
        <v>109</v>
      </c>
      <c r="C1" s="204"/>
      <c r="D1" s="204"/>
      <c r="E1" s="204" t="s">
        <v>110</v>
      </c>
      <c r="F1" s="204"/>
      <c r="G1" s="205" t="s">
        <v>111</v>
      </c>
      <c r="H1" s="206" t="s">
        <v>159</v>
      </c>
      <c r="I1" s="204"/>
      <c r="J1" s="207" t="s">
        <v>160</v>
      </c>
      <c r="K1" s="208"/>
      <c r="L1" s="209" t="s">
        <v>147</v>
      </c>
    </row>
    <row r="2" spans="1:12" x14ac:dyDescent="0.2">
      <c r="B2" s="211"/>
      <c r="I2" s="214"/>
      <c r="K2" s="214"/>
    </row>
    <row r="3" spans="1:12" x14ac:dyDescent="0.2">
      <c r="B3" s="211"/>
      <c r="I3" s="214"/>
      <c r="K3" s="214"/>
    </row>
    <row r="4" spans="1:12" x14ac:dyDescent="0.2">
      <c r="B4" s="211"/>
      <c r="I4" s="214"/>
      <c r="K4" s="214"/>
    </row>
    <row r="5" spans="1:12" x14ac:dyDescent="0.2">
      <c r="I5" s="214"/>
      <c r="K5" s="214"/>
    </row>
    <row r="7" spans="1:12" x14ac:dyDescent="0.2">
      <c r="B7" s="211"/>
    </row>
    <row r="8" spans="1:12" x14ac:dyDescent="0.2">
      <c r="B8" s="211"/>
    </row>
    <row r="9" spans="1:12" x14ac:dyDescent="0.2">
      <c r="B9" s="211"/>
    </row>
    <row r="12" spans="1:12" x14ac:dyDescent="0.2">
      <c r="B12" s="211"/>
      <c r="I12" s="214"/>
      <c r="K12" s="214"/>
    </row>
    <row r="13" spans="1:12" x14ac:dyDescent="0.2">
      <c r="B13" s="211"/>
      <c r="I13" s="214"/>
      <c r="K13" s="214"/>
    </row>
    <row r="14" spans="1:12" x14ac:dyDescent="0.2">
      <c r="B14" s="211"/>
      <c r="I14" s="214"/>
      <c r="K14" s="214"/>
    </row>
    <row r="15" spans="1:12" x14ac:dyDescent="0.2">
      <c r="I15" s="214"/>
      <c r="K15" s="214"/>
    </row>
    <row r="17" spans="2:11" x14ac:dyDescent="0.2">
      <c r="B17" s="211"/>
    </row>
    <row r="18" spans="2:11" x14ac:dyDescent="0.2">
      <c r="B18" s="211"/>
    </row>
    <row r="19" spans="2:11" x14ac:dyDescent="0.2">
      <c r="B19" s="211"/>
    </row>
    <row r="22" spans="2:11" x14ac:dyDescent="0.2">
      <c r="B22" s="211"/>
      <c r="I22" s="214"/>
      <c r="K22" s="214"/>
    </row>
    <row r="23" spans="2:11" x14ac:dyDescent="0.2">
      <c r="B23" s="211"/>
      <c r="I23" s="214"/>
      <c r="K23" s="214"/>
    </row>
    <row r="24" spans="2:11" x14ac:dyDescent="0.2">
      <c r="B24" s="211"/>
      <c r="I24" s="214"/>
      <c r="K24" s="214"/>
    </row>
    <row r="25" spans="2:11" x14ac:dyDescent="0.2">
      <c r="I25" s="214"/>
      <c r="K25" s="214"/>
    </row>
    <row r="27" spans="2:11" x14ac:dyDescent="0.2">
      <c r="B27" s="211"/>
    </row>
    <row r="28" spans="2:11" x14ac:dyDescent="0.2">
      <c r="B28" s="211"/>
    </row>
    <row r="29" spans="2:11" x14ac:dyDescent="0.2">
      <c r="B29" s="211"/>
    </row>
    <row r="32" spans="2:11" x14ac:dyDescent="0.2">
      <c r="B32" s="211"/>
      <c r="I32" s="214"/>
      <c r="K32" s="214"/>
    </row>
    <row r="33" spans="2:11" x14ac:dyDescent="0.2">
      <c r="B33" s="211"/>
      <c r="I33" s="214"/>
      <c r="K33" s="214"/>
    </row>
    <row r="34" spans="2:11" x14ac:dyDescent="0.2">
      <c r="B34" s="211"/>
      <c r="I34" s="214"/>
      <c r="K34" s="214"/>
    </row>
    <row r="35" spans="2:11" x14ac:dyDescent="0.2">
      <c r="I35" s="214"/>
      <c r="K35" s="214"/>
    </row>
    <row r="37" spans="2:11" x14ac:dyDescent="0.2">
      <c r="B37" s="211"/>
    </row>
    <row r="38" spans="2:11" x14ac:dyDescent="0.2">
      <c r="B38" s="211"/>
    </row>
    <row r="39" spans="2:11" x14ac:dyDescent="0.2">
      <c r="B39" s="211"/>
    </row>
    <row r="42" spans="2:11" x14ac:dyDescent="0.2">
      <c r="B42" s="211"/>
      <c r="I42" s="214"/>
      <c r="K42" s="214"/>
    </row>
    <row r="43" spans="2:11" x14ac:dyDescent="0.2">
      <c r="B43" s="211"/>
      <c r="I43" s="214"/>
      <c r="K43" s="214"/>
    </row>
    <row r="44" spans="2:11" x14ac:dyDescent="0.2">
      <c r="B44" s="211"/>
      <c r="I44" s="214"/>
      <c r="K44" s="214"/>
    </row>
    <row r="45" spans="2:11" x14ac:dyDescent="0.2">
      <c r="I45" s="214"/>
      <c r="K45" s="214"/>
    </row>
    <row r="47" spans="2:11" x14ac:dyDescent="0.2">
      <c r="B47" s="211"/>
    </row>
    <row r="48" spans="2:11" x14ac:dyDescent="0.2">
      <c r="B48" s="211"/>
    </row>
    <row r="49" spans="2:11" x14ac:dyDescent="0.2">
      <c r="B49" s="211"/>
    </row>
    <row r="52" spans="2:11" x14ac:dyDescent="0.2">
      <c r="B52" s="211"/>
      <c r="I52" s="214"/>
      <c r="K52" s="214"/>
    </row>
    <row r="53" spans="2:11" x14ac:dyDescent="0.2">
      <c r="B53" s="211"/>
      <c r="I53" s="214"/>
      <c r="K53" s="214"/>
    </row>
    <row r="54" spans="2:11" x14ac:dyDescent="0.2">
      <c r="B54" s="211"/>
      <c r="I54" s="214"/>
      <c r="K54" s="214"/>
    </row>
    <row r="55" spans="2:11" x14ac:dyDescent="0.2">
      <c r="I55" s="214"/>
      <c r="K55" s="214"/>
    </row>
    <row r="57" spans="2:11" x14ac:dyDescent="0.2">
      <c r="B57" s="211"/>
    </row>
    <row r="58" spans="2:11" x14ac:dyDescent="0.2">
      <c r="B58" s="211"/>
    </row>
    <row r="59" spans="2:11" x14ac:dyDescent="0.2">
      <c r="B59" s="211"/>
    </row>
    <row r="62" spans="2:11" x14ac:dyDescent="0.2">
      <c r="B62" s="211"/>
      <c r="I62" s="214"/>
      <c r="K62" s="214"/>
    </row>
    <row r="63" spans="2:11" x14ac:dyDescent="0.2">
      <c r="B63" s="211"/>
      <c r="I63" s="214"/>
      <c r="K63" s="214"/>
    </row>
    <row r="64" spans="2:11" x14ac:dyDescent="0.2">
      <c r="B64" s="211"/>
      <c r="I64" s="214"/>
      <c r="K64" s="214"/>
    </row>
    <row r="65" spans="2:11" x14ac:dyDescent="0.2">
      <c r="I65" s="214"/>
      <c r="K65" s="214"/>
    </row>
    <row r="67" spans="2:11" x14ac:dyDescent="0.2">
      <c r="B67" s="211"/>
    </row>
    <row r="68" spans="2:11" x14ac:dyDescent="0.2">
      <c r="B68" s="211"/>
    </row>
    <row r="69" spans="2:11" x14ac:dyDescent="0.2">
      <c r="B69" s="211"/>
    </row>
    <row r="72" spans="2:11" x14ac:dyDescent="0.2">
      <c r="B72" s="211"/>
      <c r="I72" s="214"/>
      <c r="K72" s="214"/>
    </row>
    <row r="73" spans="2:11" x14ac:dyDescent="0.2">
      <c r="B73" s="211"/>
      <c r="I73" s="214"/>
      <c r="K73" s="214"/>
    </row>
    <row r="74" spans="2:11" x14ac:dyDescent="0.2">
      <c r="B74" s="211"/>
      <c r="I74" s="214"/>
      <c r="K74" s="214"/>
    </row>
    <row r="75" spans="2:11" x14ac:dyDescent="0.2">
      <c r="I75" s="214"/>
      <c r="K75" s="214"/>
    </row>
    <row r="77" spans="2:11" ht="16.5" customHeight="1" x14ac:dyDescent="0.2">
      <c r="B77" s="211"/>
    </row>
    <row r="78" spans="2:11" x14ac:dyDescent="0.2">
      <c r="B78" s="211"/>
    </row>
    <row r="79" spans="2:11" x14ac:dyDescent="0.2">
      <c r="B79" s="211"/>
    </row>
    <row r="82" spans="2:11" x14ac:dyDescent="0.2">
      <c r="B82" s="211"/>
      <c r="I82" s="214"/>
      <c r="K82" s="214"/>
    </row>
    <row r="83" spans="2:11" x14ac:dyDescent="0.2">
      <c r="B83" s="211"/>
      <c r="I83" s="214"/>
      <c r="K83" s="214"/>
    </row>
    <row r="84" spans="2:11" x14ac:dyDescent="0.2">
      <c r="B84" s="211"/>
      <c r="I84" s="214"/>
      <c r="K84" s="214"/>
    </row>
    <row r="85" spans="2:11" x14ac:dyDescent="0.2">
      <c r="I85" s="214"/>
      <c r="K85" s="214"/>
    </row>
    <row r="87" spans="2:11" x14ac:dyDescent="0.2">
      <c r="B87" s="211"/>
    </row>
    <row r="88" spans="2:11" x14ac:dyDescent="0.2">
      <c r="B88" s="211"/>
    </row>
    <row r="89" spans="2:11" x14ac:dyDescent="0.2">
      <c r="B89" s="211"/>
    </row>
    <row r="92" spans="2:11" x14ac:dyDescent="0.2">
      <c r="B92" s="211"/>
      <c r="I92" s="214"/>
      <c r="K92" s="214"/>
    </row>
    <row r="93" spans="2:11" x14ac:dyDescent="0.2">
      <c r="B93" s="211"/>
      <c r="I93" s="214"/>
      <c r="K93" s="214"/>
    </row>
    <row r="94" spans="2:11" x14ac:dyDescent="0.2">
      <c r="B94" s="211"/>
      <c r="I94" s="214"/>
      <c r="K94" s="214"/>
    </row>
    <row r="95" spans="2:11" x14ac:dyDescent="0.2">
      <c r="I95" s="214"/>
      <c r="K95" s="214"/>
    </row>
    <row r="97" spans="2:11" x14ac:dyDescent="0.2">
      <c r="B97" s="211"/>
    </row>
    <row r="98" spans="2:11" x14ac:dyDescent="0.2">
      <c r="B98" s="211"/>
    </row>
    <row r="99" spans="2:11" x14ac:dyDescent="0.2">
      <c r="B99" s="211"/>
    </row>
    <row r="102" spans="2:11" x14ac:dyDescent="0.2">
      <c r="B102" s="211"/>
      <c r="I102" s="214"/>
      <c r="K102" s="214"/>
    </row>
    <row r="103" spans="2:11" x14ac:dyDescent="0.2">
      <c r="B103" s="211"/>
      <c r="I103" s="214"/>
      <c r="K103" s="214"/>
    </row>
    <row r="104" spans="2:11" x14ac:dyDescent="0.2">
      <c r="B104" s="211"/>
      <c r="I104" s="214"/>
      <c r="K104" s="214"/>
    </row>
    <row r="105" spans="2:11" x14ac:dyDescent="0.2">
      <c r="I105" s="214"/>
      <c r="K105" s="214"/>
    </row>
    <row r="107" spans="2:11" x14ac:dyDescent="0.2">
      <c r="B107" s="211"/>
    </row>
    <row r="108" spans="2:11" x14ac:dyDescent="0.2">
      <c r="B108" s="211"/>
    </row>
    <row r="109" spans="2:11" x14ac:dyDescent="0.2">
      <c r="B109" s="211"/>
    </row>
    <row r="112" spans="2:11" x14ac:dyDescent="0.2">
      <c r="B112" s="211"/>
      <c r="I112" s="214"/>
      <c r="K112" s="214"/>
    </row>
    <row r="113" spans="2:11" x14ac:dyDescent="0.2">
      <c r="B113" s="211"/>
      <c r="I113" s="214"/>
      <c r="K113" s="214"/>
    </row>
    <row r="114" spans="2:11" x14ac:dyDescent="0.2">
      <c r="B114" s="211"/>
      <c r="I114" s="214"/>
      <c r="K114" s="214"/>
    </row>
    <row r="115" spans="2:11" x14ac:dyDescent="0.2">
      <c r="I115" s="214"/>
      <c r="K115" s="214"/>
    </row>
    <row r="117" spans="2:11" x14ac:dyDescent="0.2">
      <c r="B117" s="211"/>
    </row>
    <row r="118" spans="2:11" x14ac:dyDescent="0.2">
      <c r="B118" s="211"/>
    </row>
    <row r="119" spans="2:11" x14ac:dyDescent="0.2">
      <c r="B119" s="211"/>
    </row>
    <row r="122" spans="2:11" x14ac:dyDescent="0.2">
      <c r="B122" s="211"/>
      <c r="I122" s="214"/>
      <c r="K122" s="214"/>
    </row>
    <row r="123" spans="2:11" x14ac:dyDescent="0.2">
      <c r="B123" s="211"/>
      <c r="I123" s="214"/>
      <c r="K123" s="214"/>
    </row>
    <row r="124" spans="2:11" x14ac:dyDescent="0.2">
      <c r="B124" s="211"/>
      <c r="I124" s="214"/>
      <c r="K124" s="214"/>
    </row>
    <row r="125" spans="2:11" x14ac:dyDescent="0.2">
      <c r="I125" s="214"/>
      <c r="K125" s="214"/>
    </row>
    <row r="127" spans="2:11" x14ac:dyDescent="0.2">
      <c r="B127" s="211"/>
    </row>
    <row r="128" spans="2:11" x14ac:dyDescent="0.2">
      <c r="B128" s="211"/>
    </row>
    <row r="129" spans="2:11" x14ac:dyDescent="0.2">
      <c r="B129" s="211"/>
    </row>
    <row r="132" spans="2:11" x14ac:dyDescent="0.2">
      <c r="B132" s="211"/>
      <c r="I132" s="214"/>
      <c r="K132" s="214"/>
    </row>
    <row r="133" spans="2:11" x14ac:dyDescent="0.2">
      <c r="B133" s="211"/>
      <c r="I133" s="214"/>
      <c r="K133" s="214"/>
    </row>
    <row r="134" spans="2:11" x14ac:dyDescent="0.2">
      <c r="B134" s="211"/>
      <c r="I134" s="214"/>
      <c r="K134" s="214"/>
    </row>
    <row r="135" spans="2:11" x14ac:dyDescent="0.2">
      <c r="I135" s="214"/>
      <c r="K135" s="214"/>
    </row>
    <row r="137" spans="2:11" x14ac:dyDescent="0.2">
      <c r="B137" s="211"/>
    </row>
    <row r="138" spans="2:11" x14ac:dyDescent="0.2">
      <c r="B138" s="211"/>
    </row>
    <row r="139" spans="2:11" x14ac:dyDescent="0.2">
      <c r="B139" s="211"/>
    </row>
    <row r="142" spans="2:11" x14ac:dyDescent="0.2">
      <c r="B142" s="211"/>
      <c r="I142" s="214"/>
      <c r="K142" s="214"/>
    </row>
    <row r="143" spans="2:11" x14ac:dyDescent="0.2">
      <c r="B143" s="211"/>
      <c r="I143" s="214"/>
      <c r="K143" s="214"/>
    </row>
    <row r="144" spans="2:11" x14ac:dyDescent="0.2">
      <c r="B144" s="211"/>
      <c r="I144" s="214"/>
      <c r="K144" s="214"/>
    </row>
    <row r="145" spans="2:11" x14ac:dyDescent="0.2">
      <c r="I145" s="214"/>
      <c r="K145" s="214"/>
    </row>
    <row r="147" spans="2:11" x14ac:dyDescent="0.2">
      <c r="B147" s="211"/>
    </row>
    <row r="148" spans="2:11" x14ac:dyDescent="0.2">
      <c r="B148" s="211"/>
    </row>
    <row r="149" spans="2:11" x14ac:dyDescent="0.2">
      <c r="B149" s="211"/>
    </row>
    <row r="152" spans="2:11" x14ac:dyDescent="0.2">
      <c r="B152" s="211"/>
      <c r="I152" s="214"/>
      <c r="K152" s="214"/>
    </row>
    <row r="153" spans="2:11" x14ac:dyDescent="0.2">
      <c r="B153" s="211"/>
      <c r="I153" s="214"/>
      <c r="K153" s="214"/>
    </row>
    <row r="154" spans="2:11" x14ac:dyDescent="0.2">
      <c r="B154" s="211"/>
      <c r="I154" s="214"/>
      <c r="K154" s="214"/>
    </row>
    <row r="155" spans="2:11" x14ac:dyDescent="0.2">
      <c r="I155" s="214"/>
      <c r="K155" s="214"/>
    </row>
    <row r="157" spans="2:11" x14ac:dyDescent="0.2">
      <c r="B157" s="211"/>
    </row>
    <row r="158" spans="2:11" x14ac:dyDescent="0.2">
      <c r="B158" s="211"/>
    </row>
    <row r="159" spans="2:11" x14ac:dyDescent="0.2">
      <c r="B159" s="211"/>
    </row>
    <row r="162" spans="2:11" x14ac:dyDescent="0.2">
      <c r="B162" s="211"/>
      <c r="I162" s="214"/>
      <c r="K162" s="214"/>
    </row>
    <row r="163" spans="2:11" x14ac:dyDescent="0.2">
      <c r="B163" s="211"/>
      <c r="I163" s="214"/>
      <c r="K163" s="214"/>
    </row>
    <row r="164" spans="2:11" x14ac:dyDescent="0.2">
      <c r="B164" s="211"/>
      <c r="I164" s="214"/>
      <c r="K164" s="214"/>
    </row>
    <row r="165" spans="2:11" x14ac:dyDescent="0.2">
      <c r="I165" s="214"/>
      <c r="K165" s="214"/>
    </row>
    <row r="167" spans="2:11" x14ac:dyDescent="0.2">
      <c r="B167" s="211"/>
    </row>
    <row r="168" spans="2:11" x14ac:dyDescent="0.2">
      <c r="B168" s="211"/>
    </row>
    <row r="169" spans="2:11" x14ac:dyDescent="0.2">
      <c r="B169" s="211"/>
    </row>
    <row r="172" spans="2:11" x14ac:dyDescent="0.2">
      <c r="B172" s="211"/>
      <c r="I172" s="214"/>
      <c r="K172" s="214"/>
    </row>
    <row r="173" spans="2:11" x14ac:dyDescent="0.2">
      <c r="B173" s="211"/>
      <c r="I173" s="214"/>
      <c r="K173" s="214"/>
    </row>
    <row r="174" spans="2:11" x14ac:dyDescent="0.2">
      <c r="B174" s="211"/>
      <c r="I174" s="214"/>
      <c r="K174" s="214"/>
    </row>
    <row r="175" spans="2:11" x14ac:dyDescent="0.2">
      <c r="I175" s="214"/>
      <c r="K175" s="214"/>
    </row>
    <row r="177" spans="2:11" x14ac:dyDescent="0.2">
      <c r="B177" s="211"/>
    </row>
    <row r="178" spans="2:11" x14ac:dyDescent="0.2">
      <c r="B178" s="211"/>
    </row>
    <row r="179" spans="2:11" x14ac:dyDescent="0.2">
      <c r="B179" s="211"/>
    </row>
    <row r="182" spans="2:11" x14ac:dyDescent="0.2">
      <c r="B182" s="211"/>
      <c r="I182" s="214"/>
      <c r="K182" s="214"/>
    </row>
    <row r="183" spans="2:11" x14ac:dyDescent="0.2">
      <c r="B183" s="211"/>
      <c r="I183" s="214"/>
      <c r="K183" s="214"/>
    </row>
    <row r="184" spans="2:11" x14ac:dyDescent="0.2">
      <c r="B184" s="211"/>
      <c r="I184" s="214"/>
      <c r="K184" s="214"/>
    </row>
    <row r="185" spans="2:11" x14ac:dyDescent="0.2">
      <c r="I185" s="214"/>
      <c r="K185" s="214"/>
    </row>
    <row r="187" spans="2:11" x14ac:dyDescent="0.2">
      <c r="B187" s="211"/>
    </row>
    <row r="188" spans="2:11" x14ac:dyDescent="0.2">
      <c r="B188" s="211"/>
    </row>
    <row r="189" spans="2:11" x14ac:dyDescent="0.2">
      <c r="B189" s="211"/>
    </row>
    <row r="192" spans="2:11" x14ac:dyDescent="0.2">
      <c r="B192" s="211"/>
      <c r="I192" s="214"/>
      <c r="K192" s="214"/>
    </row>
    <row r="193" spans="2:11" x14ac:dyDescent="0.2">
      <c r="B193" s="211"/>
      <c r="I193" s="214"/>
      <c r="K193" s="214"/>
    </row>
    <row r="194" spans="2:11" x14ac:dyDescent="0.2">
      <c r="B194" s="211"/>
      <c r="I194" s="214"/>
      <c r="K194" s="214"/>
    </row>
    <row r="195" spans="2:11" x14ac:dyDescent="0.2">
      <c r="I195" s="214"/>
      <c r="K195" s="214"/>
    </row>
    <row r="197" spans="2:11" x14ac:dyDescent="0.2">
      <c r="B197" s="211"/>
    </row>
    <row r="198" spans="2:11" x14ac:dyDescent="0.2">
      <c r="B198" s="211"/>
    </row>
    <row r="199" spans="2:11" x14ac:dyDescent="0.2">
      <c r="B199" s="211"/>
    </row>
    <row r="202" spans="2:11" x14ac:dyDescent="0.2">
      <c r="B202" s="211"/>
      <c r="I202" s="214"/>
      <c r="K202" s="214"/>
    </row>
    <row r="203" spans="2:11" x14ac:dyDescent="0.2">
      <c r="B203" s="211"/>
      <c r="I203" s="214"/>
      <c r="K203" s="214"/>
    </row>
    <row r="204" spans="2:11" x14ac:dyDescent="0.2">
      <c r="B204" s="211"/>
      <c r="I204" s="214"/>
      <c r="K204" s="214"/>
    </row>
    <row r="205" spans="2:11" x14ac:dyDescent="0.2">
      <c r="I205" s="214"/>
      <c r="K205" s="214"/>
    </row>
    <row r="207" spans="2:11" x14ac:dyDescent="0.2">
      <c r="B207" s="211"/>
    </row>
    <row r="208" spans="2:11" x14ac:dyDescent="0.2">
      <c r="B208" s="211"/>
    </row>
    <row r="209" spans="2:11" x14ac:dyDescent="0.2">
      <c r="B209" s="211"/>
    </row>
    <row r="212" spans="2:11" x14ac:dyDescent="0.2">
      <c r="B212" s="211"/>
      <c r="I212" s="214"/>
      <c r="K212" s="214"/>
    </row>
    <row r="213" spans="2:11" x14ac:dyDescent="0.2">
      <c r="B213" s="211"/>
      <c r="I213" s="214"/>
      <c r="K213" s="214"/>
    </row>
    <row r="214" spans="2:11" x14ac:dyDescent="0.2">
      <c r="B214" s="211"/>
      <c r="I214" s="214"/>
      <c r="K214" s="214"/>
    </row>
    <row r="215" spans="2:11" x14ac:dyDescent="0.2">
      <c r="I215" s="214"/>
      <c r="K215" s="214"/>
    </row>
    <row r="217" spans="2:11" x14ac:dyDescent="0.2">
      <c r="B217" s="211"/>
    </row>
    <row r="218" spans="2:11" x14ac:dyDescent="0.2">
      <c r="B218" s="211"/>
    </row>
    <row r="219" spans="2:11" x14ac:dyDescent="0.2">
      <c r="B219" s="211"/>
    </row>
    <row r="222" spans="2:11" x14ac:dyDescent="0.2">
      <c r="B222" s="211"/>
      <c r="I222" s="214"/>
      <c r="K222" s="214"/>
    </row>
    <row r="223" spans="2:11" x14ac:dyDescent="0.2">
      <c r="B223" s="211"/>
      <c r="I223" s="214"/>
      <c r="K223" s="214"/>
    </row>
    <row r="224" spans="2:11" x14ac:dyDescent="0.2">
      <c r="B224" s="211"/>
      <c r="I224" s="214"/>
      <c r="K224" s="214"/>
    </row>
    <row r="225" spans="2:11" x14ac:dyDescent="0.2">
      <c r="I225" s="214"/>
      <c r="K225" s="214"/>
    </row>
    <row r="227" spans="2:11" x14ac:dyDescent="0.2">
      <c r="B227" s="211"/>
    </row>
    <row r="228" spans="2:11" x14ac:dyDescent="0.2">
      <c r="B228" s="211"/>
    </row>
    <row r="229" spans="2:11" x14ac:dyDescent="0.2">
      <c r="B229" s="211"/>
    </row>
    <row r="232" spans="2:11" x14ac:dyDescent="0.2">
      <c r="B232" s="211"/>
      <c r="I232" s="214"/>
      <c r="K232" s="214"/>
    </row>
    <row r="233" spans="2:11" x14ac:dyDescent="0.2">
      <c r="B233" s="211"/>
      <c r="I233" s="214"/>
      <c r="K233" s="214"/>
    </row>
    <row r="234" spans="2:11" x14ac:dyDescent="0.2">
      <c r="B234" s="211"/>
      <c r="I234" s="214"/>
      <c r="K234" s="214"/>
    </row>
    <row r="235" spans="2:11" x14ac:dyDescent="0.2">
      <c r="I235" s="214"/>
      <c r="K235" s="214"/>
    </row>
    <row r="237" spans="2:11" x14ac:dyDescent="0.2">
      <c r="B237" s="211"/>
    </row>
    <row r="238" spans="2:11" x14ac:dyDescent="0.2">
      <c r="B238" s="211"/>
    </row>
    <row r="239" spans="2:11" x14ac:dyDescent="0.2">
      <c r="B239" s="211"/>
    </row>
    <row r="242" spans="2:11" x14ac:dyDescent="0.2">
      <c r="B242" s="211"/>
      <c r="I242" s="214"/>
      <c r="K242" s="214"/>
    </row>
    <row r="243" spans="2:11" x14ac:dyDescent="0.2">
      <c r="B243" s="211"/>
      <c r="I243" s="214"/>
      <c r="K243" s="214"/>
    </row>
    <row r="244" spans="2:11" x14ac:dyDescent="0.2">
      <c r="B244" s="211"/>
      <c r="I244" s="214"/>
      <c r="K244" s="214"/>
    </row>
    <row r="245" spans="2:11" x14ac:dyDescent="0.2">
      <c r="I245" s="214"/>
      <c r="K245" s="214"/>
    </row>
    <row r="247" spans="2:11" x14ac:dyDescent="0.2">
      <c r="B247" s="211"/>
    </row>
    <row r="248" spans="2:11" x14ac:dyDescent="0.2">
      <c r="B248" s="211"/>
    </row>
    <row r="249" spans="2:11" x14ac:dyDescent="0.2">
      <c r="B249" s="211"/>
    </row>
    <row r="252" spans="2:11" x14ac:dyDescent="0.2">
      <c r="B252" s="211"/>
      <c r="I252" s="214"/>
      <c r="K252" s="214"/>
    </row>
    <row r="253" spans="2:11" x14ac:dyDescent="0.2">
      <c r="B253" s="211"/>
      <c r="I253" s="214"/>
      <c r="K253" s="214"/>
    </row>
    <row r="254" spans="2:11" x14ac:dyDescent="0.2">
      <c r="B254" s="211"/>
      <c r="I254" s="214"/>
      <c r="K254" s="214"/>
    </row>
    <row r="255" spans="2:11" x14ac:dyDescent="0.2">
      <c r="I255" s="214"/>
      <c r="K255" s="214"/>
    </row>
    <row r="257" spans="2:11" x14ac:dyDescent="0.2">
      <c r="B257" s="211"/>
    </row>
    <row r="258" spans="2:11" x14ac:dyDescent="0.2">
      <c r="B258" s="211"/>
    </row>
    <row r="259" spans="2:11" x14ac:dyDescent="0.2">
      <c r="B259" s="211"/>
    </row>
    <row r="262" spans="2:11" x14ac:dyDescent="0.2">
      <c r="B262" s="211"/>
      <c r="I262" s="214"/>
      <c r="K262" s="214"/>
    </row>
    <row r="263" spans="2:11" x14ac:dyDescent="0.2">
      <c r="B263" s="211"/>
      <c r="I263" s="214"/>
      <c r="K263" s="214"/>
    </row>
    <row r="264" spans="2:11" x14ac:dyDescent="0.2">
      <c r="B264" s="211"/>
      <c r="I264" s="214"/>
      <c r="K264" s="214"/>
    </row>
    <row r="265" spans="2:11" x14ac:dyDescent="0.2">
      <c r="I265" s="214"/>
      <c r="K265" s="214"/>
    </row>
    <row r="267" spans="2:11" x14ac:dyDescent="0.2">
      <c r="B267" s="211"/>
    </row>
    <row r="268" spans="2:11" x14ac:dyDescent="0.2">
      <c r="B268" s="211"/>
    </row>
    <row r="269" spans="2:11" x14ac:dyDescent="0.2">
      <c r="B269" s="211"/>
    </row>
    <row r="272" spans="2:11" x14ac:dyDescent="0.2">
      <c r="B272" s="211"/>
      <c r="I272" s="214"/>
      <c r="K272" s="214"/>
    </row>
    <row r="273" spans="2:11" x14ac:dyDescent="0.2">
      <c r="B273" s="211"/>
      <c r="I273" s="214"/>
      <c r="K273" s="214"/>
    </row>
    <row r="274" spans="2:11" x14ac:dyDescent="0.2">
      <c r="B274" s="211"/>
      <c r="I274" s="214"/>
      <c r="K274" s="214"/>
    </row>
    <row r="275" spans="2:11" x14ac:dyDescent="0.2">
      <c r="I275" s="214"/>
      <c r="K275" s="214"/>
    </row>
    <row r="277" spans="2:11" x14ac:dyDescent="0.2">
      <c r="B277" s="211"/>
    </row>
    <row r="278" spans="2:11" x14ac:dyDescent="0.2">
      <c r="B278" s="211"/>
    </row>
    <row r="279" spans="2:11" x14ac:dyDescent="0.2">
      <c r="B279" s="211"/>
    </row>
    <row r="282" spans="2:11" x14ac:dyDescent="0.2">
      <c r="B282" s="211"/>
      <c r="I282" s="214"/>
      <c r="K282" s="214"/>
    </row>
    <row r="283" spans="2:11" x14ac:dyDescent="0.2">
      <c r="B283" s="211"/>
      <c r="I283" s="214"/>
      <c r="K283" s="214"/>
    </row>
    <row r="284" spans="2:11" x14ac:dyDescent="0.2">
      <c r="B284" s="211"/>
      <c r="I284" s="214"/>
      <c r="K284" s="214"/>
    </row>
    <row r="285" spans="2:11" x14ac:dyDescent="0.2">
      <c r="I285" s="214"/>
      <c r="K285" s="214"/>
    </row>
    <row r="287" spans="2:11" x14ac:dyDescent="0.2">
      <c r="B287" s="211"/>
    </row>
    <row r="288" spans="2:11" x14ac:dyDescent="0.2">
      <c r="B288" s="216"/>
    </row>
    <row r="289" spans="2:11" x14ac:dyDescent="0.2">
      <c r="B289" s="216"/>
    </row>
    <row r="292" spans="2:11" x14ac:dyDescent="0.2">
      <c r="B292" s="211"/>
      <c r="I292" s="214"/>
      <c r="K292" s="214"/>
    </row>
    <row r="293" spans="2:11" x14ac:dyDescent="0.2">
      <c r="B293" s="216"/>
      <c r="I293" s="214"/>
      <c r="K293" s="214"/>
    </row>
    <row r="294" spans="2:11" x14ac:dyDescent="0.2">
      <c r="B294" s="216"/>
      <c r="I294" s="214"/>
      <c r="K294" s="214"/>
    </row>
    <row r="295" spans="2:11" x14ac:dyDescent="0.2">
      <c r="I295" s="214"/>
      <c r="K295" s="214"/>
    </row>
    <row r="297" spans="2:11" x14ac:dyDescent="0.2">
      <c r="B297" s="211"/>
    </row>
    <row r="298" spans="2:11" x14ac:dyDescent="0.2">
      <c r="B298" s="216"/>
    </row>
    <row r="299" spans="2:11" x14ac:dyDescent="0.2">
      <c r="B299" s="216"/>
    </row>
    <row r="302" spans="2:11" x14ac:dyDescent="0.2">
      <c r="B302" s="211"/>
    </row>
    <row r="303" spans="2:11" x14ac:dyDescent="0.2">
      <c r="B303" s="216"/>
    </row>
    <row r="304" spans="2:11" x14ac:dyDescent="0.2">
      <c r="B304" s="216"/>
    </row>
    <row r="307" spans="2:2" x14ac:dyDescent="0.2">
      <c r="B307" s="211"/>
    </row>
    <row r="308" spans="2:2" x14ac:dyDescent="0.2">
      <c r="B308" s="216"/>
    </row>
    <row r="309" spans="2:2" x14ac:dyDescent="0.2">
      <c r="B309" s="216"/>
    </row>
    <row r="312" spans="2:2" x14ac:dyDescent="0.2">
      <c r="B312" s="211"/>
    </row>
    <row r="313" spans="2:2" x14ac:dyDescent="0.2">
      <c r="B313" s="216"/>
    </row>
    <row r="314" spans="2:2" x14ac:dyDescent="0.2">
      <c r="B314" s="216"/>
    </row>
    <row r="317" spans="2:2" x14ac:dyDescent="0.2">
      <c r="B317" s="211"/>
    </row>
    <row r="318" spans="2:2" x14ac:dyDescent="0.2">
      <c r="B318" s="216"/>
    </row>
    <row r="319" spans="2:2" x14ac:dyDescent="0.2">
      <c r="B319" s="216"/>
    </row>
    <row r="322" spans="2:2" x14ac:dyDescent="0.2">
      <c r="B322" s="211"/>
    </row>
    <row r="323" spans="2:2" x14ac:dyDescent="0.2">
      <c r="B323" s="216"/>
    </row>
    <row r="324" spans="2:2" x14ac:dyDescent="0.2">
      <c r="B324" s="216"/>
    </row>
    <row r="327" spans="2:2" x14ac:dyDescent="0.2">
      <c r="B327" s="211"/>
    </row>
    <row r="328" spans="2:2" x14ac:dyDescent="0.2">
      <c r="B328" s="216"/>
    </row>
    <row r="329" spans="2:2" x14ac:dyDescent="0.2">
      <c r="B329" s="216"/>
    </row>
    <row r="332" spans="2:2" x14ac:dyDescent="0.2">
      <c r="B332" s="211"/>
    </row>
    <row r="333" spans="2:2" x14ac:dyDescent="0.2">
      <c r="B333" s="216"/>
    </row>
    <row r="334" spans="2:2" x14ac:dyDescent="0.2">
      <c r="B334" s="216"/>
    </row>
    <row r="337" spans="2:2" x14ac:dyDescent="0.2">
      <c r="B337" s="211"/>
    </row>
    <row r="338" spans="2:2" x14ac:dyDescent="0.2">
      <c r="B338" s="216"/>
    </row>
    <row r="339" spans="2:2" x14ac:dyDescent="0.2">
      <c r="B339" s="216"/>
    </row>
    <row r="342" spans="2:2" x14ac:dyDescent="0.2">
      <c r="B342" s="211"/>
    </row>
    <row r="343" spans="2:2" x14ac:dyDescent="0.2">
      <c r="B343" s="216"/>
    </row>
    <row r="344" spans="2:2" x14ac:dyDescent="0.2">
      <c r="B344" s="216"/>
    </row>
    <row r="347" spans="2:2" x14ac:dyDescent="0.2">
      <c r="B347" s="211"/>
    </row>
    <row r="348" spans="2:2" x14ac:dyDescent="0.2">
      <c r="B348" s="216"/>
    </row>
    <row r="349" spans="2:2" x14ac:dyDescent="0.2">
      <c r="B349" s="216"/>
    </row>
    <row r="352" spans="2:2" x14ac:dyDescent="0.2">
      <c r="B352" s="211"/>
    </row>
    <row r="353" spans="2:2" x14ac:dyDescent="0.2">
      <c r="B353" s="216"/>
    </row>
    <row r="354" spans="2:2" x14ac:dyDescent="0.2">
      <c r="B354" s="216"/>
    </row>
    <row r="357" spans="2:2" x14ac:dyDescent="0.2">
      <c r="B357" s="211"/>
    </row>
    <row r="358" spans="2:2" x14ac:dyDescent="0.2">
      <c r="B358" s="216"/>
    </row>
    <row r="359" spans="2:2" x14ac:dyDescent="0.2">
      <c r="B359" s="216"/>
    </row>
    <row r="362" spans="2:2" x14ac:dyDescent="0.2">
      <c r="B362" s="211"/>
    </row>
    <row r="363" spans="2:2" x14ac:dyDescent="0.2">
      <c r="B363" s="216"/>
    </row>
    <row r="364" spans="2:2" x14ac:dyDescent="0.2">
      <c r="B364" s="216"/>
    </row>
    <row r="367" spans="2:2" x14ac:dyDescent="0.2">
      <c r="B367" s="211"/>
    </row>
    <row r="368" spans="2:2" x14ac:dyDescent="0.2">
      <c r="B368" s="216"/>
    </row>
    <row r="369" spans="2:2" x14ac:dyDescent="0.2">
      <c r="B369" s="216"/>
    </row>
    <row r="372" spans="2:2" x14ac:dyDescent="0.2">
      <c r="B372" s="211"/>
    </row>
    <row r="373" spans="2:2" x14ac:dyDescent="0.2">
      <c r="B373" s="216"/>
    </row>
    <row r="374" spans="2:2" x14ac:dyDescent="0.2">
      <c r="B374" s="216"/>
    </row>
    <row r="377" spans="2:2" x14ac:dyDescent="0.2">
      <c r="B377" s="211"/>
    </row>
    <row r="378" spans="2:2" x14ac:dyDescent="0.2">
      <c r="B378" s="216"/>
    </row>
    <row r="379" spans="2:2" x14ac:dyDescent="0.2">
      <c r="B379" s="216"/>
    </row>
    <row r="382" spans="2:2" x14ac:dyDescent="0.2">
      <c r="B382" s="211"/>
    </row>
    <row r="383" spans="2:2" x14ac:dyDescent="0.2">
      <c r="B383" s="216"/>
    </row>
    <row r="384" spans="2:2" x14ac:dyDescent="0.2">
      <c r="B384" s="216"/>
    </row>
    <row r="387" spans="2:2" x14ac:dyDescent="0.2">
      <c r="B387" s="211"/>
    </row>
    <row r="388" spans="2:2" x14ac:dyDescent="0.2">
      <c r="B388" s="216"/>
    </row>
    <row r="389" spans="2:2" x14ac:dyDescent="0.2">
      <c r="B389" s="216"/>
    </row>
    <row r="392" spans="2:2" x14ac:dyDescent="0.2">
      <c r="B392" s="211"/>
    </row>
    <row r="393" spans="2:2" x14ac:dyDescent="0.2">
      <c r="B393" s="216"/>
    </row>
    <row r="394" spans="2:2" x14ac:dyDescent="0.2">
      <c r="B394" s="216"/>
    </row>
    <row r="397" spans="2:2" x14ac:dyDescent="0.2">
      <c r="B397" s="211"/>
    </row>
    <row r="398" spans="2:2" x14ac:dyDescent="0.2">
      <c r="B398" s="216"/>
    </row>
    <row r="399" spans="2:2" x14ac:dyDescent="0.2">
      <c r="B399" s="216"/>
    </row>
    <row r="402" spans="2:2" x14ac:dyDescent="0.2">
      <c r="B402" s="211"/>
    </row>
    <row r="403" spans="2:2" x14ac:dyDescent="0.2">
      <c r="B403" s="216"/>
    </row>
    <row r="404" spans="2:2" x14ac:dyDescent="0.2">
      <c r="B404" s="216"/>
    </row>
    <row r="407" spans="2:2" x14ac:dyDescent="0.2">
      <c r="B407" s="211"/>
    </row>
    <row r="408" spans="2:2" x14ac:dyDescent="0.2">
      <c r="B408" s="216"/>
    </row>
    <row r="409" spans="2:2" x14ac:dyDescent="0.2">
      <c r="B409" s="216"/>
    </row>
    <row r="412" spans="2:2" x14ac:dyDescent="0.2">
      <c r="B412" s="211"/>
    </row>
    <row r="413" spans="2:2" x14ac:dyDescent="0.2">
      <c r="B413" s="216"/>
    </row>
    <row r="414" spans="2:2" x14ac:dyDescent="0.2">
      <c r="B414" s="216"/>
    </row>
    <row r="417" spans="2:2" x14ac:dyDescent="0.2">
      <c r="B417" s="211"/>
    </row>
    <row r="418" spans="2:2" x14ac:dyDescent="0.2">
      <c r="B418" s="216"/>
    </row>
    <row r="419" spans="2:2" x14ac:dyDescent="0.2">
      <c r="B419" s="216"/>
    </row>
    <row r="422" spans="2:2" x14ac:dyDescent="0.2">
      <c r="B422" s="211"/>
    </row>
    <row r="423" spans="2:2" x14ac:dyDescent="0.2">
      <c r="B423" s="216"/>
    </row>
    <row r="424" spans="2:2" x14ac:dyDescent="0.2">
      <c r="B424" s="216"/>
    </row>
    <row r="427" spans="2:2" x14ac:dyDescent="0.2">
      <c r="B427" s="211"/>
    </row>
    <row r="428" spans="2:2" x14ac:dyDescent="0.2">
      <c r="B428" s="216"/>
    </row>
    <row r="429" spans="2:2" x14ac:dyDescent="0.2">
      <c r="B429" s="216"/>
    </row>
    <row r="432" spans="2:2" x14ac:dyDescent="0.2">
      <c r="B432" s="211"/>
    </row>
    <row r="433" spans="2:2" x14ac:dyDescent="0.2">
      <c r="B433" s="216"/>
    </row>
    <row r="434" spans="2:2" x14ac:dyDescent="0.2">
      <c r="B434" s="216"/>
    </row>
    <row r="437" spans="2:2" x14ac:dyDescent="0.2">
      <c r="B437" s="211"/>
    </row>
    <row r="438" spans="2:2" x14ac:dyDescent="0.2">
      <c r="B438" s="216"/>
    </row>
    <row r="439" spans="2:2" x14ac:dyDescent="0.2">
      <c r="B439" s="216"/>
    </row>
    <row r="442" spans="2:2" x14ac:dyDescent="0.2">
      <c r="B442" s="211"/>
    </row>
    <row r="443" spans="2:2" x14ac:dyDescent="0.2">
      <c r="B443" s="216"/>
    </row>
    <row r="444" spans="2:2" x14ac:dyDescent="0.2">
      <c r="B444" s="216"/>
    </row>
    <row r="447" spans="2:2" x14ac:dyDescent="0.2">
      <c r="B447" s="211"/>
    </row>
    <row r="448" spans="2:2" x14ac:dyDescent="0.2">
      <c r="B448" s="216"/>
    </row>
    <row r="449" spans="2:2" x14ac:dyDescent="0.2">
      <c r="B449" s="216"/>
    </row>
    <row r="452" spans="2:2" x14ac:dyDescent="0.2">
      <c r="B452" s="211"/>
    </row>
    <row r="453" spans="2:2" x14ac:dyDescent="0.2">
      <c r="B453" s="216"/>
    </row>
    <row r="454" spans="2:2" x14ac:dyDescent="0.2">
      <c r="B454" s="216"/>
    </row>
    <row r="457" spans="2:2" x14ac:dyDescent="0.2">
      <c r="B457" s="211"/>
    </row>
    <row r="458" spans="2:2" x14ac:dyDescent="0.2">
      <c r="B458" s="216"/>
    </row>
    <row r="459" spans="2:2" x14ac:dyDescent="0.2">
      <c r="B459" s="216"/>
    </row>
    <row r="462" spans="2:2" x14ac:dyDescent="0.2">
      <c r="B462" s="211"/>
    </row>
    <row r="463" spans="2:2" x14ac:dyDescent="0.2">
      <c r="B463" s="216"/>
    </row>
    <row r="464" spans="2:2" x14ac:dyDescent="0.2">
      <c r="B464" s="216"/>
    </row>
    <row r="467" spans="2:2" x14ac:dyDescent="0.2">
      <c r="B467" s="211"/>
    </row>
    <row r="468" spans="2:2" x14ac:dyDescent="0.2">
      <c r="B468" s="216"/>
    </row>
    <row r="469" spans="2:2" x14ac:dyDescent="0.2">
      <c r="B469" s="216"/>
    </row>
    <row r="472" spans="2:2" x14ac:dyDescent="0.2">
      <c r="B472" s="211"/>
    </row>
    <row r="473" spans="2:2" x14ac:dyDescent="0.2">
      <c r="B473" s="216"/>
    </row>
    <row r="474" spans="2:2" x14ac:dyDescent="0.2">
      <c r="B474" s="216"/>
    </row>
    <row r="477" spans="2:2" x14ac:dyDescent="0.2">
      <c r="B477" s="211"/>
    </row>
    <row r="478" spans="2:2" x14ac:dyDescent="0.2">
      <c r="B478" s="216"/>
    </row>
    <row r="479" spans="2:2" x14ac:dyDescent="0.2">
      <c r="B479" s="216"/>
    </row>
    <row r="482" spans="2:2" x14ac:dyDescent="0.2">
      <c r="B482" s="211"/>
    </row>
    <row r="483" spans="2:2" x14ac:dyDescent="0.2">
      <c r="B483" s="216"/>
    </row>
    <row r="484" spans="2:2" x14ac:dyDescent="0.2">
      <c r="B484" s="216"/>
    </row>
    <row r="487" spans="2:2" x14ac:dyDescent="0.2">
      <c r="B487" s="211"/>
    </row>
    <row r="488" spans="2:2" x14ac:dyDescent="0.2">
      <c r="B488" s="216"/>
    </row>
    <row r="489" spans="2:2" x14ac:dyDescent="0.2">
      <c r="B489" s="216"/>
    </row>
    <row r="492" spans="2:2" x14ac:dyDescent="0.2">
      <c r="B492" s="211"/>
    </row>
    <row r="493" spans="2:2" x14ac:dyDescent="0.2">
      <c r="B493" s="216"/>
    </row>
    <row r="494" spans="2:2" x14ac:dyDescent="0.2">
      <c r="B494" s="216"/>
    </row>
    <row r="497" spans="2:2" x14ac:dyDescent="0.2">
      <c r="B497" s="211"/>
    </row>
    <row r="498" spans="2:2" x14ac:dyDescent="0.2">
      <c r="B498" s="216"/>
    </row>
    <row r="499" spans="2:2" x14ac:dyDescent="0.2">
      <c r="B499" s="21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6" bestFit="1" customWidth="1"/>
    <col min="2" max="2" width="9" style="178"/>
    <col min="3" max="3" width="17.75" style="196" customWidth="1"/>
    <col min="4" max="4" width="37.375" style="178" customWidth="1"/>
    <col min="5" max="5" width="11.875" style="178" customWidth="1"/>
    <col min="6" max="6" width="10.25" style="178" customWidth="1"/>
    <col min="7" max="9" width="9.375" style="178" customWidth="1"/>
    <col min="10" max="10" width="9" style="178"/>
    <col min="11" max="11" width="3" style="178" customWidth="1"/>
    <col min="12" max="16384" width="9" style="178"/>
  </cols>
  <sheetData>
    <row r="1" spans="1:4" ht="41.25" customHeight="1" thickBot="1" x14ac:dyDescent="0.25">
      <c r="A1" s="174" t="s">
        <v>9</v>
      </c>
      <c r="B1" s="175" t="s">
        <v>109</v>
      </c>
      <c r="C1" s="176" t="s">
        <v>110</v>
      </c>
      <c r="D1" s="177" t="s">
        <v>111</v>
      </c>
    </row>
    <row r="2" spans="1:4" ht="12" x14ac:dyDescent="0.2">
      <c r="A2" s="179">
        <v>1</v>
      </c>
      <c r="B2" s="180"/>
      <c r="C2" s="181" t="s">
        <v>4</v>
      </c>
      <c r="D2" s="182"/>
    </row>
    <row r="3" spans="1:4" ht="12" x14ac:dyDescent="0.2">
      <c r="A3" s="183">
        <f>$A$2+0</f>
        <v>1</v>
      </c>
      <c r="B3" s="184">
        <f t="shared" ref="B3:B7" si="0">$B$2</f>
        <v>0</v>
      </c>
      <c r="C3" s="185" t="s">
        <v>5</v>
      </c>
      <c r="D3" s="186"/>
    </row>
    <row r="4" spans="1:4" ht="12" x14ac:dyDescent="0.2">
      <c r="A4" s="183">
        <v>1</v>
      </c>
      <c r="B4" s="184">
        <f t="shared" si="0"/>
        <v>0</v>
      </c>
      <c r="C4" s="185" t="s">
        <v>148</v>
      </c>
      <c r="D4" s="186"/>
    </row>
    <row r="5" spans="1:4" ht="12" x14ac:dyDescent="0.2">
      <c r="A5" s="183">
        <v>1</v>
      </c>
      <c r="B5" s="184">
        <f t="shared" si="0"/>
        <v>0</v>
      </c>
      <c r="C5" s="185" t="s">
        <v>149</v>
      </c>
      <c r="D5" s="186"/>
    </row>
    <row r="6" spans="1:4" ht="12" x14ac:dyDescent="0.2">
      <c r="A6" s="183">
        <v>1</v>
      </c>
      <c r="B6" s="184">
        <f t="shared" si="0"/>
        <v>0</v>
      </c>
      <c r="C6" s="185" t="s">
        <v>150</v>
      </c>
      <c r="D6" s="186"/>
    </row>
    <row r="7" spans="1:4" ht="12.75" thickBot="1" x14ac:dyDescent="0.25">
      <c r="A7" s="187">
        <v>1</v>
      </c>
      <c r="B7" s="188">
        <f t="shared" si="0"/>
        <v>0</v>
      </c>
      <c r="C7" s="189" t="s">
        <v>151</v>
      </c>
      <c r="D7" s="190"/>
    </row>
    <row r="8" spans="1:4" ht="12" x14ac:dyDescent="0.2">
      <c r="A8" s="191">
        <f>2</f>
        <v>2</v>
      </c>
      <c r="B8" s="192"/>
      <c r="C8" s="185" t="s">
        <v>4</v>
      </c>
      <c r="D8" s="186"/>
    </row>
    <row r="9" spans="1:4" ht="12" x14ac:dyDescent="0.2">
      <c r="A9" s="183">
        <f>$A$8</f>
        <v>2</v>
      </c>
      <c r="B9" s="184">
        <f t="shared" ref="B9:B13" si="1">$B$8</f>
        <v>0</v>
      </c>
      <c r="C9" s="185" t="s">
        <v>5</v>
      </c>
      <c r="D9" s="186"/>
    </row>
    <row r="10" spans="1:4" ht="12" x14ac:dyDescent="0.2">
      <c r="A10" s="183">
        <v>2</v>
      </c>
      <c r="B10" s="184">
        <f t="shared" si="1"/>
        <v>0</v>
      </c>
      <c r="C10" s="185" t="s">
        <v>148</v>
      </c>
      <c r="D10" s="186"/>
    </row>
    <row r="11" spans="1:4" ht="12" x14ac:dyDescent="0.2">
      <c r="A11" s="183">
        <v>2</v>
      </c>
      <c r="B11" s="184">
        <f t="shared" si="1"/>
        <v>0</v>
      </c>
      <c r="C11" s="185" t="s">
        <v>149</v>
      </c>
      <c r="D11" s="186"/>
    </row>
    <row r="12" spans="1:4" ht="12" x14ac:dyDescent="0.2">
      <c r="A12" s="183">
        <v>2</v>
      </c>
      <c r="B12" s="184">
        <f t="shared" si="1"/>
        <v>0</v>
      </c>
      <c r="C12" s="185" t="s">
        <v>150</v>
      </c>
      <c r="D12" s="186"/>
    </row>
    <row r="13" spans="1:4" ht="12.75" thickBot="1" x14ac:dyDescent="0.25">
      <c r="A13" s="187">
        <v>2</v>
      </c>
      <c r="B13" s="188">
        <f t="shared" si="1"/>
        <v>0</v>
      </c>
      <c r="C13" s="189" t="s">
        <v>151</v>
      </c>
      <c r="D13" s="190"/>
    </row>
    <row r="14" spans="1:4" ht="12" x14ac:dyDescent="0.2">
      <c r="A14" s="179">
        <f>3</f>
        <v>3</v>
      </c>
      <c r="B14" s="180"/>
      <c r="C14" s="181" t="s">
        <v>4</v>
      </c>
      <c r="D14" s="182"/>
    </row>
    <row r="15" spans="1:4" ht="12" x14ac:dyDescent="0.2">
      <c r="A15" s="183">
        <f>$A$14</f>
        <v>3</v>
      </c>
      <c r="B15" s="184">
        <f t="shared" ref="B15:B19" si="2">$B$14</f>
        <v>0</v>
      </c>
      <c r="C15" s="185" t="s">
        <v>5</v>
      </c>
      <c r="D15" s="186"/>
    </row>
    <row r="16" spans="1:4" ht="12" x14ac:dyDescent="0.2">
      <c r="A16" s="183">
        <v>3</v>
      </c>
      <c r="B16" s="184">
        <f t="shared" si="2"/>
        <v>0</v>
      </c>
      <c r="C16" s="185" t="s">
        <v>148</v>
      </c>
      <c r="D16" s="186"/>
    </row>
    <row r="17" spans="1:4" ht="12" x14ac:dyDescent="0.2">
      <c r="A17" s="183">
        <v>3</v>
      </c>
      <c r="B17" s="184">
        <f t="shared" si="2"/>
        <v>0</v>
      </c>
      <c r="C17" s="185" t="s">
        <v>149</v>
      </c>
      <c r="D17" s="186"/>
    </row>
    <row r="18" spans="1:4" ht="12" x14ac:dyDescent="0.2">
      <c r="A18" s="183">
        <v>3</v>
      </c>
      <c r="B18" s="184">
        <f t="shared" si="2"/>
        <v>0</v>
      </c>
      <c r="C18" s="185" t="s">
        <v>150</v>
      </c>
      <c r="D18" s="186"/>
    </row>
    <row r="19" spans="1:4" ht="12.75" thickBot="1" x14ac:dyDescent="0.25">
      <c r="A19" s="187">
        <v>3</v>
      </c>
      <c r="B19" s="188">
        <f t="shared" si="2"/>
        <v>0</v>
      </c>
      <c r="C19" s="189" t="s">
        <v>151</v>
      </c>
      <c r="D19" s="190"/>
    </row>
    <row r="20" spans="1:4" ht="12" x14ac:dyDescent="0.2">
      <c r="A20" s="179">
        <f>4</f>
        <v>4</v>
      </c>
      <c r="B20" s="180"/>
      <c r="C20" s="181" t="s">
        <v>4</v>
      </c>
      <c r="D20" s="182"/>
    </row>
    <row r="21" spans="1:4" ht="12" x14ac:dyDescent="0.2">
      <c r="A21" s="183">
        <f>$A$20</f>
        <v>4</v>
      </c>
      <c r="B21" s="184">
        <f t="shared" ref="B21:B25" si="3">$B$20</f>
        <v>0</v>
      </c>
      <c r="C21" s="185" t="s">
        <v>5</v>
      </c>
      <c r="D21" s="186"/>
    </row>
    <row r="22" spans="1:4" ht="12" x14ac:dyDescent="0.2">
      <c r="A22" s="183">
        <v>4</v>
      </c>
      <c r="B22" s="184">
        <f t="shared" si="3"/>
        <v>0</v>
      </c>
      <c r="C22" s="185" t="s">
        <v>148</v>
      </c>
      <c r="D22" s="186"/>
    </row>
    <row r="23" spans="1:4" ht="12" x14ac:dyDescent="0.2">
      <c r="A23" s="183">
        <v>4</v>
      </c>
      <c r="B23" s="184">
        <f t="shared" si="3"/>
        <v>0</v>
      </c>
      <c r="C23" s="185" t="s">
        <v>149</v>
      </c>
      <c r="D23" s="186"/>
    </row>
    <row r="24" spans="1:4" ht="12" x14ac:dyDescent="0.2">
      <c r="A24" s="183">
        <v>4</v>
      </c>
      <c r="B24" s="184">
        <f t="shared" si="3"/>
        <v>0</v>
      </c>
      <c r="C24" s="185" t="s">
        <v>150</v>
      </c>
      <c r="D24" s="186"/>
    </row>
    <row r="25" spans="1:4" ht="12.75" thickBot="1" x14ac:dyDescent="0.25">
      <c r="A25" s="187">
        <v>4</v>
      </c>
      <c r="B25" s="188">
        <f t="shared" si="3"/>
        <v>0</v>
      </c>
      <c r="C25" s="189" t="s">
        <v>151</v>
      </c>
      <c r="D25" s="190"/>
    </row>
    <row r="26" spans="1:4" ht="12" x14ac:dyDescent="0.2">
      <c r="A26" s="179">
        <v>5</v>
      </c>
      <c r="B26" s="180"/>
      <c r="C26" s="181" t="s">
        <v>4</v>
      </c>
      <c r="D26" s="182"/>
    </row>
    <row r="27" spans="1:4" ht="12" x14ac:dyDescent="0.2">
      <c r="A27" s="183">
        <f>$A$26</f>
        <v>5</v>
      </c>
      <c r="B27" s="184">
        <f t="shared" ref="B27:B31" si="4">$B$26</f>
        <v>0</v>
      </c>
      <c r="C27" s="185" t="s">
        <v>5</v>
      </c>
      <c r="D27" s="186"/>
    </row>
    <row r="28" spans="1:4" ht="12" x14ac:dyDescent="0.2">
      <c r="A28" s="191">
        <v>5</v>
      </c>
      <c r="B28" s="184">
        <f t="shared" si="4"/>
        <v>0</v>
      </c>
      <c r="C28" s="185" t="s">
        <v>148</v>
      </c>
      <c r="D28" s="186"/>
    </row>
    <row r="29" spans="1:4" ht="12" x14ac:dyDescent="0.2">
      <c r="A29" s="191">
        <v>5</v>
      </c>
      <c r="B29" s="184">
        <f t="shared" si="4"/>
        <v>0</v>
      </c>
      <c r="C29" s="185" t="s">
        <v>149</v>
      </c>
      <c r="D29" s="186"/>
    </row>
    <row r="30" spans="1:4" ht="12" x14ac:dyDescent="0.2">
      <c r="A30" s="191">
        <v>5</v>
      </c>
      <c r="B30" s="184">
        <f t="shared" si="4"/>
        <v>0</v>
      </c>
      <c r="C30" s="185" t="s">
        <v>150</v>
      </c>
      <c r="D30" s="186"/>
    </row>
    <row r="31" spans="1:4" ht="12.75" thickBot="1" x14ac:dyDescent="0.25">
      <c r="A31" s="193">
        <v>5</v>
      </c>
      <c r="B31" s="188">
        <f t="shared" si="4"/>
        <v>0</v>
      </c>
      <c r="C31" s="189" t="s">
        <v>151</v>
      </c>
      <c r="D31" s="190"/>
    </row>
    <row r="32" spans="1:4" ht="12" x14ac:dyDescent="0.2">
      <c r="A32" s="179">
        <f>6</f>
        <v>6</v>
      </c>
      <c r="B32" s="180"/>
      <c r="C32" s="181" t="s">
        <v>4</v>
      </c>
      <c r="D32" s="182"/>
    </row>
    <row r="33" spans="1:7" ht="12" x14ac:dyDescent="0.2">
      <c r="A33" s="183">
        <f>$A$32</f>
        <v>6</v>
      </c>
      <c r="B33" s="184">
        <f t="shared" ref="B33:B37" si="5">$B$32</f>
        <v>0</v>
      </c>
      <c r="C33" s="185" t="s">
        <v>5</v>
      </c>
      <c r="D33" s="186"/>
    </row>
    <row r="34" spans="1:7" ht="12" x14ac:dyDescent="0.2">
      <c r="A34" s="183">
        <v>6</v>
      </c>
      <c r="B34" s="184">
        <f t="shared" si="5"/>
        <v>0</v>
      </c>
      <c r="C34" s="185" t="s">
        <v>148</v>
      </c>
      <c r="D34" s="186"/>
    </row>
    <row r="35" spans="1:7" ht="12" x14ac:dyDescent="0.2">
      <c r="A35" s="183">
        <v>6</v>
      </c>
      <c r="B35" s="184">
        <f t="shared" si="5"/>
        <v>0</v>
      </c>
      <c r="C35" s="185" t="s">
        <v>149</v>
      </c>
      <c r="D35" s="186"/>
    </row>
    <row r="36" spans="1:7" ht="12" x14ac:dyDescent="0.2">
      <c r="A36" s="183">
        <v>6</v>
      </c>
      <c r="B36" s="184">
        <f t="shared" si="5"/>
        <v>0</v>
      </c>
      <c r="C36" s="185" t="s">
        <v>150</v>
      </c>
      <c r="D36" s="186"/>
      <c r="G36" s="194"/>
    </row>
    <row r="37" spans="1:7" ht="12.75" thickBot="1" x14ac:dyDescent="0.25">
      <c r="A37" s="193">
        <v>6</v>
      </c>
      <c r="B37" s="188">
        <f t="shared" si="5"/>
        <v>0</v>
      </c>
      <c r="C37" s="189" t="s">
        <v>151</v>
      </c>
      <c r="D37" s="190"/>
      <c r="G37" s="194"/>
    </row>
    <row r="38" spans="1:7" ht="12" x14ac:dyDescent="0.2">
      <c r="A38" s="179">
        <f>7</f>
        <v>7</v>
      </c>
      <c r="B38" s="180"/>
      <c r="C38" s="181" t="s">
        <v>4</v>
      </c>
      <c r="D38" s="182"/>
    </row>
    <row r="39" spans="1:7" ht="12" x14ac:dyDescent="0.2">
      <c r="A39" s="183">
        <f>$A$38</f>
        <v>7</v>
      </c>
      <c r="B39" s="184">
        <f t="shared" ref="B39:B43" si="6">$B$38</f>
        <v>0</v>
      </c>
      <c r="C39" s="185" t="s">
        <v>5</v>
      </c>
      <c r="D39" s="186"/>
    </row>
    <row r="40" spans="1:7" ht="12" x14ac:dyDescent="0.2">
      <c r="A40" s="183">
        <v>7</v>
      </c>
      <c r="B40" s="184">
        <f t="shared" si="6"/>
        <v>0</v>
      </c>
      <c r="C40" s="185" t="s">
        <v>148</v>
      </c>
      <c r="D40" s="186"/>
    </row>
    <row r="41" spans="1:7" ht="12" x14ac:dyDescent="0.2">
      <c r="A41" s="183">
        <v>7</v>
      </c>
      <c r="B41" s="184">
        <f t="shared" si="6"/>
        <v>0</v>
      </c>
      <c r="C41" s="185" t="s">
        <v>149</v>
      </c>
      <c r="D41" s="186"/>
    </row>
    <row r="42" spans="1:7" ht="12" x14ac:dyDescent="0.2">
      <c r="A42" s="183">
        <v>7</v>
      </c>
      <c r="B42" s="184">
        <f t="shared" si="6"/>
        <v>0</v>
      </c>
      <c r="C42" s="185" t="s">
        <v>150</v>
      </c>
      <c r="D42" s="186"/>
    </row>
    <row r="43" spans="1:7" ht="12.75" thickBot="1" x14ac:dyDescent="0.25">
      <c r="A43" s="187">
        <v>7</v>
      </c>
      <c r="B43" s="188">
        <f t="shared" si="6"/>
        <v>0</v>
      </c>
      <c r="C43" s="189" t="s">
        <v>151</v>
      </c>
      <c r="D43" s="190"/>
    </row>
    <row r="44" spans="1:7" ht="12" x14ac:dyDescent="0.2">
      <c r="A44" s="179">
        <f>8</f>
        <v>8</v>
      </c>
      <c r="B44" s="180"/>
      <c r="C44" s="181" t="s">
        <v>4</v>
      </c>
      <c r="D44" s="182"/>
    </row>
    <row r="45" spans="1:7" ht="12" x14ac:dyDescent="0.2">
      <c r="A45" s="183">
        <f>$A$44</f>
        <v>8</v>
      </c>
      <c r="B45" s="184">
        <f t="shared" ref="B45:B49" si="7">$B$44</f>
        <v>0</v>
      </c>
      <c r="C45" s="185" t="s">
        <v>5</v>
      </c>
      <c r="D45" s="186"/>
    </row>
    <row r="46" spans="1:7" ht="12" x14ac:dyDescent="0.2">
      <c r="A46" s="183">
        <v>8</v>
      </c>
      <c r="B46" s="184">
        <f t="shared" si="7"/>
        <v>0</v>
      </c>
      <c r="C46" s="185" t="s">
        <v>148</v>
      </c>
      <c r="D46" s="186"/>
    </row>
    <row r="47" spans="1:7" ht="12" x14ac:dyDescent="0.2">
      <c r="A47" s="183">
        <v>8</v>
      </c>
      <c r="B47" s="184">
        <f t="shared" si="7"/>
        <v>0</v>
      </c>
      <c r="C47" s="185" t="s">
        <v>149</v>
      </c>
      <c r="D47" s="186"/>
    </row>
    <row r="48" spans="1:7" ht="12" x14ac:dyDescent="0.2">
      <c r="A48" s="183">
        <v>8</v>
      </c>
      <c r="B48" s="184">
        <f t="shared" si="7"/>
        <v>0</v>
      </c>
      <c r="C48" s="185" t="s">
        <v>150</v>
      </c>
      <c r="D48" s="186"/>
    </row>
    <row r="49" spans="1:9" ht="12.75" thickBot="1" x14ac:dyDescent="0.25">
      <c r="A49" s="187">
        <v>8</v>
      </c>
      <c r="B49" s="188">
        <f t="shared" si="7"/>
        <v>0</v>
      </c>
      <c r="C49" s="189" t="s">
        <v>151</v>
      </c>
      <c r="D49" s="190"/>
    </row>
    <row r="50" spans="1:9" ht="12" x14ac:dyDescent="0.2">
      <c r="A50" s="179">
        <f>9</f>
        <v>9</v>
      </c>
      <c r="B50" s="180"/>
      <c r="C50" s="181" t="s">
        <v>4</v>
      </c>
      <c r="D50" s="182"/>
    </row>
    <row r="51" spans="1:9" ht="12" x14ac:dyDescent="0.2">
      <c r="A51" s="183">
        <f>$A$50</f>
        <v>9</v>
      </c>
      <c r="B51" s="184">
        <f t="shared" ref="B51:B55" si="8">$B$50</f>
        <v>0</v>
      </c>
      <c r="C51" s="185" t="s">
        <v>5</v>
      </c>
      <c r="D51" s="186"/>
    </row>
    <row r="52" spans="1:9" ht="12" x14ac:dyDescent="0.2">
      <c r="A52" s="183">
        <v>9</v>
      </c>
      <c r="B52" s="184">
        <f t="shared" si="8"/>
        <v>0</v>
      </c>
      <c r="C52" s="185" t="s">
        <v>148</v>
      </c>
      <c r="D52" s="186"/>
    </row>
    <row r="53" spans="1:9" ht="12" x14ac:dyDescent="0.2">
      <c r="A53" s="183">
        <v>9</v>
      </c>
      <c r="B53" s="184">
        <f t="shared" si="8"/>
        <v>0</v>
      </c>
      <c r="C53" s="185" t="s">
        <v>149</v>
      </c>
      <c r="D53" s="186"/>
    </row>
    <row r="54" spans="1:9" ht="12" x14ac:dyDescent="0.2">
      <c r="A54" s="183">
        <v>9</v>
      </c>
      <c r="B54" s="184">
        <f t="shared" si="8"/>
        <v>0</v>
      </c>
      <c r="C54" s="185" t="s">
        <v>150</v>
      </c>
      <c r="D54" s="186"/>
    </row>
    <row r="55" spans="1:9" ht="12.75" thickBot="1" x14ac:dyDescent="0.25">
      <c r="A55" s="187">
        <v>9</v>
      </c>
      <c r="B55" s="188">
        <f t="shared" si="8"/>
        <v>0</v>
      </c>
      <c r="C55" s="189" t="s">
        <v>151</v>
      </c>
      <c r="D55" s="190"/>
    </row>
    <row r="56" spans="1:9" ht="12" x14ac:dyDescent="0.2">
      <c r="A56" s="195">
        <v>10</v>
      </c>
      <c r="B56" s="180"/>
      <c r="C56" s="181" t="s">
        <v>4</v>
      </c>
      <c r="D56" s="182"/>
    </row>
    <row r="57" spans="1:9" ht="12" x14ac:dyDescent="0.2">
      <c r="A57" s="183">
        <f>$A$56</f>
        <v>10</v>
      </c>
      <c r="B57" s="184">
        <f t="shared" ref="B57:B61" si="9">$B$56</f>
        <v>0</v>
      </c>
      <c r="C57" s="185" t="s">
        <v>5</v>
      </c>
      <c r="D57" s="186"/>
    </row>
    <row r="58" spans="1:9" ht="12" x14ac:dyDescent="0.2">
      <c r="A58" s="183">
        <v>10</v>
      </c>
      <c r="B58" s="184">
        <f t="shared" si="9"/>
        <v>0</v>
      </c>
      <c r="C58" s="185" t="s">
        <v>148</v>
      </c>
      <c r="D58" s="186"/>
    </row>
    <row r="59" spans="1:9" ht="12" x14ac:dyDescent="0.2">
      <c r="A59" s="183">
        <v>10</v>
      </c>
      <c r="B59" s="184">
        <f t="shared" si="9"/>
        <v>0</v>
      </c>
      <c r="C59" s="185" t="s">
        <v>149</v>
      </c>
      <c r="D59" s="186"/>
    </row>
    <row r="60" spans="1:9" ht="12" x14ac:dyDescent="0.2">
      <c r="A60" s="183">
        <v>10</v>
      </c>
      <c r="B60" s="184">
        <f t="shared" si="9"/>
        <v>0</v>
      </c>
      <c r="C60" s="185" t="s">
        <v>150</v>
      </c>
      <c r="D60" s="186"/>
    </row>
    <row r="61" spans="1:9" ht="12.75" thickBot="1" x14ac:dyDescent="0.25">
      <c r="A61" s="187">
        <v>10</v>
      </c>
      <c r="B61" s="188">
        <f t="shared" si="9"/>
        <v>0</v>
      </c>
      <c r="C61" s="189" t="s">
        <v>151</v>
      </c>
      <c r="D61" s="190"/>
    </row>
    <row r="62" spans="1:9" ht="12" x14ac:dyDescent="0.2">
      <c r="A62" s="179">
        <v>11</v>
      </c>
      <c r="B62" s="180"/>
      <c r="C62" s="181" t="s">
        <v>4</v>
      </c>
      <c r="D62" s="182"/>
      <c r="E62" s="196"/>
      <c r="F62" s="196"/>
      <c r="G62" s="197"/>
      <c r="I62" s="196"/>
    </row>
    <row r="63" spans="1:9" ht="12" x14ac:dyDescent="0.2">
      <c r="A63" s="183">
        <v>11</v>
      </c>
      <c r="B63" s="184">
        <f t="shared" ref="B63:B67" si="10">$B$62</f>
        <v>0</v>
      </c>
      <c r="C63" s="185" t="s">
        <v>5</v>
      </c>
      <c r="D63" s="186"/>
      <c r="E63" s="196"/>
      <c r="F63" s="196"/>
      <c r="G63" s="197"/>
      <c r="I63" s="196"/>
    </row>
    <row r="64" spans="1:9" ht="12" x14ac:dyDescent="0.2">
      <c r="A64" s="183">
        <v>11</v>
      </c>
      <c r="B64" s="184">
        <f t="shared" si="10"/>
        <v>0</v>
      </c>
      <c r="C64" s="185" t="s">
        <v>148</v>
      </c>
      <c r="D64" s="186"/>
      <c r="E64" s="196"/>
      <c r="F64" s="196"/>
      <c r="G64" s="197"/>
      <c r="I64" s="196"/>
    </row>
    <row r="65" spans="1:9" ht="12" x14ac:dyDescent="0.2">
      <c r="A65" s="183">
        <v>11</v>
      </c>
      <c r="B65" s="184">
        <f t="shared" si="10"/>
        <v>0</v>
      </c>
      <c r="C65" s="185" t="s">
        <v>149</v>
      </c>
      <c r="D65" s="186"/>
      <c r="E65" s="196"/>
      <c r="F65" s="196"/>
      <c r="G65" s="197"/>
      <c r="I65" s="196"/>
    </row>
    <row r="66" spans="1:9" ht="12" x14ac:dyDescent="0.2">
      <c r="A66" s="183">
        <v>11</v>
      </c>
      <c r="B66" s="184">
        <f t="shared" si="10"/>
        <v>0</v>
      </c>
      <c r="C66" s="185" t="s">
        <v>150</v>
      </c>
      <c r="D66" s="186"/>
      <c r="E66" s="196"/>
      <c r="F66" s="196"/>
      <c r="G66" s="197"/>
      <c r="I66" s="196"/>
    </row>
    <row r="67" spans="1:9" ht="12.75" thickBot="1" x14ac:dyDescent="0.25">
      <c r="A67" s="187">
        <v>11</v>
      </c>
      <c r="B67" s="188">
        <f t="shared" si="10"/>
        <v>0</v>
      </c>
      <c r="C67" s="189" t="s">
        <v>151</v>
      </c>
      <c r="D67" s="190"/>
      <c r="E67" s="196"/>
      <c r="F67" s="196"/>
      <c r="G67" s="197"/>
    </row>
    <row r="68" spans="1:9" ht="12" x14ac:dyDescent="0.2">
      <c r="A68" s="179">
        <v>12</v>
      </c>
      <c r="B68" s="180"/>
      <c r="C68" s="181" t="s">
        <v>4</v>
      </c>
      <c r="D68" s="182"/>
      <c r="E68" s="196"/>
      <c r="F68" s="196"/>
      <c r="G68" s="197"/>
    </row>
    <row r="69" spans="1:9" ht="12" x14ac:dyDescent="0.2">
      <c r="A69" s="183">
        <v>12</v>
      </c>
      <c r="B69" s="184">
        <f t="shared" ref="B69:B73" si="11">$B$68</f>
        <v>0</v>
      </c>
      <c r="C69" s="185" t="s">
        <v>5</v>
      </c>
      <c r="D69" s="186"/>
      <c r="E69" s="196"/>
      <c r="F69" s="196"/>
      <c r="G69" s="197"/>
    </row>
    <row r="70" spans="1:9" ht="12" x14ac:dyDescent="0.2">
      <c r="A70" s="183">
        <v>12</v>
      </c>
      <c r="B70" s="184">
        <f t="shared" si="11"/>
        <v>0</v>
      </c>
      <c r="C70" s="185" t="s">
        <v>148</v>
      </c>
      <c r="D70" s="186"/>
      <c r="E70" s="196"/>
      <c r="F70" s="196"/>
      <c r="G70" s="197"/>
    </row>
    <row r="71" spans="1:9" ht="12" x14ac:dyDescent="0.2">
      <c r="A71" s="183">
        <v>12</v>
      </c>
      <c r="B71" s="184">
        <f t="shared" si="11"/>
        <v>0</v>
      </c>
      <c r="C71" s="185" t="s">
        <v>149</v>
      </c>
      <c r="D71" s="186"/>
      <c r="E71" s="196"/>
      <c r="F71" s="196"/>
      <c r="G71" s="197"/>
    </row>
    <row r="72" spans="1:9" ht="12" x14ac:dyDescent="0.2">
      <c r="A72" s="183">
        <v>12</v>
      </c>
      <c r="B72" s="184">
        <f t="shared" si="11"/>
        <v>0</v>
      </c>
      <c r="C72" s="185" t="s">
        <v>150</v>
      </c>
      <c r="D72" s="186"/>
      <c r="E72" s="196"/>
      <c r="F72" s="196"/>
      <c r="G72" s="197"/>
    </row>
    <row r="73" spans="1:9" ht="12.75" thickBot="1" x14ac:dyDescent="0.25">
      <c r="A73" s="187">
        <v>12</v>
      </c>
      <c r="B73" s="188">
        <f t="shared" si="11"/>
        <v>0</v>
      </c>
      <c r="C73" s="189" t="s">
        <v>151</v>
      </c>
      <c r="D73" s="190"/>
      <c r="E73" s="196"/>
      <c r="F73" s="196"/>
      <c r="G73" s="197"/>
    </row>
    <row r="74" spans="1:9" ht="12" x14ac:dyDescent="0.2">
      <c r="A74" s="179">
        <v>13</v>
      </c>
      <c r="B74" s="180"/>
      <c r="C74" s="181" t="s">
        <v>4</v>
      </c>
      <c r="D74" s="182"/>
      <c r="E74" s="196"/>
      <c r="F74" s="196"/>
      <c r="G74" s="197"/>
    </row>
    <row r="75" spans="1:9" ht="12" x14ac:dyDescent="0.2">
      <c r="A75" s="183">
        <v>13</v>
      </c>
      <c r="B75" s="184">
        <f t="shared" ref="B75:B79" si="12">$B$74</f>
        <v>0</v>
      </c>
      <c r="C75" s="185" t="s">
        <v>5</v>
      </c>
      <c r="D75" s="186"/>
      <c r="E75" s="196"/>
      <c r="F75" s="196"/>
      <c r="G75" s="197"/>
    </row>
    <row r="76" spans="1:9" ht="12" x14ac:dyDescent="0.2">
      <c r="A76" s="183">
        <v>13</v>
      </c>
      <c r="B76" s="184">
        <f t="shared" si="12"/>
        <v>0</v>
      </c>
      <c r="C76" s="185" t="s">
        <v>148</v>
      </c>
      <c r="D76" s="186"/>
      <c r="E76" s="196"/>
      <c r="F76" s="196"/>
      <c r="G76" s="197"/>
    </row>
    <row r="77" spans="1:9" ht="12" x14ac:dyDescent="0.2">
      <c r="A77" s="183">
        <v>13</v>
      </c>
      <c r="B77" s="184">
        <f t="shared" si="12"/>
        <v>0</v>
      </c>
      <c r="C77" s="185" t="s">
        <v>149</v>
      </c>
      <c r="D77" s="186"/>
      <c r="E77" s="196"/>
      <c r="F77" s="196"/>
      <c r="G77" s="197"/>
    </row>
    <row r="78" spans="1:9" ht="12" x14ac:dyDescent="0.2">
      <c r="A78" s="183">
        <v>13</v>
      </c>
      <c r="B78" s="184">
        <f t="shared" si="12"/>
        <v>0</v>
      </c>
      <c r="C78" s="185" t="s">
        <v>150</v>
      </c>
      <c r="D78" s="186"/>
      <c r="E78" s="196"/>
      <c r="F78" s="196"/>
      <c r="G78" s="197"/>
    </row>
    <row r="79" spans="1:9" ht="12.75" thickBot="1" x14ac:dyDescent="0.25">
      <c r="A79" s="187">
        <v>13</v>
      </c>
      <c r="B79" s="188">
        <f t="shared" si="12"/>
        <v>0</v>
      </c>
      <c r="C79" s="189" t="s">
        <v>151</v>
      </c>
      <c r="D79" s="190"/>
    </row>
    <row r="80" spans="1:9" ht="12" x14ac:dyDescent="0.2">
      <c r="A80" s="179">
        <v>14</v>
      </c>
      <c r="B80" s="180"/>
      <c r="C80" s="181" t="s">
        <v>4</v>
      </c>
      <c r="D80" s="182"/>
    </row>
    <row r="81" spans="1:4" ht="12" x14ac:dyDescent="0.2">
      <c r="A81" s="183">
        <v>14</v>
      </c>
      <c r="B81" s="184">
        <f t="shared" ref="B81:B85" si="13">$B$80</f>
        <v>0</v>
      </c>
      <c r="C81" s="185" t="s">
        <v>5</v>
      </c>
      <c r="D81" s="186"/>
    </row>
    <row r="82" spans="1:4" ht="12" x14ac:dyDescent="0.2">
      <c r="A82" s="183">
        <v>14</v>
      </c>
      <c r="B82" s="184">
        <f t="shared" si="13"/>
        <v>0</v>
      </c>
      <c r="C82" s="185" t="s">
        <v>148</v>
      </c>
      <c r="D82" s="186"/>
    </row>
    <row r="83" spans="1:4" ht="12" x14ac:dyDescent="0.2">
      <c r="A83" s="183">
        <v>14</v>
      </c>
      <c r="B83" s="184">
        <f t="shared" si="13"/>
        <v>0</v>
      </c>
      <c r="C83" s="185" t="s">
        <v>149</v>
      </c>
      <c r="D83" s="186"/>
    </row>
    <row r="84" spans="1:4" ht="12" x14ac:dyDescent="0.2">
      <c r="A84" s="183">
        <v>14</v>
      </c>
      <c r="B84" s="184">
        <f t="shared" si="13"/>
        <v>0</v>
      </c>
      <c r="C84" s="185" t="s">
        <v>150</v>
      </c>
      <c r="D84" s="186"/>
    </row>
    <row r="85" spans="1:4" ht="12.75" thickBot="1" x14ac:dyDescent="0.25">
      <c r="A85" s="187">
        <v>14</v>
      </c>
      <c r="B85" s="188">
        <f t="shared" si="13"/>
        <v>0</v>
      </c>
      <c r="C85" s="189" t="s">
        <v>151</v>
      </c>
      <c r="D85" s="190"/>
    </row>
    <row r="86" spans="1:4" ht="12" x14ac:dyDescent="0.2">
      <c r="A86" s="179">
        <v>15</v>
      </c>
      <c r="B86" s="180"/>
      <c r="C86" s="181" t="s">
        <v>4</v>
      </c>
      <c r="D86" s="182"/>
    </row>
    <row r="87" spans="1:4" ht="12" x14ac:dyDescent="0.2">
      <c r="A87" s="183">
        <v>15</v>
      </c>
      <c r="B87" s="184">
        <f t="shared" ref="B87:B91" si="14">$B$86</f>
        <v>0</v>
      </c>
      <c r="C87" s="185" t="s">
        <v>5</v>
      </c>
      <c r="D87" s="186"/>
    </row>
    <row r="88" spans="1:4" ht="12" x14ac:dyDescent="0.2">
      <c r="A88" s="183">
        <v>15</v>
      </c>
      <c r="B88" s="184">
        <f t="shared" si="14"/>
        <v>0</v>
      </c>
      <c r="C88" s="185" t="s">
        <v>148</v>
      </c>
      <c r="D88" s="186"/>
    </row>
    <row r="89" spans="1:4" ht="12" x14ac:dyDescent="0.2">
      <c r="A89" s="183">
        <v>15</v>
      </c>
      <c r="B89" s="184">
        <f t="shared" si="14"/>
        <v>0</v>
      </c>
      <c r="C89" s="185" t="s">
        <v>149</v>
      </c>
      <c r="D89" s="186"/>
    </row>
    <row r="90" spans="1:4" ht="12" x14ac:dyDescent="0.2">
      <c r="A90" s="183">
        <v>15</v>
      </c>
      <c r="B90" s="184">
        <f t="shared" si="14"/>
        <v>0</v>
      </c>
      <c r="C90" s="185" t="s">
        <v>150</v>
      </c>
      <c r="D90" s="186"/>
    </row>
    <row r="91" spans="1:4" ht="12.75" thickBot="1" x14ac:dyDescent="0.25">
      <c r="A91" s="187">
        <v>15</v>
      </c>
      <c r="B91" s="188">
        <f t="shared" si="14"/>
        <v>0</v>
      </c>
      <c r="C91" s="189" t="s">
        <v>151</v>
      </c>
      <c r="D91" s="190"/>
    </row>
    <row r="92" spans="1:4" ht="12" x14ac:dyDescent="0.2">
      <c r="A92" s="179">
        <v>16</v>
      </c>
      <c r="B92" s="180"/>
      <c r="C92" s="181" t="s">
        <v>4</v>
      </c>
      <c r="D92" s="182"/>
    </row>
    <row r="93" spans="1:4" ht="12" x14ac:dyDescent="0.2">
      <c r="A93" s="183">
        <v>16</v>
      </c>
      <c r="B93" s="184">
        <f t="shared" ref="B93:B97" si="15">$B$92</f>
        <v>0</v>
      </c>
      <c r="C93" s="185" t="s">
        <v>5</v>
      </c>
      <c r="D93" s="186"/>
    </row>
    <row r="94" spans="1:4" ht="12" x14ac:dyDescent="0.2">
      <c r="A94" s="183">
        <v>16</v>
      </c>
      <c r="B94" s="184">
        <f t="shared" si="15"/>
        <v>0</v>
      </c>
      <c r="C94" s="185" t="s">
        <v>148</v>
      </c>
      <c r="D94" s="186"/>
    </row>
    <row r="95" spans="1:4" ht="12" x14ac:dyDescent="0.2">
      <c r="A95" s="183">
        <v>16</v>
      </c>
      <c r="B95" s="184">
        <f t="shared" si="15"/>
        <v>0</v>
      </c>
      <c r="C95" s="185" t="s">
        <v>149</v>
      </c>
      <c r="D95" s="186"/>
    </row>
    <row r="96" spans="1:4" ht="12" x14ac:dyDescent="0.2">
      <c r="A96" s="183">
        <v>16</v>
      </c>
      <c r="B96" s="184">
        <f t="shared" si="15"/>
        <v>0</v>
      </c>
      <c r="C96" s="185" t="s">
        <v>150</v>
      </c>
      <c r="D96" s="186"/>
    </row>
    <row r="97" spans="1:4" ht="12.75" thickBot="1" x14ac:dyDescent="0.25">
      <c r="A97" s="187">
        <v>16</v>
      </c>
      <c r="B97" s="188">
        <f t="shared" si="15"/>
        <v>0</v>
      </c>
      <c r="C97" s="189" t="s">
        <v>151</v>
      </c>
      <c r="D97" s="190"/>
    </row>
    <row r="98" spans="1:4" ht="12" x14ac:dyDescent="0.2">
      <c r="A98" s="179">
        <v>17</v>
      </c>
      <c r="B98" s="180"/>
      <c r="C98" s="181" t="s">
        <v>4</v>
      </c>
      <c r="D98" s="182"/>
    </row>
    <row r="99" spans="1:4" ht="12" x14ac:dyDescent="0.2">
      <c r="A99" s="183">
        <v>17</v>
      </c>
      <c r="B99" s="184">
        <f t="shared" ref="B99:B103" si="16">$B$98</f>
        <v>0</v>
      </c>
      <c r="C99" s="185" t="s">
        <v>5</v>
      </c>
      <c r="D99" s="186"/>
    </row>
    <row r="100" spans="1:4" ht="12" x14ac:dyDescent="0.2">
      <c r="A100" s="183">
        <v>17</v>
      </c>
      <c r="B100" s="184">
        <f t="shared" si="16"/>
        <v>0</v>
      </c>
      <c r="C100" s="185" t="s">
        <v>148</v>
      </c>
      <c r="D100" s="186"/>
    </row>
    <row r="101" spans="1:4" ht="12" x14ac:dyDescent="0.2">
      <c r="A101" s="183">
        <v>17</v>
      </c>
      <c r="B101" s="184">
        <f t="shared" si="16"/>
        <v>0</v>
      </c>
      <c r="C101" s="185" t="s">
        <v>149</v>
      </c>
      <c r="D101" s="186"/>
    </row>
    <row r="102" spans="1:4" ht="12" x14ac:dyDescent="0.2">
      <c r="A102" s="183">
        <v>17</v>
      </c>
      <c r="B102" s="184">
        <f t="shared" si="16"/>
        <v>0</v>
      </c>
      <c r="C102" s="185" t="s">
        <v>150</v>
      </c>
      <c r="D102" s="186"/>
    </row>
    <row r="103" spans="1:4" ht="12.75" thickBot="1" x14ac:dyDescent="0.25">
      <c r="A103" s="187">
        <v>17</v>
      </c>
      <c r="B103" s="188">
        <f t="shared" si="16"/>
        <v>0</v>
      </c>
      <c r="C103" s="189" t="s">
        <v>151</v>
      </c>
      <c r="D103" s="190"/>
    </row>
    <row r="104" spans="1:4" ht="12" x14ac:dyDescent="0.2">
      <c r="A104" s="179">
        <v>18</v>
      </c>
      <c r="B104" s="180"/>
      <c r="C104" s="181" t="s">
        <v>4</v>
      </c>
      <c r="D104" s="182"/>
    </row>
    <row r="105" spans="1:4" ht="12" x14ac:dyDescent="0.2">
      <c r="A105" s="183">
        <v>18</v>
      </c>
      <c r="B105" s="184">
        <f t="shared" ref="B105:B109" si="17">$B$104</f>
        <v>0</v>
      </c>
      <c r="C105" s="185" t="s">
        <v>5</v>
      </c>
      <c r="D105" s="186"/>
    </row>
    <row r="106" spans="1:4" ht="12" x14ac:dyDescent="0.2">
      <c r="A106" s="183">
        <v>18</v>
      </c>
      <c r="B106" s="184">
        <f t="shared" si="17"/>
        <v>0</v>
      </c>
      <c r="C106" s="185" t="s">
        <v>148</v>
      </c>
      <c r="D106" s="186"/>
    </row>
    <row r="107" spans="1:4" ht="12" x14ac:dyDescent="0.2">
      <c r="A107" s="183">
        <v>18</v>
      </c>
      <c r="B107" s="184">
        <f t="shared" si="17"/>
        <v>0</v>
      </c>
      <c r="C107" s="185" t="s">
        <v>149</v>
      </c>
      <c r="D107" s="186"/>
    </row>
    <row r="108" spans="1:4" ht="12" x14ac:dyDescent="0.2">
      <c r="A108" s="183">
        <v>18</v>
      </c>
      <c r="B108" s="184">
        <f t="shared" si="17"/>
        <v>0</v>
      </c>
      <c r="C108" s="185" t="s">
        <v>150</v>
      </c>
      <c r="D108" s="186"/>
    </row>
    <row r="109" spans="1:4" ht="12.75" thickBot="1" x14ac:dyDescent="0.25">
      <c r="A109" s="187">
        <v>18</v>
      </c>
      <c r="B109" s="188">
        <f t="shared" si="17"/>
        <v>0</v>
      </c>
      <c r="C109" s="189" t="s">
        <v>151</v>
      </c>
      <c r="D109" s="190"/>
    </row>
    <row r="110" spans="1:4" ht="12" x14ac:dyDescent="0.2">
      <c r="A110" s="179">
        <v>19</v>
      </c>
      <c r="B110" s="180"/>
      <c r="C110" s="181" t="s">
        <v>4</v>
      </c>
      <c r="D110" s="182"/>
    </row>
    <row r="111" spans="1:4" ht="12" x14ac:dyDescent="0.2">
      <c r="A111" s="183">
        <v>19</v>
      </c>
      <c r="B111" s="184">
        <f t="shared" ref="B111:B115" si="18">$B$110</f>
        <v>0</v>
      </c>
      <c r="C111" s="185" t="s">
        <v>5</v>
      </c>
      <c r="D111" s="186"/>
    </row>
    <row r="112" spans="1:4" ht="12" x14ac:dyDescent="0.2">
      <c r="A112" s="183">
        <v>19</v>
      </c>
      <c r="B112" s="184">
        <f t="shared" si="18"/>
        <v>0</v>
      </c>
      <c r="C112" s="185" t="s">
        <v>148</v>
      </c>
      <c r="D112" s="186"/>
    </row>
    <row r="113" spans="1:4" ht="12" x14ac:dyDescent="0.2">
      <c r="A113" s="183">
        <v>19</v>
      </c>
      <c r="B113" s="184">
        <f t="shared" si="18"/>
        <v>0</v>
      </c>
      <c r="C113" s="185" t="s">
        <v>149</v>
      </c>
      <c r="D113" s="186"/>
    </row>
    <row r="114" spans="1:4" ht="12" x14ac:dyDescent="0.2">
      <c r="A114" s="183">
        <v>19</v>
      </c>
      <c r="B114" s="184">
        <f t="shared" si="18"/>
        <v>0</v>
      </c>
      <c r="C114" s="185" t="s">
        <v>150</v>
      </c>
      <c r="D114" s="186"/>
    </row>
    <row r="115" spans="1:4" ht="12.75" thickBot="1" x14ac:dyDescent="0.25">
      <c r="A115" s="187">
        <v>19</v>
      </c>
      <c r="B115" s="188">
        <f t="shared" si="18"/>
        <v>0</v>
      </c>
      <c r="C115" s="189" t="s">
        <v>151</v>
      </c>
      <c r="D115" s="190"/>
    </row>
    <row r="116" spans="1:4" ht="12" x14ac:dyDescent="0.2">
      <c r="A116" s="179">
        <v>20</v>
      </c>
      <c r="B116" s="180"/>
      <c r="C116" s="181" t="s">
        <v>4</v>
      </c>
      <c r="D116" s="182"/>
    </row>
    <row r="117" spans="1:4" ht="12" x14ac:dyDescent="0.2">
      <c r="A117" s="183">
        <v>20</v>
      </c>
      <c r="B117" s="184">
        <f t="shared" ref="B117:B121" si="19">$B$116</f>
        <v>0</v>
      </c>
      <c r="C117" s="185" t="s">
        <v>5</v>
      </c>
      <c r="D117" s="186"/>
    </row>
    <row r="118" spans="1:4" ht="12" x14ac:dyDescent="0.2">
      <c r="A118" s="183">
        <v>20</v>
      </c>
      <c r="B118" s="184">
        <f t="shared" si="19"/>
        <v>0</v>
      </c>
      <c r="C118" s="185" t="s">
        <v>148</v>
      </c>
      <c r="D118" s="186"/>
    </row>
    <row r="119" spans="1:4" ht="12" x14ac:dyDescent="0.2">
      <c r="A119" s="183">
        <v>20</v>
      </c>
      <c r="B119" s="184">
        <f t="shared" si="19"/>
        <v>0</v>
      </c>
      <c r="C119" s="185" t="s">
        <v>149</v>
      </c>
      <c r="D119" s="186"/>
    </row>
    <row r="120" spans="1:4" ht="12" x14ac:dyDescent="0.2">
      <c r="A120" s="183">
        <v>20</v>
      </c>
      <c r="B120" s="184">
        <f t="shared" si="19"/>
        <v>0</v>
      </c>
      <c r="C120" s="185" t="s">
        <v>150</v>
      </c>
      <c r="D120" s="186"/>
    </row>
    <row r="121" spans="1:4" ht="12.75" thickBot="1" x14ac:dyDescent="0.25">
      <c r="A121" s="187">
        <v>20</v>
      </c>
      <c r="B121" s="188">
        <f t="shared" si="19"/>
        <v>0</v>
      </c>
      <c r="C121" s="189" t="s">
        <v>151</v>
      </c>
      <c r="D121" s="190"/>
    </row>
    <row r="122" spans="1:4" ht="12" x14ac:dyDescent="0.2">
      <c r="A122" s="179">
        <v>21</v>
      </c>
      <c r="B122" s="180"/>
      <c r="C122" s="181" t="s">
        <v>4</v>
      </c>
      <c r="D122" s="182"/>
    </row>
    <row r="123" spans="1:4" ht="12" x14ac:dyDescent="0.2">
      <c r="A123" s="183">
        <v>21</v>
      </c>
      <c r="B123" s="184">
        <f t="shared" ref="B123:B127" si="20">$B$122</f>
        <v>0</v>
      </c>
      <c r="C123" s="185" t="s">
        <v>5</v>
      </c>
      <c r="D123" s="186"/>
    </row>
    <row r="124" spans="1:4" ht="12" x14ac:dyDescent="0.2">
      <c r="A124" s="183">
        <v>21</v>
      </c>
      <c r="B124" s="184">
        <f t="shared" si="20"/>
        <v>0</v>
      </c>
      <c r="C124" s="185" t="s">
        <v>148</v>
      </c>
      <c r="D124" s="186"/>
    </row>
    <row r="125" spans="1:4" ht="12" x14ac:dyDescent="0.2">
      <c r="A125" s="183">
        <v>21</v>
      </c>
      <c r="B125" s="184">
        <f t="shared" si="20"/>
        <v>0</v>
      </c>
      <c r="C125" s="185" t="s">
        <v>149</v>
      </c>
      <c r="D125" s="186"/>
    </row>
    <row r="126" spans="1:4" ht="12" x14ac:dyDescent="0.2">
      <c r="A126" s="183">
        <v>21</v>
      </c>
      <c r="B126" s="184">
        <f t="shared" si="20"/>
        <v>0</v>
      </c>
      <c r="C126" s="185" t="s">
        <v>150</v>
      </c>
      <c r="D126" s="186"/>
    </row>
    <row r="127" spans="1:4" ht="12.75" thickBot="1" x14ac:dyDescent="0.25">
      <c r="A127" s="187">
        <v>21</v>
      </c>
      <c r="B127" s="188">
        <f t="shared" si="20"/>
        <v>0</v>
      </c>
      <c r="C127" s="189" t="s">
        <v>151</v>
      </c>
      <c r="D127" s="190"/>
    </row>
    <row r="128" spans="1:4" ht="12" x14ac:dyDescent="0.2">
      <c r="A128" s="179">
        <v>22</v>
      </c>
      <c r="B128" s="180"/>
      <c r="C128" s="181" t="s">
        <v>4</v>
      </c>
      <c r="D128" s="182"/>
    </row>
    <row r="129" spans="1:4" ht="12" x14ac:dyDescent="0.2">
      <c r="A129" s="183">
        <v>22</v>
      </c>
      <c r="B129" s="184">
        <f t="shared" ref="B129:B133" si="21">$B$128</f>
        <v>0</v>
      </c>
      <c r="C129" s="185" t="s">
        <v>5</v>
      </c>
      <c r="D129" s="186"/>
    </row>
    <row r="130" spans="1:4" ht="12" x14ac:dyDescent="0.2">
      <c r="A130" s="183">
        <v>22</v>
      </c>
      <c r="B130" s="184">
        <f t="shared" si="21"/>
        <v>0</v>
      </c>
      <c r="C130" s="185" t="s">
        <v>148</v>
      </c>
      <c r="D130" s="186"/>
    </row>
    <row r="131" spans="1:4" ht="12" x14ac:dyDescent="0.2">
      <c r="A131" s="183">
        <v>22</v>
      </c>
      <c r="B131" s="184">
        <f t="shared" si="21"/>
        <v>0</v>
      </c>
      <c r="C131" s="185" t="s">
        <v>149</v>
      </c>
      <c r="D131" s="186"/>
    </row>
    <row r="132" spans="1:4" ht="12" x14ac:dyDescent="0.2">
      <c r="A132" s="183">
        <v>22</v>
      </c>
      <c r="B132" s="184">
        <f t="shared" si="21"/>
        <v>0</v>
      </c>
      <c r="C132" s="185" t="s">
        <v>150</v>
      </c>
      <c r="D132" s="186"/>
    </row>
    <row r="133" spans="1:4" ht="12.75" thickBot="1" x14ac:dyDescent="0.25">
      <c r="A133" s="187">
        <v>22</v>
      </c>
      <c r="B133" s="188">
        <f t="shared" si="21"/>
        <v>0</v>
      </c>
      <c r="C133" s="189" t="s">
        <v>151</v>
      </c>
      <c r="D133" s="190"/>
    </row>
    <row r="134" spans="1:4" ht="12" x14ac:dyDescent="0.2">
      <c r="A134" s="179">
        <v>23</v>
      </c>
      <c r="B134" s="180"/>
      <c r="C134" s="181" t="s">
        <v>4</v>
      </c>
      <c r="D134" s="182"/>
    </row>
    <row r="135" spans="1:4" ht="12" x14ac:dyDescent="0.2">
      <c r="A135" s="183">
        <v>23</v>
      </c>
      <c r="B135" s="184">
        <f t="shared" ref="B135:B139" si="22">$B$134</f>
        <v>0</v>
      </c>
      <c r="C135" s="185" t="s">
        <v>5</v>
      </c>
      <c r="D135" s="186"/>
    </row>
    <row r="136" spans="1:4" ht="12" x14ac:dyDescent="0.2">
      <c r="A136" s="183">
        <v>23</v>
      </c>
      <c r="B136" s="184">
        <f t="shared" si="22"/>
        <v>0</v>
      </c>
      <c r="C136" s="185" t="s">
        <v>148</v>
      </c>
      <c r="D136" s="186"/>
    </row>
    <row r="137" spans="1:4" ht="12" x14ac:dyDescent="0.2">
      <c r="A137" s="183">
        <v>23</v>
      </c>
      <c r="B137" s="184">
        <f t="shared" si="22"/>
        <v>0</v>
      </c>
      <c r="C137" s="185" t="s">
        <v>149</v>
      </c>
      <c r="D137" s="186"/>
    </row>
    <row r="138" spans="1:4" ht="12" x14ac:dyDescent="0.2">
      <c r="A138" s="183">
        <v>23</v>
      </c>
      <c r="B138" s="184">
        <f t="shared" si="22"/>
        <v>0</v>
      </c>
      <c r="C138" s="185" t="s">
        <v>150</v>
      </c>
      <c r="D138" s="186"/>
    </row>
    <row r="139" spans="1:4" ht="12.75" thickBot="1" x14ac:dyDescent="0.25">
      <c r="A139" s="187">
        <v>23</v>
      </c>
      <c r="B139" s="188">
        <f t="shared" si="22"/>
        <v>0</v>
      </c>
      <c r="C139" s="189" t="s">
        <v>151</v>
      </c>
      <c r="D139" s="190"/>
    </row>
    <row r="140" spans="1:4" ht="12" x14ac:dyDescent="0.2">
      <c r="A140" s="179">
        <v>24</v>
      </c>
      <c r="B140" s="180"/>
      <c r="C140" s="181" t="s">
        <v>4</v>
      </c>
      <c r="D140" s="182"/>
    </row>
    <row r="141" spans="1:4" ht="12" x14ac:dyDescent="0.2">
      <c r="A141" s="183">
        <v>24</v>
      </c>
      <c r="B141" s="184">
        <f t="shared" ref="B141:B145" si="23">$B$140</f>
        <v>0</v>
      </c>
      <c r="C141" s="185" t="s">
        <v>5</v>
      </c>
      <c r="D141" s="186"/>
    </row>
    <row r="142" spans="1:4" ht="12" x14ac:dyDescent="0.2">
      <c r="A142" s="183">
        <v>24</v>
      </c>
      <c r="B142" s="184">
        <f t="shared" si="23"/>
        <v>0</v>
      </c>
      <c r="C142" s="185" t="s">
        <v>148</v>
      </c>
      <c r="D142" s="186"/>
    </row>
    <row r="143" spans="1:4" ht="12" x14ac:dyDescent="0.2">
      <c r="A143" s="183">
        <v>24</v>
      </c>
      <c r="B143" s="184">
        <f t="shared" si="23"/>
        <v>0</v>
      </c>
      <c r="C143" s="185" t="s">
        <v>149</v>
      </c>
      <c r="D143" s="186"/>
    </row>
    <row r="144" spans="1:4" ht="12" x14ac:dyDescent="0.2">
      <c r="A144" s="183">
        <v>24</v>
      </c>
      <c r="B144" s="184">
        <f t="shared" si="23"/>
        <v>0</v>
      </c>
      <c r="C144" s="185" t="s">
        <v>150</v>
      </c>
      <c r="D144" s="186"/>
    </row>
    <row r="145" spans="1:7" ht="12.75" thickBot="1" x14ac:dyDescent="0.25">
      <c r="A145" s="187">
        <v>24</v>
      </c>
      <c r="B145" s="188">
        <f t="shared" si="23"/>
        <v>0</v>
      </c>
      <c r="C145" s="189" t="s">
        <v>151</v>
      </c>
      <c r="D145" s="190"/>
    </row>
    <row r="146" spans="1:7" ht="12" x14ac:dyDescent="0.2">
      <c r="A146" s="179">
        <v>25</v>
      </c>
      <c r="B146" s="180"/>
      <c r="C146" s="181" t="s">
        <v>4</v>
      </c>
      <c r="D146" s="182"/>
    </row>
    <row r="147" spans="1:7" ht="12" x14ac:dyDescent="0.2">
      <c r="A147" s="183">
        <v>25</v>
      </c>
      <c r="B147" s="184">
        <f t="shared" ref="B147:B151" si="24">$B$146</f>
        <v>0</v>
      </c>
      <c r="C147" s="185" t="s">
        <v>5</v>
      </c>
      <c r="D147" s="186"/>
    </row>
    <row r="148" spans="1:7" ht="12" x14ac:dyDescent="0.2">
      <c r="A148" s="183">
        <v>25</v>
      </c>
      <c r="B148" s="184">
        <f t="shared" si="24"/>
        <v>0</v>
      </c>
      <c r="C148" s="185" t="s">
        <v>148</v>
      </c>
      <c r="D148" s="186"/>
    </row>
    <row r="149" spans="1:7" ht="12" x14ac:dyDescent="0.2">
      <c r="A149" s="183">
        <v>25</v>
      </c>
      <c r="B149" s="184">
        <f t="shared" si="24"/>
        <v>0</v>
      </c>
      <c r="C149" s="185" t="s">
        <v>149</v>
      </c>
      <c r="D149" s="186"/>
    </row>
    <row r="150" spans="1:7" ht="12" x14ac:dyDescent="0.2">
      <c r="A150" s="183">
        <v>25</v>
      </c>
      <c r="B150" s="184">
        <f t="shared" si="24"/>
        <v>0</v>
      </c>
      <c r="C150" s="185" t="s">
        <v>150</v>
      </c>
      <c r="D150" s="186"/>
    </row>
    <row r="151" spans="1:7" ht="12.75" thickBot="1" x14ac:dyDescent="0.25">
      <c r="A151" s="187">
        <v>25</v>
      </c>
      <c r="B151" s="188">
        <f t="shared" si="24"/>
        <v>0</v>
      </c>
      <c r="C151" s="189" t="s">
        <v>151</v>
      </c>
      <c r="D151" s="190"/>
    </row>
    <row r="152" spans="1:7" ht="12" x14ac:dyDescent="0.2">
      <c r="A152" s="179">
        <v>26</v>
      </c>
      <c r="B152" s="180"/>
      <c r="C152" s="181" t="s">
        <v>4</v>
      </c>
      <c r="D152" s="182"/>
    </row>
    <row r="153" spans="1:7" ht="12" x14ac:dyDescent="0.2">
      <c r="A153" s="183">
        <v>26</v>
      </c>
      <c r="B153" s="184">
        <f t="shared" ref="B153:B157" si="25">$B$152</f>
        <v>0</v>
      </c>
      <c r="C153" s="185" t="s">
        <v>5</v>
      </c>
      <c r="D153" s="186"/>
    </row>
    <row r="154" spans="1:7" ht="12" x14ac:dyDescent="0.2">
      <c r="A154" s="183">
        <v>26</v>
      </c>
      <c r="B154" s="184">
        <f t="shared" si="25"/>
        <v>0</v>
      </c>
      <c r="C154" s="185" t="s">
        <v>148</v>
      </c>
      <c r="D154" s="186"/>
    </row>
    <row r="155" spans="1:7" ht="12" x14ac:dyDescent="0.2">
      <c r="A155" s="183">
        <v>26</v>
      </c>
      <c r="B155" s="184">
        <f t="shared" si="25"/>
        <v>0</v>
      </c>
      <c r="C155" s="185" t="s">
        <v>149</v>
      </c>
      <c r="D155" s="186"/>
    </row>
    <row r="156" spans="1:7" ht="12" x14ac:dyDescent="0.2">
      <c r="A156" s="183">
        <v>26</v>
      </c>
      <c r="B156" s="184">
        <f t="shared" si="25"/>
        <v>0</v>
      </c>
      <c r="C156" s="185" t="s">
        <v>150</v>
      </c>
      <c r="D156" s="186"/>
    </row>
    <row r="157" spans="1:7" ht="12.75" thickBot="1" x14ac:dyDescent="0.25">
      <c r="A157" s="187">
        <v>26</v>
      </c>
      <c r="B157" s="188">
        <f t="shared" si="25"/>
        <v>0</v>
      </c>
      <c r="C157" s="189" t="s">
        <v>151</v>
      </c>
      <c r="D157" s="190"/>
    </row>
    <row r="158" spans="1:7" ht="12" x14ac:dyDescent="0.2">
      <c r="A158" s="179">
        <v>27</v>
      </c>
      <c r="B158" s="180"/>
      <c r="C158" s="181" t="s">
        <v>4</v>
      </c>
      <c r="D158" s="182"/>
      <c r="G158" s="194"/>
    </row>
    <row r="159" spans="1:7" ht="12" x14ac:dyDescent="0.2">
      <c r="A159" s="183">
        <v>27</v>
      </c>
      <c r="B159" s="184">
        <f t="shared" ref="B159:B163" si="26">$B$158</f>
        <v>0</v>
      </c>
      <c r="C159" s="185" t="s">
        <v>5</v>
      </c>
      <c r="D159" s="186"/>
    </row>
    <row r="160" spans="1:7" ht="12" x14ac:dyDescent="0.2">
      <c r="A160" s="183">
        <v>27</v>
      </c>
      <c r="B160" s="184">
        <f t="shared" si="26"/>
        <v>0</v>
      </c>
      <c r="C160" s="185" t="s">
        <v>148</v>
      </c>
      <c r="D160" s="186"/>
    </row>
    <row r="161" spans="1:8" ht="12" x14ac:dyDescent="0.2">
      <c r="A161" s="183">
        <v>27</v>
      </c>
      <c r="B161" s="184">
        <f t="shared" si="26"/>
        <v>0</v>
      </c>
      <c r="C161" s="185" t="s">
        <v>149</v>
      </c>
      <c r="D161" s="186"/>
    </row>
    <row r="162" spans="1:8" ht="12" x14ac:dyDescent="0.2">
      <c r="A162" s="183">
        <v>27</v>
      </c>
      <c r="B162" s="184">
        <f t="shared" si="26"/>
        <v>0</v>
      </c>
      <c r="C162" s="185" t="s">
        <v>150</v>
      </c>
      <c r="D162" s="186"/>
    </row>
    <row r="163" spans="1:8" ht="12.75" thickBot="1" x14ac:dyDescent="0.25">
      <c r="A163" s="187">
        <v>27</v>
      </c>
      <c r="B163" s="188">
        <f t="shared" si="26"/>
        <v>0</v>
      </c>
      <c r="C163" s="189" t="s">
        <v>151</v>
      </c>
      <c r="D163" s="190"/>
    </row>
    <row r="164" spans="1:8" ht="12" x14ac:dyDescent="0.2">
      <c r="A164" s="179">
        <v>28</v>
      </c>
      <c r="B164" s="180"/>
      <c r="C164" s="181" t="s">
        <v>4</v>
      </c>
      <c r="D164" s="182"/>
    </row>
    <row r="165" spans="1:8" ht="12" x14ac:dyDescent="0.2">
      <c r="A165" s="183">
        <v>28</v>
      </c>
      <c r="B165" s="184">
        <f t="shared" ref="B165:B169" si="27">$B$164</f>
        <v>0</v>
      </c>
      <c r="C165" s="185" t="s">
        <v>5</v>
      </c>
      <c r="D165" s="186"/>
    </row>
    <row r="166" spans="1:8" ht="12" x14ac:dyDescent="0.2">
      <c r="A166" s="183">
        <v>28</v>
      </c>
      <c r="B166" s="184">
        <f t="shared" si="27"/>
        <v>0</v>
      </c>
      <c r="C166" s="185" t="s">
        <v>148</v>
      </c>
      <c r="D166" s="186"/>
    </row>
    <row r="167" spans="1:8" ht="12" x14ac:dyDescent="0.2">
      <c r="A167" s="183">
        <v>28</v>
      </c>
      <c r="B167" s="184">
        <f t="shared" si="27"/>
        <v>0</v>
      </c>
      <c r="C167" s="185" t="s">
        <v>149</v>
      </c>
      <c r="D167" s="186"/>
    </row>
    <row r="168" spans="1:8" ht="12" x14ac:dyDescent="0.2">
      <c r="A168" s="183">
        <v>28</v>
      </c>
      <c r="B168" s="184">
        <f t="shared" si="27"/>
        <v>0</v>
      </c>
      <c r="C168" s="185" t="s">
        <v>150</v>
      </c>
      <c r="D168" s="186"/>
    </row>
    <row r="169" spans="1:8" ht="12.75" thickBot="1" x14ac:dyDescent="0.25">
      <c r="A169" s="187">
        <v>28</v>
      </c>
      <c r="B169" s="188">
        <f t="shared" si="27"/>
        <v>0</v>
      </c>
      <c r="C169" s="189" t="s">
        <v>151</v>
      </c>
      <c r="D169" s="190"/>
    </row>
    <row r="170" spans="1:8" ht="12" x14ac:dyDescent="0.2">
      <c r="A170" s="179">
        <v>29</v>
      </c>
      <c r="B170" s="180"/>
      <c r="C170" s="181" t="s">
        <v>4</v>
      </c>
      <c r="D170" s="182"/>
    </row>
    <row r="171" spans="1:8" ht="12" x14ac:dyDescent="0.2">
      <c r="A171" s="183">
        <v>29</v>
      </c>
      <c r="B171" s="184">
        <f t="shared" ref="B171:B175" si="28">$B$170</f>
        <v>0</v>
      </c>
      <c r="C171" s="185" t="s">
        <v>5</v>
      </c>
      <c r="D171" s="186"/>
      <c r="H171" s="194"/>
    </row>
    <row r="172" spans="1:8" ht="12" x14ac:dyDescent="0.2">
      <c r="A172" s="183">
        <v>29</v>
      </c>
      <c r="B172" s="184">
        <f t="shared" si="28"/>
        <v>0</v>
      </c>
      <c r="C172" s="185" t="s">
        <v>148</v>
      </c>
      <c r="D172" s="186"/>
      <c r="H172" s="194"/>
    </row>
    <row r="173" spans="1:8" ht="12" x14ac:dyDescent="0.2">
      <c r="A173" s="183">
        <v>29</v>
      </c>
      <c r="B173" s="184">
        <f t="shared" si="28"/>
        <v>0</v>
      </c>
      <c r="C173" s="185" t="s">
        <v>149</v>
      </c>
      <c r="D173" s="186"/>
      <c r="H173" s="194"/>
    </row>
    <row r="174" spans="1:8" ht="12" x14ac:dyDescent="0.2">
      <c r="A174" s="183">
        <v>29</v>
      </c>
      <c r="B174" s="184">
        <f t="shared" si="28"/>
        <v>0</v>
      </c>
      <c r="C174" s="185" t="s">
        <v>150</v>
      </c>
      <c r="D174" s="186"/>
      <c r="H174" s="194"/>
    </row>
    <row r="175" spans="1:8" ht="12.75" thickBot="1" x14ac:dyDescent="0.25">
      <c r="A175" s="187">
        <v>29</v>
      </c>
      <c r="B175" s="188">
        <f t="shared" si="28"/>
        <v>0</v>
      </c>
      <c r="C175" s="189" t="s">
        <v>151</v>
      </c>
      <c r="D175" s="190"/>
    </row>
    <row r="176" spans="1:8" ht="12" x14ac:dyDescent="0.2">
      <c r="A176" s="179">
        <v>30</v>
      </c>
      <c r="B176" s="180"/>
      <c r="C176" s="181" t="s">
        <v>4</v>
      </c>
      <c r="D176" s="182"/>
    </row>
    <row r="177" spans="1:7" ht="12" x14ac:dyDescent="0.2">
      <c r="A177" s="183">
        <v>30</v>
      </c>
      <c r="B177" s="184">
        <f t="shared" ref="B177:B181" si="29">$B$176</f>
        <v>0</v>
      </c>
      <c r="C177" s="185" t="s">
        <v>5</v>
      </c>
      <c r="D177" s="186"/>
    </row>
    <row r="178" spans="1:7" ht="12" x14ac:dyDescent="0.2">
      <c r="A178" s="183">
        <v>30</v>
      </c>
      <c r="B178" s="184">
        <f t="shared" si="29"/>
        <v>0</v>
      </c>
      <c r="C178" s="185" t="s">
        <v>148</v>
      </c>
      <c r="D178" s="186"/>
    </row>
    <row r="179" spans="1:7" ht="12" x14ac:dyDescent="0.2">
      <c r="A179" s="183">
        <v>30</v>
      </c>
      <c r="B179" s="184">
        <f t="shared" si="29"/>
        <v>0</v>
      </c>
      <c r="C179" s="185" t="s">
        <v>149</v>
      </c>
      <c r="D179" s="186"/>
    </row>
    <row r="180" spans="1:7" ht="12" x14ac:dyDescent="0.2">
      <c r="A180" s="183">
        <v>30</v>
      </c>
      <c r="B180" s="184">
        <f t="shared" si="29"/>
        <v>0</v>
      </c>
      <c r="C180" s="185" t="s">
        <v>150</v>
      </c>
      <c r="D180" s="186"/>
    </row>
    <row r="181" spans="1:7" ht="12.75" thickBot="1" x14ac:dyDescent="0.25">
      <c r="A181" s="187">
        <v>30</v>
      </c>
      <c r="B181" s="188">
        <f t="shared" si="29"/>
        <v>0</v>
      </c>
      <c r="C181" s="189" t="s">
        <v>151</v>
      </c>
      <c r="D181" s="190"/>
    </row>
    <row r="182" spans="1:7" ht="12" x14ac:dyDescent="0.2">
      <c r="A182" s="198"/>
      <c r="B182" s="199"/>
      <c r="C182" s="200"/>
      <c r="D182" s="201"/>
      <c r="G182" s="194"/>
    </row>
    <row r="183" spans="1:7" ht="12" x14ac:dyDescent="0.2">
      <c r="A183" s="198"/>
      <c r="B183" s="202"/>
      <c r="C183" s="200"/>
      <c r="D183" s="201"/>
    </row>
    <row r="184" spans="1:7" ht="12" x14ac:dyDescent="0.2">
      <c r="A184" s="198"/>
      <c r="B184" s="202"/>
      <c r="C184" s="200"/>
      <c r="D184" s="201"/>
    </row>
    <row r="185" spans="1:7" ht="12" x14ac:dyDescent="0.2">
      <c r="A185" s="198"/>
      <c r="B185" s="199"/>
      <c r="C185" s="200"/>
      <c r="D185" s="201"/>
    </row>
    <row r="186" spans="1:7" ht="12" x14ac:dyDescent="0.2">
      <c r="A186" s="198"/>
      <c r="B186" s="202"/>
      <c r="C186" s="200"/>
      <c r="D186" s="201"/>
    </row>
    <row r="187" spans="1:7" ht="12" x14ac:dyDescent="0.2">
      <c r="A187" s="198"/>
      <c r="B187" s="202"/>
      <c r="C187" s="200"/>
      <c r="D187" s="201"/>
    </row>
    <row r="188" spans="1:7" ht="12" x14ac:dyDescent="0.2">
      <c r="A188" s="198"/>
      <c r="B188" s="199"/>
      <c r="C188" s="200"/>
      <c r="D188" s="201"/>
    </row>
    <row r="189" spans="1:7" ht="12" x14ac:dyDescent="0.2">
      <c r="A189" s="198"/>
      <c r="B189" s="202"/>
      <c r="C189" s="200"/>
      <c r="D189" s="201"/>
    </row>
    <row r="190" spans="1:7" ht="12" x14ac:dyDescent="0.2">
      <c r="A190" s="198"/>
      <c r="B190" s="202"/>
      <c r="C190" s="200"/>
      <c r="D190" s="201"/>
    </row>
    <row r="191" spans="1:7" ht="12" x14ac:dyDescent="0.2">
      <c r="A191" s="198"/>
      <c r="B191" s="199"/>
      <c r="C191" s="200"/>
      <c r="D191" s="201"/>
    </row>
    <row r="192" spans="1:7" ht="12" x14ac:dyDescent="0.2">
      <c r="A192" s="198"/>
      <c r="B192" s="202"/>
      <c r="C192" s="200"/>
      <c r="D192" s="201"/>
    </row>
    <row r="193" spans="1:4" ht="12" x14ac:dyDescent="0.2">
      <c r="A193" s="198"/>
      <c r="B193" s="202"/>
      <c r="C193" s="200"/>
      <c r="D193" s="201"/>
    </row>
    <row r="194" spans="1:4" ht="12" x14ac:dyDescent="0.2">
      <c r="A194" s="198"/>
      <c r="B194" s="199"/>
      <c r="C194" s="200"/>
      <c r="D194" s="201"/>
    </row>
    <row r="195" spans="1:4" ht="12" x14ac:dyDescent="0.2">
      <c r="A195" s="198"/>
      <c r="B195" s="202"/>
      <c r="C195" s="200"/>
      <c r="D195" s="201"/>
    </row>
    <row r="196" spans="1:4" ht="12" x14ac:dyDescent="0.2">
      <c r="A196" s="198"/>
      <c r="B196" s="202"/>
      <c r="C196" s="200"/>
      <c r="D196" s="201"/>
    </row>
    <row r="197" spans="1:4" ht="12" x14ac:dyDescent="0.2">
      <c r="A197" s="198"/>
      <c r="B197" s="199"/>
      <c r="C197" s="200"/>
      <c r="D197" s="201"/>
    </row>
    <row r="198" spans="1:4" ht="12" x14ac:dyDescent="0.2">
      <c r="A198" s="198"/>
      <c r="B198" s="202"/>
      <c r="C198" s="200"/>
      <c r="D198" s="201"/>
    </row>
    <row r="199" spans="1:4" ht="12" x14ac:dyDescent="0.2">
      <c r="A199" s="198"/>
      <c r="B199" s="202"/>
      <c r="C199" s="200"/>
      <c r="D199" s="201"/>
    </row>
    <row r="200" spans="1:4" ht="12" x14ac:dyDescent="0.2">
      <c r="A200" s="198"/>
      <c r="B200" s="199"/>
      <c r="C200" s="200"/>
      <c r="D200" s="201"/>
    </row>
    <row r="201" spans="1:4" ht="12" x14ac:dyDescent="0.2">
      <c r="A201" s="198"/>
      <c r="B201" s="202"/>
      <c r="C201" s="200"/>
      <c r="D201" s="201"/>
    </row>
    <row r="202" spans="1:4" ht="12" x14ac:dyDescent="0.2">
      <c r="A202" s="198"/>
      <c r="B202" s="202"/>
      <c r="C202" s="200"/>
      <c r="D202" s="201"/>
    </row>
    <row r="203" spans="1:4" ht="12" x14ac:dyDescent="0.2">
      <c r="A203" s="198"/>
      <c r="B203" s="199"/>
      <c r="C203" s="200"/>
      <c r="D203" s="201"/>
    </row>
    <row r="204" spans="1:4" ht="12" x14ac:dyDescent="0.2">
      <c r="A204" s="198"/>
      <c r="B204" s="202"/>
      <c r="C204" s="200"/>
      <c r="D204" s="201"/>
    </row>
    <row r="205" spans="1:4" ht="12" x14ac:dyDescent="0.2">
      <c r="A205" s="198"/>
      <c r="B205" s="202"/>
      <c r="C205" s="200"/>
      <c r="D205" s="201"/>
    </row>
    <row r="206" spans="1:4" ht="12" x14ac:dyDescent="0.2">
      <c r="A206" s="198"/>
      <c r="B206" s="199"/>
      <c r="C206" s="200"/>
      <c r="D206" s="201"/>
    </row>
    <row r="207" spans="1:4" ht="12" x14ac:dyDescent="0.2">
      <c r="A207" s="198"/>
      <c r="B207" s="202"/>
      <c r="C207" s="200"/>
      <c r="D207" s="201"/>
    </row>
    <row r="208" spans="1:4" ht="12" x14ac:dyDescent="0.2">
      <c r="A208" s="198"/>
      <c r="B208" s="202"/>
      <c r="C208" s="200"/>
      <c r="D208" s="201"/>
    </row>
    <row r="209" spans="1:4" ht="12" x14ac:dyDescent="0.2">
      <c r="A209" s="198"/>
      <c r="B209" s="199"/>
      <c r="C209" s="200"/>
      <c r="D209" s="201"/>
    </row>
    <row r="210" spans="1:4" ht="12" x14ac:dyDescent="0.2">
      <c r="A210" s="198"/>
      <c r="B210" s="202"/>
      <c r="C210" s="200"/>
      <c r="D210" s="201"/>
    </row>
    <row r="211" spans="1:4" ht="12" x14ac:dyDescent="0.2">
      <c r="A211" s="198"/>
      <c r="B211" s="202"/>
      <c r="C211" s="200"/>
      <c r="D211" s="201"/>
    </row>
    <row r="212" spans="1:4" ht="12" x14ac:dyDescent="0.2">
      <c r="A212" s="198"/>
      <c r="B212" s="199"/>
      <c r="C212" s="200"/>
      <c r="D212" s="201"/>
    </row>
    <row r="213" spans="1:4" ht="12" x14ac:dyDescent="0.2">
      <c r="A213" s="198"/>
      <c r="B213" s="202"/>
      <c r="C213" s="200"/>
      <c r="D213" s="201"/>
    </row>
    <row r="214" spans="1:4" ht="12" x14ac:dyDescent="0.2">
      <c r="A214" s="198"/>
      <c r="B214" s="202"/>
      <c r="C214" s="200"/>
      <c r="D214" s="201"/>
    </row>
    <row r="215" spans="1:4" ht="12" x14ac:dyDescent="0.2">
      <c r="A215" s="198"/>
      <c r="B215" s="199"/>
      <c r="C215" s="200"/>
      <c r="D215" s="201"/>
    </row>
    <row r="216" spans="1:4" ht="12" x14ac:dyDescent="0.2">
      <c r="A216" s="198"/>
      <c r="B216" s="202"/>
      <c r="C216" s="200"/>
      <c r="D216" s="201"/>
    </row>
    <row r="217" spans="1:4" ht="12" x14ac:dyDescent="0.2">
      <c r="A217" s="198"/>
      <c r="B217" s="202"/>
      <c r="C217" s="200"/>
      <c r="D217" s="201"/>
    </row>
    <row r="218" spans="1:4" ht="12" x14ac:dyDescent="0.2">
      <c r="A218" s="198"/>
      <c r="B218" s="199"/>
      <c r="C218" s="200"/>
      <c r="D218" s="201"/>
    </row>
    <row r="219" spans="1:4" ht="12" x14ac:dyDescent="0.2">
      <c r="A219" s="198"/>
      <c r="B219" s="202"/>
      <c r="C219" s="200"/>
      <c r="D219" s="201"/>
    </row>
    <row r="220" spans="1:4" ht="12" x14ac:dyDescent="0.2">
      <c r="A220" s="198"/>
      <c r="B220" s="202"/>
      <c r="C220" s="200"/>
      <c r="D220" s="201"/>
    </row>
    <row r="221" spans="1:4" ht="12" x14ac:dyDescent="0.2">
      <c r="A221" s="198"/>
      <c r="B221" s="199"/>
      <c r="C221" s="200"/>
      <c r="D221" s="201"/>
    </row>
    <row r="222" spans="1:4" ht="12" x14ac:dyDescent="0.2">
      <c r="A222" s="198"/>
      <c r="B222" s="202"/>
      <c r="C222" s="200"/>
      <c r="D222" s="201"/>
    </row>
    <row r="223" spans="1:4" ht="12" x14ac:dyDescent="0.2">
      <c r="A223" s="198"/>
      <c r="B223" s="202"/>
      <c r="C223" s="200"/>
      <c r="D223" s="201"/>
    </row>
    <row r="224" spans="1:4" ht="12" x14ac:dyDescent="0.2">
      <c r="A224" s="198"/>
      <c r="B224" s="199"/>
      <c r="C224" s="200"/>
      <c r="D224" s="201"/>
    </row>
    <row r="225" spans="1:4" ht="12" x14ac:dyDescent="0.2">
      <c r="A225" s="198"/>
      <c r="B225" s="202"/>
      <c r="C225" s="200"/>
      <c r="D225" s="201"/>
    </row>
    <row r="226" spans="1:4" ht="12" x14ac:dyDescent="0.2">
      <c r="A226" s="198"/>
      <c r="B226" s="202"/>
      <c r="C226" s="200"/>
      <c r="D226" s="201"/>
    </row>
    <row r="227" spans="1:4" ht="12" x14ac:dyDescent="0.2">
      <c r="A227" s="198"/>
      <c r="B227" s="199"/>
      <c r="C227" s="200"/>
      <c r="D227" s="201"/>
    </row>
    <row r="228" spans="1:4" ht="12" x14ac:dyDescent="0.2">
      <c r="A228" s="198"/>
      <c r="B228" s="202"/>
      <c r="C228" s="200"/>
      <c r="D228" s="201"/>
    </row>
    <row r="229" spans="1:4" ht="12" x14ac:dyDescent="0.2">
      <c r="A229" s="198"/>
      <c r="B229" s="202"/>
      <c r="C229" s="200"/>
      <c r="D229" s="201"/>
    </row>
    <row r="230" spans="1:4" ht="12" x14ac:dyDescent="0.2">
      <c r="A230" s="198"/>
      <c r="B230" s="199"/>
      <c r="C230" s="200"/>
      <c r="D230" s="201"/>
    </row>
    <row r="231" spans="1:4" ht="12" x14ac:dyDescent="0.2">
      <c r="A231" s="198"/>
      <c r="B231" s="202"/>
      <c r="C231" s="200"/>
      <c r="D231" s="201"/>
    </row>
    <row r="232" spans="1:4" ht="12" x14ac:dyDescent="0.2">
      <c r="A232" s="198"/>
      <c r="B232" s="202"/>
      <c r="C232" s="200"/>
      <c r="D232" s="201"/>
    </row>
    <row r="233" spans="1:4" ht="12" x14ac:dyDescent="0.2">
      <c r="A233" s="198"/>
      <c r="B233" s="199"/>
      <c r="C233" s="200"/>
      <c r="D233" s="201"/>
    </row>
    <row r="234" spans="1:4" ht="12" x14ac:dyDescent="0.2">
      <c r="A234" s="198"/>
      <c r="B234" s="202"/>
      <c r="C234" s="200"/>
      <c r="D234" s="201"/>
    </row>
    <row r="235" spans="1:4" ht="12" x14ac:dyDescent="0.2">
      <c r="A235" s="198"/>
      <c r="B235" s="202"/>
      <c r="C235" s="200"/>
      <c r="D235" s="201"/>
    </row>
    <row r="236" spans="1:4" ht="12" x14ac:dyDescent="0.2">
      <c r="A236" s="198"/>
      <c r="B236" s="199"/>
      <c r="C236" s="200"/>
      <c r="D236" s="201"/>
    </row>
    <row r="237" spans="1:4" ht="12" x14ac:dyDescent="0.2">
      <c r="A237" s="198"/>
      <c r="B237" s="202"/>
      <c r="C237" s="200"/>
      <c r="D237" s="201"/>
    </row>
    <row r="238" spans="1:4" ht="12" x14ac:dyDescent="0.2">
      <c r="A238" s="198"/>
      <c r="B238" s="202"/>
      <c r="C238" s="200"/>
      <c r="D238" s="201"/>
    </row>
    <row r="239" spans="1:4" ht="12" x14ac:dyDescent="0.2">
      <c r="A239" s="198"/>
      <c r="B239" s="199"/>
      <c r="C239" s="200"/>
      <c r="D239" s="201"/>
    </row>
    <row r="240" spans="1:4" ht="12" x14ac:dyDescent="0.2">
      <c r="A240" s="198"/>
      <c r="B240" s="202"/>
      <c r="C240" s="200"/>
      <c r="D240" s="201"/>
    </row>
    <row r="241" spans="1:4" ht="12" x14ac:dyDescent="0.2">
      <c r="A241" s="198"/>
      <c r="B241" s="202"/>
      <c r="C241" s="200"/>
      <c r="D241" s="201"/>
    </row>
    <row r="242" spans="1:4" ht="12" x14ac:dyDescent="0.2">
      <c r="A242" s="198"/>
      <c r="B242" s="199"/>
      <c r="C242" s="200"/>
      <c r="D242" s="201"/>
    </row>
    <row r="243" spans="1:4" ht="12" x14ac:dyDescent="0.2">
      <c r="A243" s="198"/>
      <c r="B243" s="202"/>
      <c r="C243" s="200"/>
      <c r="D243" s="201"/>
    </row>
    <row r="244" spans="1:4" ht="12" x14ac:dyDescent="0.2">
      <c r="A244" s="198"/>
      <c r="B244" s="202"/>
      <c r="C244" s="200"/>
      <c r="D244" s="201"/>
    </row>
    <row r="245" spans="1:4" ht="12" x14ac:dyDescent="0.2">
      <c r="A245" s="198"/>
      <c r="B245" s="199"/>
      <c r="C245" s="200"/>
      <c r="D245" s="201"/>
    </row>
    <row r="246" spans="1:4" ht="12" x14ac:dyDescent="0.2">
      <c r="A246" s="198"/>
      <c r="B246" s="202"/>
      <c r="C246" s="200"/>
      <c r="D246" s="201"/>
    </row>
    <row r="247" spans="1:4" ht="12" x14ac:dyDescent="0.2">
      <c r="A247" s="198"/>
      <c r="B247" s="202"/>
      <c r="C247" s="200"/>
      <c r="D247" s="201"/>
    </row>
    <row r="248" spans="1:4" ht="12" x14ac:dyDescent="0.2">
      <c r="A248" s="198"/>
      <c r="B248" s="199"/>
      <c r="C248" s="200"/>
      <c r="D248" s="201"/>
    </row>
    <row r="249" spans="1:4" ht="12" x14ac:dyDescent="0.2">
      <c r="A249" s="198"/>
      <c r="B249" s="202"/>
      <c r="C249" s="200"/>
      <c r="D249" s="201"/>
    </row>
    <row r="250" spans="1:4" ht="12" x14ac:dyDescent="0.2">
      <c r="A250" s="198"/>
      <c r="B250" s="202"/>
      <c r="C250" s="200"/>
      <c r="D250" s="201"/>
    </row>
    <row r="251" spans="1:4" ht="12" x14ac:dyDescent="0.2">
      <c r="A251" s="198"/>
      <c r="B251" s="199"/>
      <c r="C251" s="200"/>
      <c r="D251" s="201"/>
    </row>
    <row r="252" spans="1:4" ht="12" x14ac:dyDescent="0.2">
      <c r="A252" s="198"/>
      <c r="B252" s="202"/>
      <c r="C252" s="200"/>
      <c r="D252" s="201"/>
    </row>
    <row r="253" spans="1:4" ht="12" x14ac:dyDescent="0.2">
      <c r="A253" s="198"/>
      <c r="B253" s="202"/>
      <c r="C253" s="200"/>
      <c r="D253" s="201"/>
    </row>
    <row r="254" spans="1:4" ht="12" x14ac:dyDescent="0.2">
      <c r="A254" s="198"/>
      <c r="B254" s="199"/>
      <c r="C254" s="200"/>
      <c r="D254" s="201"/>
    </row>
    <row r="255" spans="1:4" ht="12" x14ac:dyDescent="0.2">
      <c r="A255" s="198"/>
      <c r="B255" s="202"/>
      <c r="C255" s="200"/>
      <c r="D255" s="201"/>
    </row>
    <row r="256" spans="1:4" ht="12" x14ac:dyDescent="0.2">
      <c r="A256" s="198"/>
      <c r="B256" s="202"/>
      <c r="C256" s="200"/>
      <c r="D256" s="201"/>
    </row>
    <row r="257" spans="1:4" ht="12" x14ac:dyDescent="0.2">
      <c r="A257" s="198"/>
      <c r="B257" s="199"/>
      <c r="C257" s="200"/>
      <c r="D257" s="201"/>
    </row>
    <row r="258" spans="1:4" ht="12" x14ac:dyDescent="0.2">
      <c r="A258" s="198"/>
      <c r="B258" s="202"/>
      <c r="C258" s="200"/>
      <c r="D258" s="201"/>
    </row>
    <row r="259" spans="1:4" ht="12" x14ac:dyDescent="0.2">
      <c r="A259" s="198"/>
      <c r="B259" s="202"/>
      <c r="C259" s="200"/>
      <c r="D259" s="201"/>
    </row>
    <row r="260" spans="1:4" ht="12" x14ac:dyDescent="0.2">
      <c r="A260" s="198"/>
      <c r="B260" s="199"/>
      <c r="C260" s="200"/>
      <c r="D260" s="201"/>
    </row>
    <row r="261" spans="1:4" ht="12" x14ac:dyDescent="0.2">
      <c r="A261" s="198"/>
      <c r="B261" s="202"/>
      <c r="C261" s="200"/>
      <c r="D261" s="201"/>
    </row>
    <row r="262" spans="1:4" ht="12" x14ac:dyDescent="0.2">
      <c r="A262" s="198"/>
      <c r="B262" s="202"/>
      <c r="C262" s="200"/>
      <c r="D262" s="201"/>
    </row>
    <row r="263" spans="1:4" ht="12" x14ac:dyDescent="0.2">
      <c r="A263" s="198"/>
      <c r="B263" s="199"/>
      <c r="C263" s="200"/>
      <c r="D263" s="201"/>
    </row>
    <row r="264" spans="1:4" ht="12" x14ac:dyDescent="0.2">
      <c r="A264" s="198"/>
      <c r="B264" s="202"/>
      <c r="C264" s="200"/>
      <c r="D264" s="201"/>
    </row>
    <row r="265" spans="1:4" ht="12" x14ac:dyDescent="0.2">
      <c r="A265" s="198"/>
      <c r="B265" s="202"/>
      <c r="C265" s="200"/>
      <c r="D265" s="201"/>
    </row>
    <row r="266" spans="1:4" ht="12" x14ac:dyDescent="0.2">
      <c r="A266" s="198"/>
      <c r="B266" s="199"/>
      <c r="C266" s="200"/>
      <c r="D266" s="201"/>
    </row>
    <row r="267" spans="1:4" ht="12" x14ac:dyDescent="0.2">
      <c r="A267" s="198"/>
      <c r="B267" s="202"/>
      <c r="C267" s="200"/>
      <c r="D267" s="201"/>
    </row>
    <row r="268" spans="1:4" ht="12" x14ac:dyDescent="0.2">
      <c r="A268" s="198"/>
      <c r="B268" s="202"/>
      <c r="C268" s="200"/>
      <c r="D268" s="201"/>
    </row>
    <row r="269" spans="1:4" ht="12" x14ac:dyDescent="0.2">
      <c r="A269" s="198"/>
      <c r="B269" s="199"/>
      <c r="C269" s="200"/>
      <c r="D269" s="201"/>
    </row>
    <row r="270" spans="1:4" ht="12" x14ac:dyDescent="0.2">
      <c r="A270" s="198"/>
      <c r="B270" s="202"/>
      <c r="C270" s="200"/>
      <c r="D270" s="201"/>
    </row>
    <row r="271" spans="1:4" ht="12" x14ac:dyDescent="0.2">
      <c r="A271" s="198"/>
      <c r="B271" s="202"/>
      <c r="C271" s="200"/>
      <c r="D271" s="201"/>
    </row>
    <row r="272" spans="1:4" ht="12" x14ac:dyDescent="0.2">
      <c r="A272" s="198"/>
      <c r="B272" s="199"/>
      <c r="C272" s="200"/>
      <c r="D272" s="201"/>
    </row>
    <row r="273" spans="1:4" ht="12" x14ac:dyDescent="0.2">
      <c r="A273" s="198"/>
      <c r="B273" s="202"/>
      <c r="C273" s="200"/>
      <c r="D273" s="201"/>
    </row>
    <row r="274" spans="1:4" ht="12" x14ac:dyDescent="0.2">
      <c r="A274" s="198"/>
      <c r="B274" s="202"/>
      <c r="C274" s="200"/>
      <c r="D274" s="201"/>
    </row>
    <row r="275" spans="1:4" ht="12" x14ac:dyDescent="0.2">
      <c r="A275" s="198"/>
      <c r="B275" s="199"/>
      <c r="C275" s="200"/>
      <c r="D275" s="201"/>
    </row>
    <row r="276" spans="1:4" ht="12" x14ac:dyDescent="0.2">
      <c r="A276" s="198"/>
      <c r="B276" s="202"/>
      <c r="C276" s="200"/>
      <c r="D276" s="201"/>
    </row>
    <row r="277" spans="1:4" ht="12" x14ac:dyDescent="0.2">
      <c r="A277" s="198"/>
      <c r="B277" s="202"/>
      <c r="C277" s="200"/>
      <c r="D277" s="201"/>
    </row>
    <row r="278" spans="1:4" ht="12" x14ac:dyDescent="0.2">
      <c r="A278" s="198"/>
      <c r="B278" s="199"/>
      <c r="C278" s="200"/>
      <c r="D278" s="201"/>
    </row>
    <row r="279" spans="1:4" ht="12" x14ac:dyDescent="0.2">
      <c r="A279" s="198"/>
      <c r="B279" s="202"/>
      <c r="C279" s="200"/>
      <c r="D279" s="201"/>
    </row>
    <row r="280" spans="1:4" ht="12" x14ac:dyDescent="0.2">
      <c r="A280" s="198"/>
      <c r="B280" s="202"/>
      <c r="C280" s="200"/>
      <c r="D280" s="201"/>
    </row>
    <row r="281" spans="1:4" ht="12" x14ac:dyDescent="0.2">
      <c r="A281" s="198"/>
      <c r="B281" s="199"/>
      <c r="C281" s="200"/>
      <c r="D281" s="201"/>
    </row>
    <row r="282" spans="1:4" ht="12" x14ac:dyDescent="0.2">
      <c r="A282" s="198"/>
      <c r="B282" s="202"/>
      <c r="C282" s="200"/>
      <c r="D282" s="201"/>
    </row>
    <row r="283" spans="1:4" ht="12" x14ac:dyDescent="0.2">
      <c r="A283" s="198"/>
      <c r="B283" s="202"/>
      <c r="C283" s="200"/>
      <c r="D283" s="201"/>
    </row>
    <row r="284" spans="1:4" ht="12" x14ac:dyDescent="0.2">
      <c r="A284" s="198"/>
      <c r="B284" s="199"/>
      <c r="C284" s="200"/>
      <c r="D284" s="201"/>
    </row>
    <row r="285" spans="1:4" ht="12" x14ac:dyDescent="0.2">
      <c r="A285" s="198"/>
      <c r="B285" s="202"/>
      <c r="C285" s="200"/>
      <c r="D285" s="201"/>
    </row>
    <row r="286" spans="1:4" ht="12" x14ac:dyDescent="0.2">
      <c r="A286" s="198"/>
      <c r="B286" s="202"/>
      <c r="C286" s="200"/>
      <c r="D286" s="201"/>
    </row>
    <row r="287" spans="1:4" ht="12" x14ac:dyDescent="0.2">
      <c r="A287" s="198"/>
      <c r="B287" s="199"/>
      <c r="C287" s="200"/>
      <c r="D287" s="201"/>
    </row>
    <row r="288" spans="1:4" ht="12" x14ac:dyDescent="0.2">
      <c r="A288" s="198"/>
      <c r="B288" s="202"/>
      <c r="C288" s="200"/>
      <c r="D288" s="201"/>
    </row>
    <row r="289" spans="1:4" ht="12" x14ac:dyDescent="0.2">
      <c r="A289" s="198"/>
      <c r="B289" s="202"/>
      <c r="C289" s="200"/>
      <c r="D289" s="201"/>
    </row>
    <row r="290" spans="1:4" ht="12" x14ac:dyDescent="0.2">
      <c r="A290" s="198"/>
      <c r="B290" s="199"/>
      <c r="C290" s="200"/>
      <c r="D290" s="201"/>
    </row>
    <row r="291" spans="1:4" ht="12" x14ac:dyDescent="0.2">
      <c r="A291" s="198"/>
      <c r="B291" s="202"/>
      <c r="C291" s="200"/>
      <c r="D291" s="201"/>
    </row>
    <row r="292" spans="1:4" ht="12" x14ac:dyDescent="0.2">
      <c r="A292" s="198"/>
      <c r="B292" s="202"/>
      <c r="C292" s="200"/>
      <c r="D292" s="201"/>
    </row>
    <row r="293" spans="1:4" ht="12" x14ac:dyDescent="0.2">
      <c r="A293" s="198"/>
      <c r="B293" s="199"/>
      <c r="C293" s="200"/>
      <c r="D293" s="201"/>
    </row>
    <row r="294" spans="1:4" ht="12" x14ac:dyDescent="0.2">
      <c r="A294" s="198"/>
      <c r="B294" s="202"/>
      <c r="C294" s="200"/>
      <c r="D294" s="201"/>
    </row>
    <row r="295" spans="1:4" ht="12" x14ac:dyDescent="0.2">
      <c r="A295" s="198"/>
      <c r="B295" s="202"/>
      <c r="C295" s="200"/>
      <c r="D295" s="201"/>
    </row>
    <row r="296" spans="1:4" ht="12" x14ac:dyDescent="0.2">
      <c r="A296" s="198"/>
      <c r="B296" s="199"/>
      <c r="C296" s="200"/>
      <c r="D296" s="201"/>
    </row>
    <row r="297" spans="1:4" ht="12" x14ac:dyDescent="0.2">
      <c r="A297" s="198"/>
      <c r="B297" s="202"/>
      <c r="C297" s="200"/>
      <c r="D297" s="201"/>
    </row>
    <row r="298" spans="1:4" ht="12" x14ac:dyDescent="0.2">
      <c r="A298" s="198"/>
      <c r="B298" s="202"/>
      <c r="C298" s="200"/>
      <c r="D298" s="201"/>
    </row>
    <row r="299" spans="1:4" ht="12" x14ac:dyDescent="0.2">
      <c r="A299" s="198"/>
      <c r="B299" s="199"/>
      <c r="C299" s="200"/>
      <c r="D299" s="201"/>
    </row>
    <row r="300" spans="1:4" ht="12" x14ac:dyDescent="0.2">
      <c r="A300" s="198"/>
      <c r="B300" s="202"/>
      <c r="C300" s="200"/>
      <c r="D300" s="201"/>
    </row>
    <row r="301" spans="1:4" ht="12" x14ac:dyDescent="0.2">
      <c r="A301" s="198"/>
      <c r="B301" s="202"/>
      <c r="C301" s="200"/>
      <c r="D301" s="201"/>
    </row>
    <row r="302" spans="1:4" ht="12" x14ac:dyDescent="0.2">
      <c r="A302" s="198"/>
      <c r="B302" s="199"/>
      <c r="C302" s="200"/>
      <c r="D302" s="201"/>
    </row>
    <row r="303" spans="1:4" ht="12" x14ac:dyDescent="0.2">
      <c r="A303" s="198"/>
      <c r="B303" s="202"/>
      <c r="C303" s="200"/>
      <c r="D303" s="201"/>
    </row>
    <row r="304" spans="1:4" ht="12" x14ac:dyDescent="0.2">
      <c r="A304" s="198"/>
      <c r="B304" s="202"/>
      <c r="C304" s="200"/>
      <c r="D304" s="201"/>
    </row>
    <row r="305" spans="1:4" ht="12" x14ac:dyDescent="0.2">
      <c r="A305" s="198"/>
      <c r="B305" s="199"/>
      <c r="C305" s="200"/>
      <c r="D305" s="201"/>
    </row>
    <row r="306" spans="1:4" ht="12" x14ac:dyDescent="0.2">
      <c r="A306" s="198"/>
      <c r="B306" s="202"/>
      <c r="C306" s="200"/>
      <c r="D306" s="201"/>
    </row>
    <row r="307" spans="1:4" ht="12" x14ac:dyDescent="0.2">
      <c r="A307" s="198"/>
      <c r="B307" s="202"/>
      <c r="C307" s="200"/>
      <c r="D307" s="201"/>
    </row>
    <row r="308" spans="1:4" ht="12" x14ac:dyDescent="0.2">
      <c r="A308" s="198"/>
      <c r="B308" s="199"/>
      <c r="C308" s="200"/>
      <c r="D308" s="201"/>
    </row>
    <row r="309" spans="1:4" ht="12" x14ac:dyDescent="0.2">
      <c r="A309" s="198"/>
      <c r="B309" s="202"/>
      <c r="C309" s="200"/>
      <c r="D309" s="201"/>
    </row>
    <row r="310" spans="1:4" ht="12" x14ac:dyDescent="0.2">
      <c r="A310" s="198"/>
      <c r="B310" s="202"/>
      <c r="C310" s="200"/>
      <c r="D310" s="201"/>
    </row>
    <row r="311" spans="1:4" ht="12" x14ac:dyDescent="0.2">
      <c r="A311" s="198"/>
      <c r="B311" s="199"/>
      <c r="C311" s="200"/>
      <c r="D311" s="201"/>
    </row>
    <row r="312" spans="1:4" ht="12" x14ac:dyDescent="0.2">
      <c r="A312" s="198"/>
      <c r="B312" s="202"/>
      <c r="C312" s="200"/>
      <c r="D312" s="201"/>
    </row>
    <row r="313" spans="1:4" ht="12" x14ac:dyDescent="0.2">
      <c r="A313" s="198"/>
      <c r="B313" s="202"/>
      <c r="C313" s="200"/>
      <c r="D313" s="201"/>
    </row>
    <row r="314" spans="1:4" ht="12" x14ac:dyDescent="0.2">
      <c r="A314" s="198"/>
      <c r="B314" s="199"/>
      <c r="C314" s="200"/>
      <c r="D314" s="201"/>
    </row>
    <row r="315" spans="1:4" ht="12" x14ac:dyDescent="0.2">
      <c r="A315" s="198"/>
      <c r="B315" s="202"/>
      <c r="C315" s="200"/>
      <c r="D315" s="201"/>
    </row>
    <row r="316" spans="1:4" ht="12" x14ac:dyDescent="0.2">
      <c r="A316" s="198"/>
      <c r="B316" s="202"/>
      <c r="C316" s="200"/>
      <c r="D316" s="201"/>
    </row>
    <row r="317" spans="1:4" ht="12" x14ac:dyDescent="0.2">
      <c r="A317" s="198"/>
      <c r="B317" s="199"/>
      <c r="C317" s="200"/>
      <c r="D317" s="201"/>
    </row>
    <row r="318" spans="1:4" ht="12" x14ac:dyDescent="0.2">
      <c r="A318" s="198"/>
      <c r="B318" s="202"/>
      <c r="C318" s="200"/>
      <c r="D318" s="201"/>
    </row>
    <row r="319" spans="1:4" ht="12" x14ac:dyDescent="0.2">
      <c r="A319" s="198"/>
      <c r="B319" s="202"/>
      <c r="C319" s="200"/>
      <c r="D319" s="201"/>
    </row>
    <row r="320" spans="1:4" ht="12" x14ac:dyDescent="0.2">
      <c r="A320" s="198"/>
      <c r="B320" s="199"/>
      <c r="C320" s="200"/>
      <c r="D320" s="201"/>
    </row>
    <row r="321" spans="1:4" ht="12" x14ac:dyDescent="0.2">
      <c r="A321" s="198"/>
      <c r="B321" s="202"/>
      <c r="C321" s="200"/>
      <c r="D321" s="201"/>
    </row>
    <row r="322" spans="1:4" ht="12" x14ac:dyDescent="0.2">
      <c r="A322" s="198"/>
      <c r="B322" s="202"/>
      <c r="C322" s="200"/>
      <c r="D322" s="201"/>
    </row>
    <row r="323" spans="1:4" ht="12" x14ac:dyDescent="0.2">
      <c r="A323" s="198"/>
      <c r="B323" s="199"/>
      <c r="C323" s="200"/>
      <c r="D323" s="201"/>
    </row>
    <row r="324" spans="1:4" ht="12" x14ac:dyDescent="0.2">
      <c r="A324" s="198"/>
      <c r="B324" s="202"/>
      <c r="C324" s="200"/>
      <c r="D324" s="201"/>
    </row>
    <row r="325" spans="1:4" ht="12" x14ac:dyDescent="0.2">
      <c r="A325" s="198"/>
      <c r="B325" s="202"/>
      <c r="C325" s="200"/>
      <c r="D325" s="201"/>
    </row>
    <row r="326" spans="1:4" ht="12" x14ac:dyDescent="0.2">
      <c r="A326" s="198"/>
      <c r="B326" s="199"/>
      <c r="C326" s="200"/>
      <c r="D326" s="201"/>
    </row>
    <row r="327" spans="1:4" ht="12" x14ac:dyDescent="0.2">
      <c r="A327" s="198"/>
      <c r="B327" s="202"/>
      <c r="C327" s="200"/>
      <c r="D327" s="201"/>
    </row>
    <row r="328" spans="1:4" ht="12" x14ac:dyDescent="0.2">
      <c r="A328" s="198"/>
      <c r="B328" s="202"/>
      <c r="C328" s="200"/>
      <c r="D328" s="201"/>
    </row>
    <row r="329" spans="1:4" ht="12" x14ac:dyDescent="0.2">
      <c r="A329" s="198"/>
      <c r="B329" s="199"/>
      <c r="C329" s="200"/>
      <c r="D329" s="201"/>
    </row>
    <row r="330" spans="1:4" ht="12" x14ac:dyDescent="0.2">
      <c r="A330" s="198"/>
      <c r="B330" s="202"/>
      <c r="C330" s="200"/>
      <c r="D330" s="201"/>
    </row>
    <row r="331" spans="1:4" ht="12" x14ac:dyDescent="0.2">
      <c r="A331" s="198"/>
      <c r="B331" s="202"/>
      <c r="C331" s="200"/>
      <c r="D331" s="201"/>
    </row>
    <row r="332" spans="1:4" ht="12" x14ac:dyDescent="0.2">
      <c r="A332" s="198"/>
      <c r="B332" s="199"/>
      <c r="C332" s="200"/>
      <c r="D332" s="201"/>
    </row>
    <row r="333" spans="1:4" ht="12" x14ac:dyDescent="0.2">
      <c r="A333" s="198"/>
      <c r="B333" s="202"/>
      <c r="C333" s="200"/>
      <c r="D333" s="201"/>
    </row>
    <row r="334" spans="1:4" ht="12" x14ac:dyDescent="0.2">
      <c r="A334" s="198"/>
      <c r="B334" s="202"/>
      <c r="C334" s="200"/>
      <c r="D334" s="201"/>
    </row>
    <row r="335" spans="1:4" ht="12" x14ac:dyDescent="0.2">
      <c r="A335" s="198"/>
      <c r="B335" s="199"/>
      <c r="C335" s="200"/>
      <c r="D335" s="201"/>
    </row>
    <row r="336" spans="1:4" ht="12" x14ac:dyDescent="0.2">
      <c r="A336" s="198"/>
      <c r="B336" s="202"/>
      <c r="C336" s="200"/>
      <c r="D336" s="201"/>
    </row>
    <row r="337" spans="1:4" ht="12" x14ac:dyDescent="0.2">
      <c r="A337" s="198"/>
      <c r="B337" s="202"/>
      <c r="C337" s="200"/>
      <c r="D337" s="201"/>
    </row>
    <row r="338" spans="1:4" ht="12" x14ac:dyDescent="0.2">
      <c r="A338" s="198"/>
      <c r="B338" s="199"/>
      <c r="C338" s="200"/>
      <c r="D338" s="201"/>
    </row>
    <row r="339" spans="1:4" ht="12" x14ac:dyDescent="0.2">
      <c r="A339" s="198"/>
      <c r="B339" s="202"/>
      <c r="C339" s="200"/>
      <c r="D339" s="201"/>
    </row>
    <row r="340" spans="1:4" ht="12" x14ac:dyDescent="0.2">
      <c r="A340" s="198"/>
      <c r="B340" s="202"/>
      <c r="C340" s="200"/>
      <c r="D340" s="201"/>
    </row>
    <row r="341" spans="1:4" ht="12" x14ac:dyDescent="0.2">
      <c r="A341" s="198"/>
      <c r="B341" s="199"/>
      <c r="C341" s="200"/>
      <c r="D341" s="201"/>
    </row>
    <row r="342" spans="1:4" ht="12" x14ac:dyDescent="0.2">
      <c r="A342" s="198"/>
      <c r="B342" s="202"/>
      <c r="C342" s="200"/>
      <c r="D342" s="201"/>
    </row>
    <row r="343" spans="1:4" ht="12" x14ac:dyDescent="0.2">
      <c r="A343" s="198"/>
      <c r="B343" s="202"/>
      <c r="C343" s="200"/>
      <c r="D343" s="201"/>
    </row>
    <row r="344" spans="1:4" ht="12" x14ac:dyDescent="0.2">
      <c r="A344" s="198"/>
      <c r="B344" s="199"/>
      <c r="C344" s="200"/>
      <c r="D344" s="201"/>
    </row>
    <row r="345" spans="1:4" ht="12" x14ac:dyDescent="0.2">
      <c r="A345" s="198"/>
      <c r="B345" s="202"/>
      <c r="C345" s="200"/>
      <c r="D345" s="201"/>
    </row>
    <row r="346" spans="1:4" ht="12" x14ac:dyDescent="0.2">
      <c r="A346" s="198"/>
      <c r="B346" s="202"/>
      <c r="C346" s="200"/>
      <c r="D346" s="201"/>
    </row>
    <row r="347" spans="1:4" ht="12" x14ac:dyDescent="0.2">
      <c r="A347" s="198"/>
      <c r="B347" s="199"/>
      <c r="C347" s="200"/>
      <c r="D347" s="201"/>
    </row>
    <row r="348" spans="1:4" ht="12" x14ac:dyDescent="0.2">
      <c r="A348" s="198"/>
      <c r="B348" s="202"/>
      <c r="C348" s="200"/>
      <c r="D348" s="201"/>
    </row>
    <row r="349" spans="1:4" ht="12" x14ac:dyDescent="0.2">
      <c r="A349" s="198"/>
      <c r="B349" s="202"/>
      <c r="C349" s="200"/>
      <c r="D349" s="201"/>
    </row>
    <row r="350" spans="1:4" ht="12" x14ac:dyDescent="0.2">
      <c r="A350" s="198"/>
      <c r="B350" s="199"/>
      <c r="C350" s="200"/>
      <c r="D350" s="201"/>
    </row>
    <row r="351" spans="1:4" ht="12" x14ac:dyDescent="0.2">
      <c r="A351" s="198"/>
      <c r="B351" s="202"/>
      <c r="C351" s="200"/>
      <c r="D351" s="201"/>
    </row>
    <row r="352" spans="1:4" ht="12" x14ac:dyDescent="0.2">
      <c r="A352" s="198"/>
      <c r="B352" s="202"/>
      <c r="C352" s="200"/>
      <c r="D352" s="201"/>
    </row>
    <row r="353" spans="1:4" ht="12" x14ac:dyDescent="0.2">
      <c r="A353" s="198"/>
      <c r="B353" s="199"/>
      <c r="C353" s="200"/>
      <c r="D353" s="201"/>
    </row>
    <row r="354" spans="1:4" ht="12" x14ac:dyDescent="0.2">
      <c r="A354" s="198"/>
      <c r="B354" s="202"/>
      <c r="C354" s="200"/>
      <c r="D354" s="201"/>
    </row>
    <row r="355" spans="1:4" ht="12" x14ac:dyDescent="0.2">
      <c r="A355" s="198"/>
      <c r="B355" s="202"/>
      <c r="C355" s="200"/>
      <c r="D355" s="201"/>
    </row>
    <row r="356" spans="1:4" ht="12" x14ac:dyDescent="0.2">
      <c r="A356" s="198"/>
      <c r="B356" s="199"/>
      <c r="C356" s="200"/>
      <c r="D356" s="201"/>
    </row>
    <row r="357" spans="1:4" ht="12" x14ac:dyDescent="0.2">
      <c r="A357" s="198"/>
      <c r="B357" s="202"/>
      <c r="C357" s="200"/>
      <c r="D357" s="201"/>
    </row>
    <row r="358" spans="1:4" ht="12" x14ac:dyDescent="0.2">
      <c r="A358" s="198"/>
      <c r="B358" s="202"/>
      <c r="C358" s="200"/>
      <c r="D358" s="201"/>
    </row>
    <row r="359" spans="1:4" ht="12" x14ac:dyDescent="0.2">
      <c r="A359" s="198"/>
      <c r="B359" s="199"/>
      <c r="C359" s="200"/>
      <c r="D359" s="201"/>
    </row>
    <row r="360" spans="1:4" ht="12" x14ac:dyDescent="0.2">
      <c r="A360" s="198"/>
      <c r="B360" s="202"/>
      <c r="C360" s="200"/>
      <c r="D360" s="201"/>
    </row>
    <row r="361" spans="1:4" ht="12" x14ac:dyDescent="0.2">
      <c r="A361" s="198"/>
      <c r="B361" s="202"/>
      <c r="C361" s="200"/>
      <c r="D361" s="201"/>
    </row>
    <row r="362" spans="1:4" ht="12" x14ac:dyDescent="0.2">
      <c r="A362" s="198"/>
      <c r="B362" s="199"/>
      <c r="C362" s="200"/>
      <c r="D362" s="201"/>
    </row>
    <row r="363" spans="1:4" ht="12" x14ac:dyDescent="0.2">
      <c r="A363" s="198"/>
      <c r="B363" s="202"/>
      <c r="C363" s="200"/>
      <c r="D363" s="201"/>
    </row>
    <row r="364" spans="1:4" ht="12" x14ac:dyDescent="0.2">
      <c r="A364" s="198"/>
      <c r="B364" s="202"/>
      <c r="C364" s="200"/>
      <c r="D364" s="201"/>
    </row>
    <row r="365" spans="1:4" ht="12" x14ac:dyDescent="0.2">
      <c r="A365" s="198"/>
      <c r="B365" s="199"/>
      <c r="C365" s="200"/>
      <c r="D365" s="201"/>
    </row>
    <row r="366" spans="1:4" ht="12" x14ac:dyDescent="0.2">
      <c r="A366" s="198"/>
      <c r="B366" s="202"/>
      <c r="C366" s="200"/>
      <c r="D366" s="201"/>
    </row>
    <row r="367" spans="1:4" ht="12" x14ac:dyDescent="0.2">
      <c r="A367" s="198"/>
      <c r="B367" s="202"/>
      <c r="C367" s="200"/>
      <c r="D367" s="201"/>
    </row>
    <row r="368" spans="1:4" ht="12" x14ac:dyDescent="0.2">
      <c r="A368" s="198"/>
      <c r="B368" s="199"/>
      <c r="C368" s="200"/>
      <c r="D368" s="201"/>
    </row>
    <row r="369" spans="1:4" ht="12" x14ac:dyDescent="0.2">
      <c r="A369" s="198"/>
      <c r="B369" s="202"/>
      <c r="C369" s="200"/>
      <c r="D369" s="201"/>
    </row>
    <row r="370" spans="1:4" ht="12" x14ac:dyDescent="0.2">
      <c r="A370" s="198"/>
      <c r="B370" s="202"/>
      <c r="C370" s="200"/>
      <c r="D370" s="201"/>
    </row>
    <row r="371" spans="1:4" ht="12" x14ac:dyDescent="0.2">
      <c r="A371" s="198"/>
      <c r="B371" s="199"/>
      <c r="C371" s="200"/>
      <c r="D371" s="201"/>
    </row>
    <row r="372" spans="1:4" ht="12" x14ac:dyDescent="0.2">
      <c r="A372" s="198"/>
      <c r="B372" s="202"/>
      <c r="C372" s="200"/>
      <c r="D372" s="201"/>
    </row>
    <row r="373" spans="1:4" ht="12" x14ac:dyDescent="0.2">
      <c r="A373" s="198"/>
      <c r="B373" s="202"/>
      <c r="C373" s="200"/>
      <c r="D373" s="201"/>
    </row>
    <row r="374" spans="1:4" ht="12" x14ac:dyDescent="0.2">
      <c r="A374" s="198"/>
      <c r="B374" s="199"/>
      <c r="C374" s="200"/>
      <c r="D374" s="201"/>
    </row>
    <row r="375" spans="1:4" ht="12" x14ac:dyDescent="0.2">
      <c r="A375" s="198"/>
      <c r="B375" s="202"/>
      <c r="C375" s="200"/>
      <c r="D375" s="201"/>
    </row>
    <row r="376" spans="1:4" ht="12" x14ac:dyDescent="0.2">
      <c r="A376" s="198"/>
      <c r="B376" s="202"/>
      <c r="C376" s="200"/>
      <c r="D376" s="201"/>
    </row>
    <row r="377" spans="1:4" ht="12" x14ac:dyDescent="0.2">
      <c r="A377" s="198"/>
      <c r="B377" s="199"/>
      <c r="C377" s="200"/>
      <c r="D377" s="201"/>
    </row>
    <row r="378" spans="1:4" ht="12" x14ac:dyDescent="0.2">
      <c r="A378" s="198"/>
      <c r="B378" s="202"/>
      <c r="C378" s="200"/>
      <c r="D378" s="201"/>
    </row>
    <row r="379" spans="1:4" ht="12" x14ac:dyDescent="0.2">
      <c r="A379" s="198"/>
      <c r="B379" s="202"/>
      <c r="C379" s="200"/>
      <c r="D379" s="201"/>
    </row>
    <row r="380" spans="1:4" ht="12" x14ac:dyDescent="0.2">
      <c r="A380" s="198"/>
      <c r="B380" s="199"/>
      <c r="C380" s="200"/>
      <c r="D380" s="201"/>
    </row>
    <row r="381" spans="1:4" ht="12" x14ac:dyDescent="0.2">
      <c r="A381" s="198"/>
      <c r="B381" s="202"/>
      <c r="C381" s="200"/>
      <c r="D381" s="201"/>
    </row>
    <row r="382" spans="1:4" ht="12" x14ac:dyDescent="0.2">
      <c r="A382" s="198"/>
      <c r="B382" s="202"/>
      <c r="C382" s="200"/>
      <c r="D382" s="201"/>
    </row>
    <row r="383" spans="1:4" ht="12" x14ac:dyDescent="0.2">
      <c r="A383" s="198"/>
      <c r="B383" s="199"/>
      <c r="C383" s="200"/>
      <c r="D383" s="201"/>
    </row>
    <row r="384" spans="1:4" ht="12" x14ac:dyDescent="0.2">
      <c r="A384" s="198"/>
      <c r="B384" s="202"/>
      <c r="C384" s="200"/>
      <c r="D384" s="201"/>
    </row>
    <row r="385" spans="1:4" ht="12" x14ac:dyDescent="0.2">
      <c r="A385" s="198"/>
      <c r="B385" s="202"/>
      <c r="C385" s="200"/>
      <c r="D385" s="201"/>
    </row>
    <row r="386" spans="1:4" ht="12" x14ac:dyDescent="0.2">
      <c r="A386" s="198"/>
      <c r="B386" s="199"/>
      <c r="C386" s="200"/>
      <c r="D386" s="201"/>
    </row>
    <row r="387" spans="1:4" ht="12" x14ac:dyDescent="0.2">
      <c r="A387" s="198"/>
      <c r="B387" s="202"/>
      <c r="C387" s="200"/>
      <c r="D387" s="201"/>
    </row>
    <row r="388" spans="1:4" ht="12" x14ac:dyDescent="0.2">
      <c r="A388" s="198"/>
      <c r="B388" s="202"/>
      <c r="C388" s="200"/>
      <c r="D388" s="201"/>
    </row>
    <row r="389" spans="1:4" ht="12" x14ac:dyDescent="0.2">
      <c r="A389" s="198"/>
      <c r="B389" s="199"/>
      <c r="C389" s="200"/>
      <c r="D389" s="201"/>
    </row>
    <row r="390" spans="1:4" ht="12" x14ac:dyDescent="0.2">
      <c r="A390" s="198"/>
      <c r="B390" s="202"/>
      <c r="C390" s="200"/>
      <c r="D390" s="201"/>
    </row>
    <row r="391" spans="1:4" ht="12" x14ac:dyDescent="0.2">
      <c r="A391" s="198"/>
      <c r="B391" s="202"/>
      <c r="C391" s="200"/>
      <c r="D391" s="201"/>
    </row>
    <row r="392" spans="1:4" x14ac:dyDescent="0.2">
      <c r="A392" s="178"/>
      <c r="C392" s="178"/>
    </row>
    <row r="393" spans="1:4" x14ac:dyDescent="0.2">
      <c r="A393" s="178"/>
      <c r="C393" s="178"/>
    </row>
    <row r="394" spans="1:4" x14ac:dyDescent="0.2">
      <c r="A394" s="178"/>
      <c r="C394" s="178"/>
    </row>
    <row r="395" spans="1:4" x14ac:dyDescent="0.2">
      <c r="A395" s="178"/>
      <c r="C395" s="178"/>
    </row>
    <row r="396" spans="1:4" x14ac:dyDescent="0.2">
      <c r="A396" s="178"/>
      <c r="C396" s="178"/>
    </row>
    <row r="397" spans="1:4" x14ac:dyDescent="0.2">
      <c r="A397" s="178"/>
      <c r="C397" s="178"/>
    </row>
    <row r="398" spans="1:4" x14ac:dyDescent="0.2">
      <c r="A398" s="178"/>
      <c r="C398" s="178"/>
    </row>
    <row r="399" spans="1:4" x14ac:dyDescent="0.2">
      <c r="A399" s="178"/>
      <c r="C399" s="178"/>
    </row>
    <row r="400" spans="1:4" x14ac:dyDescent="0.2">
      <c r="A400" s="178"/>
      <c r="B400" s="196"/>
      <c r="C400" s="178"/>
    </row>
    <row r="401" spans="2:2" s="178" customFormat="1" x14ac:dyDescent="0.2">
      <c r="B401" s="196"/>
    </row>
    <row r="402" spans="2:2" s="178" customFormat="1" x14ac:dyDescent="0.2">
      <c r="B402" s="196"/>
    </row>
    <row r="403" spans="2:2" s="178" customFormat="1" x14ac:dyDescent="0.2">
      <c r="B403" s="196"/>
    </row>
    <row r="404" spans="2:2" s="178" customFormat="1" x14ac:dyDescent="0.2">
      <c r="B404" s="196"/>
    </row>
    <row r="405" spans="2:2" s="178" customFormat="1" x14ac:dyDescent="0.2">
      <c r="B405" s="196"/>
    </row>
    <row r="406" spans="2:2" s="178" customFormat="1" x14ac:dyDescent="0.2">
      <c r="B406" s="196"/>
    </row>
    <row r="407" spans="2:2" s="178" customFormat="1" x14ac:dyDescent="0.2">
      <c r="B407" s="196"/>
    </row>
    <row r="408" spans="2:2" s="178" customFormat="1" x14ac:dyDescent="0.2">
      <c r="B408" s="196"/>
    </row>
    <row r="409" spans="2:2" s="178" customFormat="1" x14ac:dyDescent="0.2">
      <c r="B409" s="196"/>
    </row>
    <row r="410" spans="2:2" s="178" customFormat="1" x14ac:dyDescent="0.2">
      <c r="B410" s="196"/>
    </row>
    <row r="411" spans="2:2" s="178" customFormat="1" x14ac:dyDescent="0.2">
      <c r="B411" s="196"/>
    </row>
    <row r="412" spans="2:2" s="178" customFormat="1" x14ac:dyDescent="0.2"/>
    <row r="413" spans="2:2" s="178" customFormat="1" x14ac:dyDescent="0.2"/>
    <row r="414" spans="2:2" s="178" customFormat="1" x14ac:dyDescent="0.2"/>
    <row r="415" spans="2:2" s="178" customFormat="1" x14ac:dyDescent="0.2"/>
    <row r="416" spans="2:2" s="178" customFormat="1" x14ac:dyDescent="0.2"/>
    <row r="417" s="178" customFormat="1" x14ac:dyDescent="0.2"/>
    <row r="418" s="178" customFormat="1" x14ac:dyDescent="0.2"/>
    <row r="419" s="178" customFormat="1" x14ac:dyDescent="0.2"/>
    <row r="420" s="178" customFormat="1" x14ac:dyDescent="0.2"/>
    <row r="421" s="178" customFormat="1" x14ac:dyDescent="0.2"/>
    <row r="422" s="178" customFormat="1" x14ac:dyDescent="0.2"/>
    <row r="423" s="178" customFormat="1" x14ac:dyDescent="0.2"/>
    <row r="424" s="178" customFormat="1" x14ac:dyDescent="0.2"/>
    <row r="425" s="178" customFormat="1" x14ac:dyDescent="0.2"/>
    <row r="426" s="178" customFormat="1" x14ac:dyDescent="0.2"/>
    <row r="427" s="178" customFormat="1" x14ac:dyDescent="0.2"/>
    <row r="428" s="178" customFormat="1" x14ac:dyDescent="0.2"/>
    <row r="429" s="178" customFormat="1" x14ac:dyDescent="0.2"/>
    <row r="430" s="178" customFormat="1" x14ac:dyDescent="0.2"/>
    <row r="431" s="178" customFormat="1" x14ac:dyDescent="0.2"/>
    <row r="432" s="178" customFormat="1" x14ac:dyDescent="0.2"/>
    <row r="433" s="178" customFormat="1" x14ac:dyDescent="0.2"/>
    <row r="434" s="178" customFormat="1" x14ac:dyDescent="0.2"/>
    <row r="435" s="178" customFormat="1" x14ac:dyDescent="0.2"/>
    <row r="436" s="178" customFormat="1" x14ac:dyDescent="0.2"/>
    <row r="437" s="178" customFormat="1" x14ac:dyDescent="0.2"/>
    <row r="438" s="178" customFormat="1" x14ac:dyDescent="0.2"/>
    <row r="439" s="178" customFormat="1" x14ac:dyDescent="0.2"/>
    <row r="440" s="178" customFormat="1" x14ac:dyDescent="0.2"/>
    <row r="441" s="178" customFormat="1" x14ac:dyDescent="0.2"/>
    <row r="442" s="178" customFormat="1" x14ac:dyDescent="0.2"/>
    <row r="443" s="178" customFormat="1" x14ac:dyDescent="0.2"/>
    <row r="444" s="178" customFormat="1" x14ac:dyDescent="0.2"/>
    <row r="445" s="178" customFormat="1" x14ac:dyDescent="0.2"/>
    <row r="446" s="178" customFormat="1" x14ac:dyDescent="0.2"/>
    <row r="447" s="178" customFormat="1" x14ac:dyDescent="0.2"/>
    <row r="448" s="178" customFormat="1" x14ac:dyDescent="0.2"/>
    <row r="449" s="178" customFormat="1" x14ac:dyDescent="0.2"/>
    <row r="450" s="178" customFormat="1" x14ac:dyDescent="0.2"/>
    <row r="451" s="178" customFormat="1" x14ac:dyDescent="0.2"/>
    <row r="452" s="178" customFormat="1" x14ac:dyDescent="0.2"/>
    <row r="453" s="178" customFormat="1" x14ac:dyDescent="0.2"/>
    <row r="454" s="178" customFormat="1" x14ac:dyDescent="0.2"/>
    <row r="455" s="178" customFormat="1" x14ac:dyDescent="0.2"/>
    <row r="456" s="178" customFormat="1" x14ac:dyDescent="0.2"/>
    <row r="457" s="178" customFormat="1" x14ac:dyDescent="0.2"/>
    <row r="458" s="178" customFormat="1" x14ac:dyDescent="0.2"/>
    <row r="459" s="178" customFormat="1" x14ac:dyDescent="0.2"/>
    <row r="460" s="178" customFormat="1" x14ac:dyDescent="0.2"/>
    <row r="461" s="178" customFormat="1" x14ac:dyDescent="0.2"/>
    <row r="462" s="178" customFormat="1" x14ac:dyDescent="0.2"/>
    <row r="463" s="178" customFormat="1" x14ac:dyDescent="0.2"/>
    <row r="464" s="178" customFormat="1" x14ac:dyDescent="0.2"/>
    <row r="465" s="178" customFormat="1" x14ac:dyDescent="0.2"/>
    <row r="466" s="178" customFormat="1" x14ac:dyDescent="0.2"/>
    <row r="467" s="178" customFormat="1" x14ac:dyDescent="0.2"/>
    <row r="468" s="178" customFormat="1" x14ac:dyDescent="0.2"/>
    <row r="469" s="178" customFormat="1" x14ac:dyDescent="0.2"/>
    <row r="470" s="178" customFormat="1" x14ac:dyDescent="0.2"/>
    <row r="471" s="178" customFormat="1" x14ac:dyDescent="0.2"/>
    <row r="472" s="178" customFormat="1" x14ac:dyDescent="0.2"/>
    <row r="473" s="178" customFormat="1" x14ac:dyDescent="0.2"/>
    <row r="474" s="178" customFormat="1" x14ac:dyDescent="0.2"/>
    <row r="475" s="178" customFormat="1" x14ac:dyDescent="0.2"/>
    <row r="476" s="178" customFormat="1" x14ac:dyDescent="0.2"/>
    <row r="477" s="178" customFormat="1" x14ac:dyDescent="0.2"/>
    <row r="478" s="178" customFormat="1" x14ac:dyDescent="0.2"/>
    <row r="479" s="178" customFormat="1" x14ac:dyDescent="0.2"/>
    <row r="480" s="178" customFormat="1" x14ac:dyDescent="0.2"/>
    <row r="481" s="178" customFormat="1" x14ac:dyDescent="0.2"/>
    <row r="482" s="178" customFormat="1" x14ac:dyDescent="0.2"/>
    <row r="483" s="178" customFormat="1" x14ac:dyDescent="0.2"/>
    <row r="484" s="178" customFormat="1" x14ac:dyDescent="0.2"/>
    <row r="485" s="178" customFormat="1" x14ac:dyDescent="0.2"/>
    <row r="486" s="178" customFormat="1" x14ac:dyDescent="0.2"/>
    <row r="487" s="178" customFormat="1" x14ac:dyDescent="0.2"/>
    <row r="488" s="178" customFormat="1" x14ac:dyDescent="0.2"/>
    <row r="489" s="178" customFormat="1" x14ac:dyDescent="0.2"/>
    <row r="490" s="178" customFormat="1" x14ac:dyDescent="0.2"/>
    <row r="491" s="178" customFormat="1" x14ac:dyDescent="0.2"/>
    <row r="492" s="178" customFormat="1" x14ac:dyDescent="0.2"/>
    <row r="493" s="178" customFormat="1" x14ac:dyDescent="0.2"/>
    <row r="494" s="178" customFormat="1" x14ac:dyDescent="0.2"/>
    <row r="495" s="178" customFormat="1" x14ac:dyDescent="0.2"/>
    <row r="496" s="178" customFormat="1" x14ac:dyDescent="0.2"/>
    <row r="497" s="178" customFormat="1" x14ac:dyDescent="0.2"/>
    <row r="498" s="178" customFormat="1" x14ac:dyDescent="0.2"/>
    <row r="499" s="178" customFormat="1" x14ac:dyDescent="0.2"/>
    <row r="500" s="178" customFormat="1" x14ac:dyDescent="0.2"/>
    <row r="501" s="178" customFormat="1" x14ac:dyDescent="0.2"/>
    <row r="502" s="178" customFormat="1" x14ac:dyDescent="0.2"/>
    <row r="503" s="178" customFormat="1" x14ac:dyDescent="0.2"/>
    <row r="504" s="178" customFormat="1" x14ac:dyDescent="0.2"/>
    <row r="505" s="178" customFormat="1" x14ac:dyDescent="0.2"/>
    <row r="506" s="178" customFormat="1" x14ac:dyDescent="0.2"/>
    <row r="507" s="178" customFormat="1" x14ac:dyDescent="0.2"/>
    <row r="508" s="178" customFormat="1" x14ac:dyDescent="0.2"/>
    <row r="509" s="178" customFormat="1" x14ac:dyDescent="0.2"/>
    <row r="510" s="178" customFormat="1" x14ac:dyDescent="0.2"/>
    <row r="511" s="178" customFormat="1" x14ac:dyDescent="0.2"/>
    <row r="512" s="178" customFormat="1" x14ac:dyDescent="0.2"/>
    <row r="513" s="178" customFormat="1" x14ac:dyDescent="0.2"/>
    <row r="514" s="178" customFormat="1" x14ac:dyDescent="0.2"/>
    <row r="515" s="178" customFormat="1" x14ac:dyDescent="0.2"/>
    <row r="516" s="178" customFormat="1" x14ac:dyDescent="0.2"/>
    <row r="517" s="178" customFormat="1" x14ac:dyDescent="0.2"/>
    <row r="518" s="178" customFormat="1" x14ac:dyDescent="0.2"/>
    <row r="519" s="178" customFormat="1" x14ac:dyDescent="0.2"/>
    <row r="520" s="178" customFormat="1" x14ac:dyDescent="0.2"/>
    <row r="521" s="178" customFormat="1" x14ac:dyDescent="0.2"/>
    <row r="522" s="178" customFormat="1" x14ac:dyDescent="0.2"/>
    <row r="523" s="178" customFormat="1" x14ac:dyDescent="0.2"/>
    <row r="524" s="178" customFormat="1" x14ac:dyDescent="0.2"/>
    <row r="525" s="178" customFormat="1" x14ac:dyDescent="0.2"/>
    <row r="526" s="178" customFormat="1" x14ac:dyDescent="0.2"/>
    <row r="527" s="178" customFormat="1" x14ac:dyDescent="0.2"/>
    <row r="528" s="178" customFormat="1" x14ac:dyDescent="0.2"/>
    <row r="529" s="178" customFormat="1" x14ac:dyDescent="0.2"/>
    <row r="530" s="178" customFormat="1" x14ac:dyDescent="0.2"/>
    <row r="531" s="178" customFormat="1" x14ac:dyDescent="0.2"/>
    <row r="532" s="178" customFormat="1" x14ac:dyDescent="0.2"/>
    <row r="533" s="178" customFormat="1" x14ac:dyDescent="0.2"/>
    <row r="534" s="178" customFormat="1" x14ac:dyDescent="0.2"/>
    <row r="535" s="178" customFormat="1" x14ac:dyDescent="0.2"/>
    <row r="536" s="178" customFormat="1" x14ac:dyDescent="0.2"/>
    <row r="537" s="178" customFormat="1" x14ac:dyDescent="0.2"/>
    <row r="538" s="178" customFormat="1" x14ac:dyDescent="0.2"/>
    <row r="539" s="178" customFormat="1" x14ac:dyDescent="0.2"/>
    <row r="540" s="178" customFormat="1" x14ac:dyDescent="0.2"/>
    <row r="541" s="178" customFormat="1" x14ac:dyDescent="0.2"/>
    <row r="542" s="178" customFormat="1" x14ac:dyDescent="0.2"/>
    <row r="543" s="178" customFormat="1" x14ac:dyDescent="0.2"/>
    <row r="544" s="178" customFormat="1" x14ac:dyDescent="0.2"/>
    <row r="545" s="178" customFormat="1" x14ac:dyDescent="0.2"/>
    <row r="546" s="178" customFormat="1" x14ac:dyDescent="0.2"/>
    <row r="547" s="178" customFormat="1" x14ac:dyDescent="0.2"/>
    <row r="548" s="178" customFormat="1" x14ac:dyDescent="0.2"/>
    <row r="549" s="178" customFormat="1" x14ac:dyDescent="0.2"/>
    <row r="550" s="178" customFormat="1" x14ac:dyDescent="0.2"/>
    <row r="551" s="178" customFormat="1" x14ac:dyDescent="0.2"/>
    <row r="552" s="178" customFormat="1" x14ac:dyDescent="0.2"/>
    <row r="553" s="178" customFormat="1" x14ac:dyDescent="0.2"/>
    <row r="554" s="178" customFormat="1" x14ac:dyDescent="0.2"/>
    <row r="555" s="178" customFormat="1" x14ac:dyDescent="0.2"/>
    <row r="556" s="178" customFormat="1" x14ac:dyDescent="0.2"/>
    <row r="557" s="178" customFormat="1" x14ac:dyDescent="0.2"/>
    <row r="558" s="178" customFormat="1" x14ac:dyDescent="0.2"/>
    <row r="559" s="178" customFormat="1" x14ac:dyDescent="0.2"/>
    <row r="560" s="178" customFormat="1" x14ac:dyDescent="0.2"/>
    <row r="561" s="178" customFormat="1" x14ac:dyDescent="0.2"/>
    <row r="562" s="178" customFormat="1" x14ac:dyDescent="0.2"/>
    <row r="563" s="178" customFormat="1" x14ac:dyDescent="0.2"/>
    <row r="564" s="178" customFormat="1" x14ac:dyDescent="0.2"/>
    <row r="565" s="178" customFormat="1" x14ac:dyDescent="0.2"/>
    <row r="566" s="178" customFormat="1" x14ac:dyDescent="0.2"/>
    <row r="567" s="178" customFormat="1" x14ac:dyDescent="0.2"/>
    <row r="568" s="178" customFormat="1" x14ac:dyDescent="0.2"/>
    <row r="569" s="178" customFormat="1" x14ac:dyDescent="0.2"/>
    <row r="570" s="178" customFormat="1" x14ac:dyDescent="0.2"/>
    <row r="571" s="178" customFormat="1" x14ac:dyDescent="0.2"/>
    <row r="572" s="178" customFormat="1" x14ac:dyDescent="0.2"/>
    <row r="573" s="178" customFormat="1" x14ac:dyDescent="0.2"/>
    <row r="574" s="178" customFormat="1" x14ac:dyDescent="0.2"/>
    <row r="575" s="178" customFormat="1" x14ac:dyDescent="0.2"/>
    <row r="576" s="178" customFormat="1" x14ac:dyDescent="0.2"/>
    <row r="577" s="178" customFormat="1" x14ac:dyDescent="0.2"/>
    <row r="578" s="178" customFormat="1" x14ac:dyDescent="0.2"/>
    <row r="579" s="178" customFormat="1" x14ac:dyDescent="0.2"/>
    <row r="580" s="178" customFormat="1" x14ac:dyDescent="0.2"/>
    <row r="581" s="178" customFormat="1" x14ac:dyDescent="0.2"/>
    <row r="582" s="178" customFormat="1" x14ac:dyDescent="0.2"/>
    <row r="583" s="178" customFormat="1" x14ac:dyDescent="0.2"/>
    <row r="584" s="178" customFormat="1" x14ac:dyDescent="0.2"/>
    <row r="585" s="178" customFormat="1" x14ac:dyDescent="0.2"/>
    <row r="586" s="178" customFormat="1" x14ac:dyDescent="0.2"/>
    <row r="587" s="178" customFormat="1" x14ac:dyDescent="0.2"/>
    <row r="588" s="178" customFormat="1" x14ac:dyDescent="0.2"/>
    <row r="589" s="178" customFormat="1" x14ac:dyDescent="0.2"/>
    <row r="590" s="178" customFormat="1" x14ac:dyDescent="0.2"/>
    <row r="591" s="178" customFormat="1" x14ac:dyDescent="0.2"/>
    <row r="592" s="178" customFormat="1" x14ac:dyDescent="0.2"/>
    <row r="593" s="178" customFormat="1" x14ac:dyDescent="0.2"/>
    <row r="594" s="178" customFormat="1" x14ac:dyDescent="0.2"/>
    <row r="595" s="178" customFormat="1" x14ac:dyDescent="0.2"/>
    <row r="596" s="178" customFormat="1" x14ac:dyDescent="0.2"/>
    <row r="597" s="178" customFormat="1" x14ac:dyDescent="0.2"/>
    <row r="598" s="178" customFormat="1" x14ac:dyDescent="0.2"/>
    <row r="599" s="178" customFormat="1" x14ac:dyDescent="0.2"/>
    <row r="600" s="178" customFormat="1" x14ac:dyDescent="0.2"/>
    <row r="601" s="178" customFormat="1" x14ac:dyDescent="0.2"/>
    <row r="602" s="178" customFormat="1" x14ac:dyDescent="0.2"/>
    <row r="603" s="178" customFormat="1" x14ac:dyDescent="0.2"/>
    <row r="604" s="178" customFormat="1" x14ac:dyDescent="0.2"/>
    <row r="605" s="178" customFormat="1" x14ac:dyDescent="0.2"/>
    <row r="606" s="178" customFormat="1" x14ac:dyDescent="0.2"/>
    <row r="607" s="178" customFormat="1" x14ac:dyDescent="0.2"/>
    <row r="608" s="178" customFormat="1" x14ac:dyDescent="0.2"/>
    <row r="609" s="178" customFormat="1" x14ac:dyDescent="0.2"/>
    <row r="610" s="178" customFormat="1" x14ac:dyDescent="0.2"/>
    <row r="611" s="178" customFormat="1" x14ac:dyDescent="0.2"/>
    <row r="612" s="178" customFormat="1" x14ac:dyDescent="0.2"/>
    <row r="613" s="178" customFormat="1" x14ac:dyDescent="0.2"/>
    <row r="614" s="178" customFormat="1" x14ac:dyDescent="0.2"/>
    <row r="615" s="178" customFormat="1" x14ac:dyDescent="0.2"/>
    <row r="616" s="178" customFormat="1" x14ac:dyDescent="0.2"/>
    <row r="617" s="178" customFormat="1" x14ac:dyDescent="0.2"/>
    <row r="618" s="178" customFormat="1" x14ac:dyDescent="0.2"/>
    <row r="619" s="178" customFormat="1" x14ac:dyDescent="0.2"/>
    <row r="620" s="178" customFormat="1" x14ac:dyDescent="0.2"/>
    <row r="621" s="178" customFormat="1" x14ac:dyDescent="0.2"/>
    <row r="622" s="178" customFormat="1" x14ac:dyDescent="0.2"/>
    <row r="623" s="178" customFormat="1" x14ac:dyDescent="0.2"/>
    <row r="624" s="178" customFormat="1" x14ac:dyDescent="0.2"/>
    <row r="625" s="178" customFormat="1" x14ac:dyDescent="0.2"/>
    <row r="626" s="178" customFormat="1" x14ac:dyDescent="0.2"/>
    <row r="627" s="178" customFormat="1" x14ac:dyDescent="0.2"/>
    <row r="628" s="178" customFormat="1" x14ac:dyDescent="0.2"/>
    <row r="629" s="178" customFormat="1" x14ac:dyDescent="0.2"/>
    <row r="630" s="178" customFormat="1" x14ac:dyDescent="0.2"/>
    <row r="631" s="178" customFormat="1" x14ac:dyDescent="0.2"/>
    <row r="632" s="178" customFormat="1" x14ac:dyDescent="0.2"/>
    <row r="633" s="178" customFormat="1" x14ac:dyDescent="0.2"/>
    <row r="634" s="178" customFormat="1" x14ac:dyDescent="0.2"/>
    <row r="635" s="178" customFormat="1" x14ac:dyDescent="0.2"/>
    <row r="636" s="178" customFormat="1" x14ac:dyDescent="0.2"/>
    <row r="637" s="178" customFormat="1" x14ac:dyDescent="0.2"/>
    <row r="638" s="178" customFormat="1" x14ac:dyDescent="0.2"/>
    <row r="639" s="178" customFormat="1" x14ac:dyDescent="0.2"/>
    <row r="640" s="178" customFormat="1" x14ac:dyDescent="0.2"/>
    <row r="641" s="178" customFormat="1" x14ac:dyDescent="0.2"/>
    <row r="642" s="178" customFormat="1" x14ac:dyDescent="0.2"/>
    <row r="643" s="178" customFormat="1" x14ac:dyDescent="0.2"/>
    <row r="644" s="178" customFormat="1" x14ac:dyDescent="0.2"/>
    <row r="645" s="178" customFormat="1" x14ac:dyDescent="0.2"/>
    <row r="646" s="178" customFormat="1" x14ac:dyDescent="0.2"/>
    <row r="647" s="178" customFormat="1" x14ac:dyDescent="0.2"/>
    <row r="648" s="178" customFormat="1" x14ac:dyDescent="0.2"/>
    <row r="649" s="178" customFormat="1" x14ac:dyDescent="0.2"/>
    <row r="650" s="178" customFormat="1" x14ac:dyDescent="0.2"/>
    <row r="651" s="178" customFormat="1" x14ac:dyDescent="0.2"/>
    <row r="652" s="178" customFormat="1" x14ac:dyDescent="0.2"/>
    <row r="653" s="178" customFormat="1" x14ac:dyDescent="0.2"/>
    <row r="654" s="178" customFormat="1" x14ac:dyDescent="0.2"/>
    <row r="655" s="178" customFormat="1" x14ac:dyDescent="0.2"/>
    <row r="656" s="178" customFormat="1" x14ac:dyDescent="0.2"/>
    <row r="657" s="178" customFormat="1" x14ac:dyDescent="0.2"/>
    <row r="658" s="178" customFormat="1" x14ac:dyDescent="0.2"/>
    <row r="659" s="178" customFormat="1" x14ac:dyDescent="0.2"/>
    <row r="660" s="178" customFormat="1" x14ac:dyDescent="0.2"/>
    <row r="661" s="178" customFormat="1" x14ac:dyDescent="0.2"/>
    <row r="662" s="178" customFormat="1" x14ac:dyDescent="0.2"/>
    <row r="663" s="178" customFormat="1" x14ac:dyDescent="0.2"/>
    <row r="664" s="178" customFormat="1" x14ac:dyDescent="0.2"/>
    <row r="665" s="178" customFormat="1" x14ac:dyDescent="0.2"/>
    <row r="666" s="178" customFormat="1" x14ac:dyDescent="0.2"/>
    <row r="667" s="178" customFormat="1" x14ac:dyDescent="0.2"/>
    <row r="668" s="178" customFormat="1" x14ac:dyDescent="0.2"/>
    <row r="669" s="178" customFormat="1" x14ac:dyDescent="0.2"/>
    <row r="670" s="178" customFormat="1" x14ac:dyDescent="0.2"/>
    <row r="671" s="178" customFormat="1" x14ac:dyDescent="0.2"/>
    <row r="672" s="178" customFormat="1" x14ac:dyDescent="0.2"/>
    <row r="673" s="178" customFormat="1" x14ac:dyDescent="0.2"/>
    <row r="674" s="178" customFormat="1" x14ac:dyDescent="0.2"/>
    <row r="675" s="178" customFormat="1" x14ac:dyDescent="0.2"/>
    <row r="676" s="178" customFormat="1" x14ac:dyDescent="0.2"/>
    <row r="677" s="178" customFormat="1" x14ac:dyDescent="0.2"/>
    <row r="678" s="178" customFormat="1" x14ac:dyDescent="0.2"/>
    <row r="679" s="178" customFormat="1" x14ac:dyDescent="0.2"/>
    <row r="680" s="178" customFormat="1" x14ac:dyDescent="0.2"/>
    <row r="681" s="178" customFormat="1" x14ac:dyDescent="0.2"/>
    <row r="682" s="178" customFormat="1" x14ac:dyDescent="0.2"/>
    <row r="683" s="178" customFormat="1" x14ac:dyDescent="0.2"/>
    <row r="684" s="178" customFormat="1" x14ac:dyDescent="0.2"/>
    <row r="685" s="178" customFormat="1" x14ac:dyDescent="0.2"/>
    <row r="686" s="178" customFormat="1" x14ac:dyDescent="0.2"/>
    <row r="687" s="178" customFormat="1" x14ac:dyDescent="0.2"/>
    <row r="688" s="178" customFormat="1" x14ac:dyDescent="0.2"/>
    <row r="689" spans="1:3" x14ac:dyDescent="0.2">
      <c r="A689" s="178"/>
      <c r="C689" s="178"/>
    </row>
    <row r="690" spans="1:3" x14ac:dyDescent="0.2">
      <c r="A690" s="178"/>
      <c r="C690" s="178"/>
    </row>
    <row r="691" spans="1:3" x14ac:dyDescent="0.2">
      <c r="A691" s="178"/>
      <c r="C691" s="178"/>
    </row>
    <row r="692" spans="1:3" x14ac:dyDescent="0.2">
      <c r="A692" s="178"/>
      <c r="C692" s="178"/>
    </row>
    <row r="693" spans="1:3" x14ac:dyDescent="0.2">
      <c r="A693" s="178"/>
      <c r="C693" s="178"/>
    </row>
    <row r="694" spans="1:3" x14ac:dyDescent="0.2">
      <c r="A694" s="178"/>
      <c r="C694" s="178"/>
    </row>
    <row r="695" spans="1:3" x14ac:dyDescent="0.2">
      <c r="A695" s="178"/>
      <c r="C695" s="178"/>
    </row>
    <row r="696" spans="1:3" x14ac:dyDescent="0.2">
      <c r="A696" s="178"/>
      <c r="C696" s="178"/>
    </row>
    <row r="697" spans="1:3" x14ac:dyDescent="0.2">
      <c r="A697" s="178"/>
      <c r="C697" s="178"/>
    </row>
    <row r="698" spans="1:3" x14ac:dyDescent="0.2">
      <c r="C698" s="178"/>
    </row>
    <row r="699" spans="1:3" x14ac:dyDescent="0.2">
      <c r="C699" s="178"/>
    </row>
    <row r="700" spans="1:3" x14ac:dyDescent="0.2">
      <c r="C700" s="178"/>
    </row>
    <row r="701" spans="1:3" x14ac:dyDescent="0.2">
      <c r="C701" s="178"/>
    </row>
    <row r="702" spans="1:3" x14ac:dyDescent="0.2">
      <c r="C702" s="178"/>
    </row>
    <row r="703" spans="1:3" x14ac:dyDescent="0.2">
      <c r="C703" s="178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20"/>
      <c r="C1" s="220"/>
      <c r="D1" s="7"/>
      <c r="E1" s="220"/>
      <c r="F1" s="220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17" t="s">
        <v>32</v>
      </c>
      <c r="B28" s="218"/>
      <c r="C28" s="219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5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5</v>
      </c>
      <c r="N65" s="76" t="s">
        <v>51</v>
      </c>
      <c r="O65" s="77">
        <f t="shared" ref="O65:AG65" si="10">(2*O66*($M65+1)-$M65-$M65*O66^2)/(SQRT(3)*$M65*(1-O66))</f>
        <v>-1.2701705922171769</v>
      </c>
      <c r="P65" s="77">
        <f t="shared" si="10"/>
        <v>-1.2701705922171769</v>
      </c>
      <c r="Q65" s="77">
        <f t="shared" si="10"/>
        <v>-1.2701705922171769</v>
      </c>
      <c r="R65" s="77">
        <f t="shared" si="10"/>
        <v>-1.2701705922171769</v>
      </c>
      <c r="S65" s="77">
        <f t="shared" si="10"/>
        <v>-1.2701705922171769</v>
      </c>
      <c r="T65" s="77">
        <f t="shared" si="10"/>
        <v>-1.2701705922171769</v>
      </c>
      <c r="U65" s="77">
        <f t="shared" si="10"/>
        <v>-1.2701705922171769</v>
      </c>
      <c r="V65" s="77">
        <f t="shared" si="10"/>
        <v>-1.2701705922171769</v>
      </c>
      <c r="W65" s="77">
        <f t="shared" si="10"/>
        <v>-1.2701705922171769</v>
      </c>
      <c r="X65" s="77">
        <f t="shared" si="10"/>
        <v>-1.2701705922171769</v>
      </c>
      <c r="Y65" s="77">
        <f t="shared" si="10"/>
        <v>-1.2701705922171769</v>
      </c>
      <c r="Z65" s="77">
        <f t="shared" si="10"/>
        <v>-1.2701705922171769</v>
      </c>
      <c r="AA65" s="77">
        <f t="shared" si="10"/>
        <v>-1.2701705922171769</v>
      </c>
      <c r="AB65" s="77">
        <f t="shared" si="10"/>
        <v>-1.2701705922171769</v>
      </c>
      <c r="AC65" s="77">
        <f t="shared" si="10"/>
        <v>-1.2701705922171769</v>
      </c>
      <c r="AD65" s="77">
        <f t="shared" si="10"/>
        <v>-1.2701705922171769</v>
      </c>
      <c r="AE65" s="77">
        <f t="shared" si="10"/>
        <v>-1.2701705922171769</v>
      </c>
      <c r="AF65" s="77">
        <f t="shared" si="10"/>
        <v>-1.2701705922171769</v>
      </c>
      <c r="AG65" s="111">
        <f t="shared" si="10"/>
        <v>-1.2701705922171769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-1.2701705922171769</v>
      </c>
      <c r="AP65" s="77">
        <f t="shared" si="11"/>
        <v>-1.2701705922171769</v>
      </c>
      <c r="AQ65" s="77">
        <f t="shared" si="11"/>
        <v>-1.2701705922171769</v>
      </c>
      <c r="AR65" s="77">
        <f t="shared" si="11"/>
        <v>-1.2701705922171769</v>
      </c>
      <c r="AS65" s="77">
        <f t="shared" si="11"/>
        <v>-1.2701705922171769</v>
      </c>
      <c r="AT65" s="77">
        <f t="shared" si="11"/>
        <v>-1.2701705922171769</v>
      </c>
      <c r="AU65" s="77">
        <f t="shared" si="11"/>
        <v>-1.2701705922171769</v>
      </c>
      <c r="AV65" s="77">
        <f t="shared" si="11"/>
        <v>-1.2701705922171769</v>
      </c>
      <c r="AW65" s="77">
        <f t="shared" si="11"/>
        <v>-1.2701705922171769</v>
      </c>
      <c r="AX65" s="77">
        <f t="shared" si="11"/>
        <v>-1.2701705922171769</v>
      </c>
      <c r="AY65" s="77">
        <f t="shared" si="11"/>
        <v>-1.2701705922171769</v>
      </c>
      <c r="AZ65" s="77">
        <f t="shared" si="11"/>
        <v>-1.2701705922171769</v>
      </c>
      <c r="BA65" s="77">
        <f t="shared" si="11"/>
        <v>-1.2701705922171769</v>
      </c>
      <c r="BB65" s="77">
        <f t="shared" si="11"/>
        <v>-1.2701705922171769</v>
      </c>
      <c r="BC65" s="77">
        <f t="shared" si="11"/>
        <v>-1.2701705922171769</v>
      </c>
      <c r="BD65" s="77">
        <f t="shared" si="11"/>
        <v>-1.2701705922171769</v>
      </c>
      <c r="BE65" s="77">
        <f t="shared" si="11"/>
        <v>-1.2701705922171769</v>
      </c>
      <c r="BF65" s="77">
        <f t="shared" si="11"/>
        <v>-1.2701705922171769</v>
      </c>
      <c r="BG65" s="111">
        <f t="shared" si="11"/>
        <v>-1.2701705922171769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ESI=5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21" t="s">
        <v>31</v>
      </c>
      <c r="B234" s="222"/>
      <c r="C234" s="222"/>
      <c r="D234" s="222"/>
      <c r="E234" s="222"/>
      <c r="F234" s="222"/>
      <c r="G234" s="222"/>
      <c r="H234" s="222"/>
      <c r="I234" s="222"/>
      <c r="J234" s="222"/>
      <c r="K234" s="222"/>
      <c r="L234" s="222"/>
      <c r="M234" s="222"/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3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2023-08-04T02:10:58Z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