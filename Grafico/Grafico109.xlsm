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DCDAE24D-B711-49AD-A3A3-A45955B0431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<sst xmlns="http://schemas.openxmlformats.org/spreadsheetml/2006/main" count="495" uniqueCount="163">
  <si>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</si>
  <si>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</si>
  <si>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</si>
  <si>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</si>
  <si>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</si>
  <si>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</si>
  <si>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</si>
  <si>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</si>
  <si>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</si>
  <si>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</si>
  <si>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</si>
  <si>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</si>
  <si>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</si>
  <si>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</si>
  <si>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</si>
  <si>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</si>
  <si>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</si>
  <si>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</si>
  <si>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</si>
  <si>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</si>
  <si>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</si>
  <si>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</si>
  <si>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</si>
  <si>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</si>
  <si>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</si>
  <si>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</si>
  <si>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</si>
  <si>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</si>
  <si>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</si>
  <si>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</si>
  <si>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</si>
  <si>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</si>
  <si>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</si>
  <si>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</si>
  <si>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</si>
  <si>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</si>
  <si>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</si>
  <si>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</si>
  <si>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</si>
  <si>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</si>
  <si>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</si>
  <si>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</si>
  <si>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</si>
  <si>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</si>
  <si>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</si>
  <si>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</si>
  <si>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</si>
  <si>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</si>
  <si>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</si>
  <si>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</si>
  <si>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</si>
  <si>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</si>
  <si>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</si>
  <si>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</si>
  <si>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</si>
  <si>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</si>
  <si>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</si>
  <si>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</si>
  <si>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</si>
  <si>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</si>
  <si>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</si>
  <si>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</si>
  <si>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</si>
  <si>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</si>
  <si>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</si>
  <si>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</si>
  <si>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</si>
  <si>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</si>
  <si>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</si>
  <si>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</si>
  <si>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</si>
  <si>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</si>
  <si>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</si>
  <si>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</si>
  <si>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</si>
  <si>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</si>
  <si>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</si>
  <si>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</si>
  <si>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</si>
  <si>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</si>
  <si>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</si>
  <si>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</si>
  <si>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</si>
  <si>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</si>
  <si>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</si>
  <si>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</si>
  <si>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</si>
  <si>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</si>
  <si>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</si>
  <si>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</si>
  <si>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</si>
  <si>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</si>
  <si>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</si>
  <si>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</si>
  <si>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</si>
  <si>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</si>
  <si>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</si>
  <si>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</si>
  <si>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</si>
  <si>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</si>
  <si>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</si>
  <si>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</si>
  <si>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</si>
  <si>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</si>
  <si>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</si>
  <si>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</si>
  <si>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</si>
  <si>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</si>
  <si>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</si>
  <si>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</si>
  <si>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</si>
  <si>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</si>
  <si>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</si>
  <si>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</si>
  <si>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</si>
  <si>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</si>
  <si>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</si>
  <si>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</si>
  <si>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</si>
  <si>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</si>
  <si>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</si>
  <si>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</si>
  <si>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</si>
  <si>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</si>
  <si>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</si>
  <si>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</si>
  <si>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</si>
  <si>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</si>
  <si>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</si>
  <si>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</si>
  <si>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</si>
  <si>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</si>
  <si>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</si>
  <si>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</si>
  <si>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</si>
  <si>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</si>
  <si>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</si>
  <si>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</si>
  <si>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</si>
  <si>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</si>
  <si>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</si>
  <si>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</si>
  <si>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</si>
  <si>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</si>
  <si>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</si>
  <si>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</si>
  <si>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</si>
  <si>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</si>
  <si>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</si>
  <si>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</si>
  <si>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</si>
  <si>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</si>
  <si>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</si>
  <si>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</si>
  <si>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</si>
  <si>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</si>
  <si>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</si>
  <si>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</si>
  <si>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</si>
  <si>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</si>
  <si>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</si>
  <si>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K:\André\testes\Novo\teste 3 pontos 2.eMe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</si>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</sst>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161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W55" s="222" t="s">
        <v>54</v>
      </c>
      <c r="X55" s="222" t="s">
        <v>54</v>
      </c>
      <c r="Y55" s="222" t="s">
        <v>54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W57" s="222" t="s">
        <v>162</v>
      </c>
      <c r="X57" s="222" t="s">
        <v>162</v>
      </c>
      <c r="Y57" s="222" t="s">
        <v>162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3</v>
      </c>
      <c r="X58" s="222">
        <v>3</v>
      </c>
      <c r="Y58" s="222">
        <v>3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</v>
      </c>
      <c r="U61" s="232">
        <v>1</v>
      </c>
      <c r="V61" s="232">
        <v>1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4</v>
      </c>
      <c r="U62" s="232">
        <v>4</v>
      </c>
      <c r="V62" s="232">
        <v>4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6</v>
      </c>
      <c r="U63" s="232">
        <v>6</v>
      </c>
      <c r="V63" s="232">
        <v>6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23</v>
      </c>
      <c r="U64" s="232">
        <v>23</v>
      </c>
      <c r="V64" s="232">
        <v>23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3.8333333333333335</v>
      </c>
      <c r="U65" s="235">
        <v>3.8333333333333335</v>
      </c>
      <c r="V65" s="234">
        <v>3.8333333333333335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0.35294117647058826</v>
      </c>
      <c r="U66" s="235">
        <v>0.35294117647058826</v>
      </c>
      <c r="V66" s="234">
        <v>0.35294117647058826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0.76923076923076927</v>
      </c>
      <c r="U67" s="235">
        <v>0.76923076923076927</v>
      </c>
      <c r="V67" s="234">
        <v>0.76923076923076927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4.9833333333333334</v>
      </c>
      <c r="U68" s="235">
        <v>4.9833333333333334</v>
      </c>
      <c r="V68" s="234">
        <v>4.9833333333333334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56.521739130434781</v>
      </c>
      <c r="U69" s="235">
        <v>56.521739130434781</v>
      </c>
      <c r="V69" s="237">
        <v>56.521739130434781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7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2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4" sqref="H14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</row>
    <row r="29" spans="2:11" x14ac:dyDescent="0.2">
      <c r="B29" s="203"/>
      <c r="E29" s="205"/>
    </row>
    <row r="32" spans="2:11" x14ac:dyDescent="0.2">
      <c r="B32" s="203"/>
      <c r="I32" s="205"/>
      <c r="K32" s="205"/>
    </row>
    <row r="33" spans="2:11" x14ac:dyDescent="0.2">
      <c r="B33" s="203"/>
      <c r="I33" s="205"/>
      <c r="K33" s="205"/>
    </row>
    <row r="34" spans="2:11" x14ac:dyDescent="0.2">
      <c r="B34" s="203"/>
      <c r="I34" s="205"/>
      <c r="K34" s="205"/>
    </row>
    <row r="35" spans="2:11" x14ac:dyDescent="0.2">
      <c r="I35" s="205"/>
      <c r="K35" s="205"/>
    </row>
    <row r="37" spans="2:11" x14ac:dyDescent="0.2">
      <c r="B37" s="203"/>
    </row>
    <row r="38" spans="2:11" x14ac:dyDescent="0.2">
      <c r="B38" s="203"/>
    </row>
    <row r="39" spans="2:11" x14ac:dyDescent="0.2">
      <c r="B39" s="203"/>
    </row>
    <row r="42" spans="2:11" x14ac:dyDescent="0.2">
      <c r="B42" s="203"/>
      <c r="I42" s="205"/>
      <c r="K42" s="205"/>
    </row>
    <row r="43" spans="2:11" x14ac:dyDescent="0.2">
      <c r="B43" s="203"/>
      <c r="I43" s="205"/>
      <c r="K43" s="205"/>
    </row>
    <row r="44" spans="2:11" x14ac:dyDescent="0.2">
      <c r="B44" s="203"/>
      <c r="I44" s="205"/>
      <c r="K44" s="205"/>
    </row>
    <row r="45" spans="2:11" x14ac:dyDescent="0.2">
      <c r="I45" s="205"/>
      <c r="K45" s="205"/>
    </row>
    <row r="47" spans="2:11" x14ac:dyDescent="0.2">
      <c r="B47" s="203"/>
    </row>
    <row r="48" spans="2:11" x14ac:dyDescent="0.2">
      <c r="B48" s="203"/>
    </row>
    <row r="49" spans="2:11" x14ac:dyDescent="0.2">
      <c r="B49" s="203"/>
    </row>
    <row r="52" spans="2:11" x14ac:dyDescent="0.2">
      <c r="B52" s="203"/>
      <c r="I52" s="205"/>
      <c r="K52" s="205"/>
    </row>
    <row r="53" spans="2:11" x14ac:dyDescent="0.2">
      <c r="B53" s="203"/>
      <c r="I53" s="205"/>
      <c r="K53" s="205"/>
    </row>
    <row r="54" spans="2:11" x14ac:dyDescent="0.2">
      <c r="B54" s="203"/>
      <c r="I54" s="205"/>
      <c r="K54" s="205"/>
    </row>
    <row r="55" spans="2:11" x14ac:dyDescent="0.2">
      <c r="I55" s="205"/>
      <c r="K55" s="205"/>
    </row>
    <row r="57" spans="2:11" x14ac:dyDescent="0.2">
      <c r="B57" s="203"/>
    </row>
    <row r="58" spans="2:11" x14ac:dyDescent="0.2">
      <c r="B58" s="203"/>
    </row>
    <row r="59" spans="2:11" x14ac:dyDescent="0.2">
      <c r="B59" s="203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0.40446370633682355</v>
      </c>
      <c r="E30" s="62">
        <f ca="1">IFERROR(M100,0)</f>
        <v>0.28936288420105055</v>
      </c>
      <c r="F30" s="62">
        <f ca="1">IFERROR(M103,0)</f>
        <v>0.65759267873636251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0.22430540249419875</v>
      </c>
      <c r="N87" s="131">
        <f ca="1">IFERROR(N91,0)</f>
        <v>-2.827122991814221E-2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-0.30574582323393051</v>
      </c>
      <c r="N88" s="136">
        <f ca="1">IFERROR((C81*N87+D81),0)</f>
        <v>-0.52448360330534183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0.22430540249420414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-2.827122991797186E-2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0.33412747817461513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0.28936288420164724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0.75932262017106444</v>
      </c>
      <c r="N102" s="147">
        <f ca="1">IFERROR(SQRT((M87-M94)^2+(M88-M95)^2),0)</f>
        <v>0.46703445946202493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0.65759267873630389</v>
      </c>
      <c r="N103" s="149">
        <f ca="1">IFERROR(N102/M98,0)</f>
        <v>0.40446370633684714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1.3514192692747984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1.606879557234312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1.461442824571014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1.8179569693706139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2023-08-25T19:14:00Z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