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ricssoninovacao-my.sharepoint.com/personal/andre_l_muniz_ericssoninovacao_com_br/Documents/Feni/Exemplo Henrique/"/>
    </mc:Choice>
  </mc:AlternateContent>
  <xr:revisionPtr revIDLastSave="0" documentId="13_ncr:4000b_{1512C19F-8528-4257-9E29-060A2A5909F0}" xr6:coauthVersionLast="47" xr6:coauthVersionMax="47" xr10:uidLastSave="{00000000-0000-0000-0000-000000000000}"/>
  <bookViews>
    <workbookView xWindow="-120" yWindow="-120" windowWidth="20730" windowHeight="11160" activeTab="1"/>
  </bookViews>
  <sheets>
    <sheet name="Entrada_de_Dados" sheetId="1" r:id="rId1"/>
    <sheet name="Resumo" sheetId="2" r:id="rId2"/>
    <sheet name="Tabelas" sheetId="4" r:id="rId3"/>
    <sheet name="Índices" sheetId="5" r:id="rId4"/>
  </sheets>
  <functionGroups builtInGroupCount="19"/>
  <definedNames>
    <definedName name="_xlnm._FilterDatabase" localSheetId="0" hidden="1">Entrada_de_Dados!$E$37:$E$38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  <c r="F31" i="1"/>
  <c r="F30" i="1"/>
  <c r="F28" i="1"/>
  <c r="F27" i="1"/>
  <c r="F25" i="1"/>
  <c r="F24" i="1"/>
  <c r="F22" i="1"/>
  <c r="F21" i="1"/>
  <c r="F19" i="1"/>
  <c r="F18" i="1"/>
  <c r="F16" i="1"/>
  <c r="F15" i="1"/>
  <c r="F13" i="1"/>
  <c r="F12" i="1"/>
  <c r="E18" i="2" s="1"/>
  <c r="F10" i="1"/>
  <c r="F7" i="1"/>
  <c r="F6" i="1"/>
  <c r="E9" i="2"/>
  <c r="F3" i="1"/>
  <c r="F4" i="1"/>
  <c r="E25" i="2"/>
  <c r="E45" i="2"/>
  <c r="B27" i="1"/>
  <c r="B9" i="1"/>
  <c r="D28" i="1"/>
  <c r="D31" i="1"/>
  <c r="D30" i="1"/>
  <c r="D27" i="1"/>
  <c r="D25" i="1"/>
  <c r="D24" i="1"/>
  <c r="D22" i="1"/>
  <c r="D21" i="1"/>
  <c r="D19" i="1"/>
  <c r="D18" i="1"/>
  <c r="D16" i="1"/>
  <c r="D15" i="1"/>
  <c r="D13" i="1"/>
  <c r="D12" i="1"/>
  <c r="D10" i="1"/>
  <c r="D9" i="1"/>
  <c r="D7" i="1"/>
  <c r="D6" i="1"/>
  <c r="D4" i="1"/>
  <c r="D3" i="1"/>
  <c r="E4" i="1"/>
  <c r="E16" i="1"/>
  <c r="E15" i="1"/>
  <c r="E31" i="1"/>
  <c r="E30" i="1"/>
  <c r="E28" i="1"/>
  <c r="E27" i="1"/>
  <c r="E25" i="1"/>
  <c r="E24" i="1"/>
  <c r="E22" i="1"/>
  <c r="E21" i="1"/>
  <c r="E19" i="1"/>
  <c r="E18" i="1"/>
  <c r="E13" i="1"/>
  <c r="E12" i="1"/>
  <c r="E10" i="1"/>
  <c r="E9" i="1"/>
  <c r="E7" i="1"/>
  <c r="E6" i="1"/>
  <c r="E3" i="1"/>
  <c r="B3" i="1"/>
  <c r="E40" i="2"/>
  <c r="E38" i="2"/>
  <c r="E39" i="2"/>
  <c r="E35" i="2"/>
  <c r="E33" i="2"/>
  <c r="E34" i="2"/>
  <c r="E30" i="2"/>
  <c r="E28" i="2"/>
  <c r="E29" i="2"/>
  <c r="E20" i="2"/>
  <c r="E19" i="2"/>
  <c r="E15" i="2"/>
  <c r="E13" i="2"/>
  <c r="E14" i="2"/>
  <c r="B47" i="2"/>
  <c r="B42" i="2"/>
  <c r="B37" i="2"/>
  <c r="B32" i="2"/>
  <c r="B27" i="2"/>
  <c r="B22" i="2"/>
  <c r="B17" i="2"/>
  <c r="B12" i="2"/>
  <c r="B7" i="2"/>
  <c r="B2" i="2"/>
  <c r="E48" i="2"/>
  <c r="E49" i="2"/>
  <c r="E50" i="2"/>
  <c r="B19" i="1"/>
  <c r="B18" i="1"/>
  <c r="B16" i="1"/>
  <c r="B15" i="1"/>
  <c r="B13" i="1"/>
  <c r="B12" i="1"/>
  <c r="B10" i="1"/>
  <c r="A26" i="1"/>
  <c r="A23" i="1"/>
  <c r="A25" i="1" s="1"/>
  <c r="A20" i="1"/>
  <c r="A21" i="1" s="1"/>
  <c r="I19" i="1"/>
  <c r="I18" i="1"/>
  <c r="I17" i="1"/>
  <c r="A17" i="1"/>
  <c r="A18" i="1" s="1"/>
  <c r="I16" i="1"/>
  <c r="I15" i="1"/>
  <c r="I14" i="1"/>
  <c r="A14" i="1"/>
  <c r="A15" i="1" s="1"/>
  <c r="I13" i="1"/>
  <c r="I12" i="1"/>
  <c r="I11" i="1"/>
  <c r="A11" i="1"/>
  <c r="A13" i="1" s="1"/>
  <c r="I10" i="1"/>
  <c r="I9" i="1"/>
  <c r="I8" i="1"/>
  <c r="A8" i="1"/>
  <c r="A10" i="1" s="1"/>
  <c r="I31" i="1"/>
  <c r="B31" i="1"/>
  <c r="A31" i="1"/>
  <c r="I30" i="1"/>
  <c r="B30" i="1"/>
  <c r="A30" i="1"/>
  <c r="I29" i="1"/>
  <c r="I28" i="1"/>
  <c r="B28" i="1"/>
  <c r="I27" i="1"/>
  <c r="I26" i="1"/>
  <c r="I25" i="1"/>
  <c r="B25" i="1"/>
  <c r="I24" i="1"/>
  <c r="B24" i="1"/>
  <c r="I23" i="1"/>
  <c r="I22" i="1"/>
  <c r="B22" i="1"/>
  <c r="I21" i="1"/>
  <c r="B21" i="1"/>
  <c r="I20" i="1"/>
  <c r="A5" i="1"/>
  <c r="A7" i="1"/>
  <c r="I7" i="1"/>
  <c r="B7" i="1"/>
  <c r="I6" i="1"/>
  <c r="B6" i="1"/>
  <c r="I5" i="1"/>
  <c r="A4" i="1"/>
  <c r="I4" i="1"/>
  <c r="B4" i="1"/>
  <c r="I3" i="1"/>
  <c r="A3" i="1"/>
  <c r="I2" i="1"/>
  <c r="A28" i="1"/>
  <c r="A6" i="1"/>
  <c r="A27" i="1"/>
  <c r="E8" i="2" l="1"/>
  <c r="E24" i="2"/>
  <c r="E23" i="2"/>
  <c r="E44" i="2"/>
  <c r="E43" i="2"/>
  <c r="E46" i="2" s="1"/>
  <c r="F49" i="2" s="1"/>
  <c r="E10" i="2"/>
  <c r="A9" i="1"/>
  <c r="E51" i="2"/>
  <c r="A12" i="1"/>
  <c r="A19" i="1"/>
  <c r="E21" i="2"/>
  <c r="F19" i="2" s="1"/>
  <c r="E36" i="2"/>
  <c r="F35" i="2" s="1"/>
  <c r="I32" i="2" s="1"/>
  <c r="E41" i="2"/>
  <c r="F39" i="2" s="1"/>
  <c r="E31" i="2"/>
  <c r="F29" i="2" s="1"/>
  <c r="A16" i="1"/>
  <c r="A24" i="1"/>
  <c r="E16" i="2"/>
  <c r="F15" i="2" s="1"/>
  <c r="A22" i="1"/>
  <c r="E11" i="2" l="1"/>
  <c r="F9" i="2" s="1"/>
  <c r="E26" i="2"/>
  <c r="F25" i="2" s="1"/>
  <c r="F28" i="2"/>
  <c r="J27" i="2" s="1"/>
  <c r="F30" i="2"/>
  <c r="I27" i="2" s="1"/>
  <c r="F18" i="2"/>
  <c r="J17" i="2" s="1"/>
  <c r="F20" i="2"/>
  <c r="H17" i="2" s="1"/>
  <c r="F38" i="2"/>
  <c r="J37" i="2" s="1"/>
  <c r="H32" i="2"/>
  <c r="F44" i="2"/>
  <c r="F34" i="2"/>
  <c r="F14" i="2"/>
  <c r="F40" i="2"/>
  <c r="I37" i="2" s="1"/>
  <c r="F13" i="2"/>
  <c r="J12" i="2" s="1"/>
  <c r="F33" i="2"/>
  <c r="J32" i="2" s="1"/>
  <c r="F24" i="2"/>
  <c r="F23" i="2"/>
  <c r="J22" i="2" s="1"/>
  <c r="I12" i="2"/>
  <c r="H12" i="2"/>
  <c r="F45" i="2"/>
  <c r="F48" i="2"/>
  <c r="J47" i="2" s="1"/>
  <c r="F43" i="2"/>
  <c r="J42" i="2" s="1"/>
  <c r="F50" i="2"/>
  <c r="K32" i="2" l="1"/>
  <c r="F8" i="2"/>
  <c r="J7" i="2" s="1"/>
  <c r="F10" i="2"/>
  <c r="H7" i="2" s="1"/>
  <c r="H27" i="2"/>
  <c r="K27" i="2"/>
  <c r="K17" i="2"/>
  <c r="I17" i="2"/>
  <c r="I7" i="2"/>
  <c r="H37" i="2"/>
  <c r="K37" i="2" s="1"/>
  <c r="K12" i="2"/>
  <c r="I47" i="2"/>
  <c r="H47" i="2"/>
  <c r="K47" i="2" s="1"/>
  <c r="I22" i="2"/>
  <c r="H22" i="2"/>
  <c r="K22" i="2" s="1"/>
  <c r="I42" i="2"/>
  <c r="H42" i="2"/>
  <c r="K42" i="2" s="1"/>
  <c r="E4" i="2"/>
  <c r="E5" i="2"/>
  <c r="E3" i="2"/>
  <c r="K7" i="2" l="1"/>
  <c r="E6" i="2"/>
  <c r="F3" i="2" s="1"/>
  <c r="J2" i="2" s="1"/>
  <c r="F4" i="2" l="1"/>
  <c r="F5" i="2"/>
  <c r="H2" i="2" l="1"/>
  <c r="K2" i="2" s="1"/>
  <c r="I2" i="2"/>
</calcChain>
</file>

<file path=xl/sharedStrings.xml><?xml version="1.0" encoding="utf-8"?>
<sst xmlns="http://schemas.openxmlformats.org/spreadsheetml/2006/main" count="305" uniqueCount="49">
  <si>
    <t>Ponto</t>
  </si>
  <si>
    <t>Nome</t>
  </si>
  <si>
    <t>Item</t>
  </si>
  <si>
    <t>Descrição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</si>
  <si>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</si>
  <si>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</si>
  <si>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</si>
  <si>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</si>
  <si>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</si>
  <si>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</si>
  <si>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</si>
  <si>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</si>
  <si>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</si>
  <si>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</si>
  <si>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</si>
  <si>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</si>
  <si>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</si>
  <si>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</si>
  <si>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</si>
  <si>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</si>
  <si>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</si>
  <si>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</si>
  <si>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</si>
  <si>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</si>
  <si>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</si>
  <si>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</si>
  <si>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Transf.
[XX/seJ]</t>
  </si>
  <si>
    <t>Valor
[XX]</t>
  </si>
  <si>
    <t>Classe
R/N/F</t>
  </si>
  <si>
    <t>Rendimento Emergético [EYR]</t>
  </si>
  <si>
    <t>Investimento Emergético (EIR)</t>
  </si>
  <si>
    <t>Impacto Ambiental [ELR]</t>
  </si>
  <si>
    <t>Índice de Sustentabilidade [SI ]</t>
  </si>
  <si>
    <t>Emergia Total [Y]</t>
  </si>
  <si>
    <t>Recursos Renováveis [R]</t>
  </si>
  <si>
    <t>Recursos Não Renováveis [N]</t>
  </si>
  <si>
    <t>Recursos Pagos [F]</t>
  </si>
  <si>
    <t>[I]</t>
  </si>
  <si>
    <t>Tabela:</t>
  </si>
  <si>
    <t xml:space="preserve"> </t>
  </si>
  <si>
    <t>Pedro</t>
  </si>
  <si>
    <t>Andre</t>
  </si>
  <si>
    <t>Abacaxi</t>
  </si>
  <si>
    <t>Tabela:  Pedro</t>
  </si>
  <si>
    <t>Emergia</t>
  </si>
  <si>
    <t/>
  </si>
  <si>
    <t xml:space="preserve">Tabela:   </t>
  </si>
  <si>
    <t>tomate</t>
  </si>
  <si>
    <t>Tabela:  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</si>
</sst>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7" formatCode="0.0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2"/>
      <color indexed="12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/>
    <xf numFmtId="0" fontId="2" fillId="0" borderId="0" xfId="0" applyFont="1"/>
    <xf numFmtId="0" fontId="2" fillId="3" borderId="3" xfId="0" applyFont="1" applyFill="1" applyBorder="1" applyAlignment="1">
      <alignment horizontal="center"/>
    </xf>
    <xf numFmtId="11" fontId="2" fillId="4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5" borderId="4" xfId="0" applyFont="1" applyFill="1" applyBorder="1" applyProtection="1">
      <protection locked="0"/>
    </xf>
    <xf numFmtId="0" fontId="2" fillId="6" borderId="4" xfId="0" applyFont="1" applyFill="1" applyBorder="1" applyAlignment="1" applyProtection="1">
      <alignment horizontal="center"/>
      <protection locked="0"/>
    </xf>
    <xf numFmtId="0" fontId="2" fillId="7" borderId="4" xfId="0" applyFont="1" applyFill="1" applyBorder="1" applyAlignment="1" applyProtection="1">
      <alignment horizontal="center"/>
      <protection locked="0"/>
    </xf>
    <xf numFmtId="11" fontId="2" fillId="8" borderId="4" xfId="0" applyNumberFormat="1" applyFont="1" applyFill="1" applyBorder="1" applyProtection="1">
      <protection locked="0"/>
    </xf>
    <xf numFmtId="11" fontId="2" fillId="9" borderId="4" xfId="0" applyNumberFormat="1" applyFont="1" applyFill="1" applyBorder="1" applyProtection="1">
      <protection locked="0"/>
    </xf>
    <xf numFmtId="0" fontId="3" fillId="2" borderId="5" xfId="0" applyFont="1" applyFill="1" applyBorder="1" applyAlignment="1">
      <alignment horizontal="center"/>
    </xf>
    <xf numFmtId="0" fontId="4" fillId="10" borderId="6" xfId="0" applyFont="1" applyFill="1" applyBorder="1" applyAlignment="1" applyProtection="1">
      <protection locked="0"/>
    </xf>
    <xf numFmtId="0" fontId="3" fillId="2" borderId="7" xfId="0" applyFont="1" applyFill="1" applyBorder="1" applyAlignment="1" applyProtection="1">
      <alignment horizontal="center"/>
    </xf>
    <xf numFmtId="0" fontId="3" fillId="2" borderId="8" xfId="0" applyFont="1" applyFill="1" applyBorder="1" applyAlignment="1" applyProtection="1"/>
    <xf numFmtId="0" fontId="3" fillId="3" borderId="9" xfId="0" applyFont="1" applyFill="1" applyBorder="1" applyAlignment="1" applyProtection="1">
      <alignment horizontal="center"/>
    </xf>
    <xf numFmtId="0" fontId="3" fillId="5" borderId="10" xfId="0" applyFont="1" applyFill="1" applyBorder="1" applyProtection="1"/>
    <xf numFmtId="0" fontId="3" fillId="6" borderId="10" xfId="0" applyFont="1" applyFill="1" applyBorder="1" applyAlignment="1" applyProtection="1">
      <alignment horizontal="center"/>
    </xf>
    <xf numFmtId="0" fontId="2" fillId="0" borderId="0" xfId="0" applyFont="1" applyFill="1"/>
    <xf numFmtId="0" fontId="2" fillId="0" borderId="4" xfId="0" applyFont="1" applyFill="1" applyBorder="1" applyProtection="1">
      <protection locked="0"/>
    </xf>
    <xf numFmtId="0" fontId="2" fillId="0" borderId="4" xfId="0" applyFont="1" applyFill="1" applyBorder="1" applyAlignment="1" applyProtection="1">
      <alignment horizontal="center"/>
      <protection locked="0"/>
    </xf>
    <xf numFmtId="11" fontId="2" fillId="0" borderId="4" xfId="0" applyNumberFormat="1" applyFont="1" applyFill="1" applyBorder="1" applyProtection="1">
      <protection locked="0"/>
    </xf>
    <xf numFmtId="0" fontId="3" fillId="0" borderId="2" xfId="0" applyFont="1" applyFill="1" applyBorder="1" applyAlignment="1"/>
    <xf numFmtId="0" fontId="2" fillId="0" borderId="0" xfId="0" applyFont="1" applyFill="1" applyAlignment="1">
      <alignment horizontal="center"/>
    </xf>
    <xf numFmtId="177" fontId="2" fillId="0" borderId="0" xfId="1" applyNumberFormat="1" applyFont="1" applyFill="1"/>
    <xf numFmtId="11" fontId="2" fillId="0" borderId="11" xfId="0" applyNumberFormat="1" applyFont="1" applyFill="1" applyBorder="1" applyProtection="1">
      <protection locked="0"/>
    </xf>
    <xf numFmtId="177" fontId="2" fillId="0" borderId="11" xfId="1" applyNumberFormat="1" applyFont="1" applyFill="1" applyBorder="1" applyProtection="1">
      <protection locked="0"/>
    </xf>
    <xf numFmtId="11" fontId="2" fillId="0" borderId="3" xfId="0" applyNumberFormat="1" applyFont="1" applyFill="1" applyBorder="1" applyProtection="1">
      <protection locked="0"/>
    </xf>
    <xf numFmtId="177" fontId="2" fillId="0" borderId="3" xfId="1" applyNumberFormat="1" applyFont="1" applyFill="1" applyBorder="1" applyProtection="1">
      <protection locked="0"/>
    </xf>
    <xf numFmtId="0" fontId="3" fillId="0" borderId="8" xfId="0" applyFont="1" applyFill="1" applyBorder="1" applyAlignment="1"/>
    <xf numFmtId="0" fontId="2" fillId="0" borderId="10" xfId="0" applyFont="1" applyFill="1" applyBorder="1" applyProtection="1">
      <protection locked="0"/>
    </xf>
    <xf numFmtId="11" fontId="2" fillId="0" borderId="10" xfId="0" applyNumberFormat="1" applyFont="1" applyFill="1" applyBorder="1" applyAlignment="1" applyProtection="1">
      <alignment horizontal="center"/>
      <protection locked="0"/>
    </xf>
    <xf numFmtId="11" fontId="2" fillId="0" borderId="12" xfId="0" applyNumberFormat="1" applyFont="1" applyFill="1" applyBorder="1" applyProtection="1">
      <protection locked="0"/>
    </xf>
    <xf numFmtId="177" fontId="2" fillId="0" borderId="12" xfId="1" applyNumberFormat="1" applyFont="1" applyFill="1" applyBorder="1" applyProtection="1">
      <protection locked="0"/>
    </xf>
    <xf numFmtId="0" fontId="2" fillId="0" borderId="3" xfId="0" applyFont="1" applyFill="1" applyBorder="1"/>
    <xf numFmtId="0" fontId="2" fillId="0" borderId="0" xfId="0" applyFont="1" applyFill="1" applyBorder="1"/>
    <xf numFmtId="0" fontId="7" fillId="0" borderId="10" xfId="0" applyFont="1" applyFill="1" applyBorder="1" applyAlignment="1" applyProtection="1">
      <alignment horizontal="center"/>
    </xf>
    <xf numFmtId="0" fontId="7" fillId="0" borderId="10" xfId="0" applyFont="1" applyFill="1" applyBorder="1" applyAlignment="1" applyProtection="1">
      <alignment horizontal="center" wrapText="1"/>
    </xf>
    <xf numFmtId="177" fontId="7" fillId="0" borderId="10" xfId="1" applyNumberFormat="1" applyFont="1" applyFill="1" applyBorder="1" applyAlignment="1" applyProtection="1">
      <alignment horizontal="center" wrapText="1"/>
    </xf>
    <xf numFmtId="0" fontId="7" fillId="0" borderId="7" xfId="0" applyFont="1" applyFill="1" applyBorder="1" applyAlignment="1" applyProtection="1">
      <alignment horizontal="center" wrapText="1"/>
    </xf>
    <xf numFmtId="0" fontId="7" fillId="0" borderId="8" xfId="0" applyFont="1" applyFill="1" applyBorder="1" applyAlignment="1" applyProtection="1">
      <alignment horizontal="center" wrapText="1"/>
    </xf>
    <xf numFmtId="0" fontId="7" fillId="0" borderId="10" xfId="0" applyFont="1" applyFill="1" applyBorder="1" applyAlignment="1" applyProtection="1">
      <alignment horizontal="left"/>
    </xf>
    <xf numFmtId="0" fontId="3" fillId="0" borderId="9" xfId="0" applyFont="1" applyFill="1" applyBorder="1" applyAlignment="1">
      <alignment horizontal="left" vertical="top" wrapText="1"/>
    </xf>
    <xf numFmtId="0" fontId="7" fillId="0" borderId="6" xfId="0" applyFont="1" applyFill="1" applyBorder="1" applyAlignment="1" applyProtection="1">
      <protection locked="0"/>
    </xf>
    <xf numFmtId="0" fontId="8" fillId="0" borderId="4" xfId="0" applyFont="1" applyFill="1" applyBorder="1" applyProtection="1">
      <protection locked="0"/>
    </xf>
    <xf numFmtId="11" fontId="8" fillId="0" borderId="4" xfId="0" applyNumberFormat="1" applyFont="1" applyFill="1" applyBorder="1" applyProtection="1">
      <protection locked="0"/>
    </xf>
    <xf numFmtId="11" fontId="8" fillId="0" borderId="3" xfId="0" applyNumberFormat="1" applyFont="1" applyFill="1" applyBorder="1" applyProtection="1">
      <protection locked="0"/>
    </xf>
    <xf numFmtId="177" fontId="8" fillId="0" borderId="3" xfId="1" applyNumberFormat="1" applyFont="1" applyFill="1" applyBorder="1" applyProtection="1">
      <protection locked="0"/>
    </xf>
    <xf numFmtId="0" fontId="8" fillId="0" borderId="0" xfId="0" applyFont="1" applyFill="1" applyBorder="1"/>
    <xf numFmtId="0" fontId="8" fillId="0" borderId="0" xfId="0" applyFont="1" applyFill="1"/>
    <xf numFmtId="0" fontId="3" fillId="4" borderId="10" xfId="0" applyFont="1" applyFill="1" applyBorder="1" applyAlignment="1" applyProtection="1">
      <alignment horizontal="center" wrapText="1"/>
    </xf>
    <xf numFmtId="0" fontId="3" fillId="9" borderId="10" xfId="0" applyFont="1" applyFill="1" applyBorder="1" applyAlignment="1" applyProtection="1">
      <alignment horizontal="center" wrapText="1"/>
    </xf>
    <xf numFmtId="0" fontId="3" fillId="8" borderId="10" xfId="0" applyFont="1" applyFill="1" applyBorder="1" applyAlignment="1" applyProtection="1">
      <alignment horizontal="center" wrapText="1"/>
    </xf>
    <xf numFmtId="0" fontId="3" fillId="7" borderId="10" xfId="0" applyFon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0" fillId="0" borderId="0" xfId="0" applyBorder="1"/>
    <xf numFmtId="0" fontId="2" fillId="0" borderId="0" xfId="0" applyFont="1" applyBorder="1"/>
    <xf numFmtId="0" fontId="2" fillId="0" borderId="0" xfId="0" applyFont="1" applyBorder="1" applyProtection="1">
      <protection locked="0"/>
    </xf>
    <xf numFmtId="0" fontId="2" fillId="0" borderId="1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2" fontId="6" fillId="7" borderId="17" xfId="0" applyNumberFormat="1" applyFont="1" applyFill="1" applyBorder="1" applyAlignment="1">
      <alignment horizontal="center" vertical="center"/>
    </xf>
    <xf numFmtId="2" fontId="6" fillId="7" borderId="18" xfId="0" applyNumberFormat="1" applyFont="1" applyFill="1" applyBorder="1" applyAlignment="1">
      <alignment horizontal="center" vertical="center"/>
    </xf>
    <xf numFmtId="2" fontId="6" fillId="7" borderId="9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top"/>
    </xf>
    <xf numFmtId="0" fontId="3" fillId="0" borderId="15" xfId="0" applyFont="1" applyFill="1" applyBorder="1" applyAlignment="1">
      <alignment horizontal="center" vertical="top"/>
    </xf>
    <xf numFmtId="0" fontId="3" fillId="0" borderId="16" xfId="0" applyFont="1" applyFill="1" applyBorder="1" applyAlignment="1">
      <alignment horizontal="center" vertical="top"/>
    </xf>
    <xf numFmtId="0" fontId="2" fillId="6" borderId="4" xfId="0" applyFont="1" applyFill="1" applyBorder="1" applyAlignment="1" applyProtection="1">
      <alignment horizontal="center"/>
    </xf>
    <xf numFmtId="0" fontId="0" fillId="0" borderId="13" xfId="0" applyBorder="1" applyAlignment="1">
      <alignment horizontal="left"/>
    </xf>
    <xf numFmtId="0" fontId="2" fillId="0" borderId="3" xfId="0" applyFont="1" applyBorder="1"/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9" xfId="0" applyFont="1" applyBorder="1"/>
    <xf numFmtId="0" fontId="2" fillId="7" borderId="4" xfId="0" applyFont="1" applyFill="1" applyBorder="1" applyAlignment="1" applyProtection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</cellXfs>
  <cellStyles count="2">
    <cellStyle name="Normal" xfId="0" builtinId="0"/>
    <cellStyle name="Porcentagem" xfId="1" builtinId="5"/>
  </cellStyles>
  <dxfs count="8"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7"/>
      </font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28575</xdr:rowOff>
        </xdr:from>
        <xdr:to>
          <xdr:col>9</xdr:col>
          <xdr:colOff>628650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07D4CE9-1279-EA61-8D49-D96240B60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342900</xdr:rowOff>
        </xdr:from>
        <xdr:to>
          <xdr:col>9</xdr:col>
          <xdr:colOff>628650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2F51CDA-B90C-6A81-761A-4C8F102FE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10</xdr:col>
          <xdr:colOff>619125</xdr:colOff>
          <xdr:row>0</xdr:row>
          <xdr:rowOff>600075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E873A3F-D93D-4A33-16E0-35384A75F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47625</xdr:rowOff>
        </xdr:from>
        <xdr:to>
          <xdr:col>10</xdr:col>
          <xdr:colOff>619125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048E958-A8F1-B865-2DC7-4AEDB9B91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384502A5-692C-A1B5-A3B0-E5F6E096638E}"/>
            </a:ext>
          </a:extLst>
        </xdr:cNvPr>
        <xdr:cNvGrpSpPr>
          <a:grpSpLocks/>
        </xdr:cNvGrpSpPr>
      </xdr:nvGrpSpPr>
      <xdr:grpSpPr bwMode="auto">
        <a:xfrm>
          <a:off x="5114925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FA59D80-D2C4-0E61-7F22-7B44EC108947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1021277C-11E8-D547-8706-8B4D1469A937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89246E36-2DDA-82D8-C49E-4ED171D78C4B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FD0CEF77-14D4-0211-6F5E-0492FE9F7C0B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36D9B542-6A94-3415-EF5F-A0D10C3EFB0D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880B60B4-4130-F074-1F03-329FFA84045D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4E8507CB-1638-D34E-1139-8FEE8F9BF22F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DE4AA219-750B-2846-DB2A-10E80E4E4E2C}"/>
            </a:ext>
          </a:extLst>
        </xdr:cNvPr>
        <xdr:cNvGrpSpPr>
          <a:grpSpLocks/>
        </xdr:cNvGrpSpPr>
      </xdr:nvGrpSpPr>
      <xdr:grpSpPr bwMode="auto">
        <a:xfrm>
          <a:off x="6115050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856C907-237C-4E36-5B5F-5726B1DDD739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A751DDF-B9D3-6627-8A79-95B78BAD8F9B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A2A0AB36-AECA-6D6F-7D66-800ADA091F0A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C065322B-412E-E049-6BBF-737A8877E8D5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B7D9850C-C889-EB05-89C7-3D1DC42732E9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BA705C3D-419A-FFCC-47BD-D42ADD678CBD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D6396661-64F6-B92A-804D-E5A0C7C6B39A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C54B3BED-7914-CC47-D8B3-0D85DAF27308}"/>
            </a:ext>
          </a:extLst>
        </xdr:cNvPr>
        <xdr:cNvGrpSpPr>
          <a:grpSpLocks/>
        </xdr:cNvGrpSpPr>
      </xdr:nvGrpSpPr>
      <xdr:grpSpPr bwMode="auto">
        <a:xfrm>
          <a:off x="7991475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8CD89472-F9BB-8339-0C12-5E0EBF1BEF7D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87F9BE85-276B-EEF9-E7AA-B767F6D6AF1B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EB8D2534-2849-8004-85A4-772EFF075999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20028368-28B5-AC13-577C-127C047E32E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DAE0751D-0E75-08C9-B482-E7E9F8A986D4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2C45B6E3-A797-0107-EA83-7666326708AD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B7E2A50F-824F-5280-7570-3E9AAAFC7793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C40C73CD-A9B8-ECCF-C55C-2820BBC2917D}"/>
            </a:ext>
          </a:extLst>
        </xdr:cNvPr>
        <xdr:cNvGrpSpPr>
          <a:grpSpLocks/>
        </xdr:cNvGrpSpPr>
      </xdr:nvGrpSpPr>
      <xdr:grpSpPr bwMode="auto">
        <a:xfrm>
          <a:off x="7019925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DAD9BBD4-8590-35E2-E8A1-ECEF095C1689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2BC986ED-3372-8E28-3A30-7F00148D5764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3F6B7B66-FE9B-CC3D-E0DA-38462C1B2C78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6240258D-D8C6-9512-87BE-0B6637AFF9FE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F80FE51F-8B9E-C856-D41C-E17A1F88D0D7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5D268B2A-ED41-3B7A-4DD4-42ED14073905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B2CEE8BE-3A2D-97D6-BFDD-9A2B02709DB8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</xdr:colOff>
          <xdr:row>0</xdr:row>
          <xdr:rowOff>342900</xdr:rowOff>
        </xdr:from>
        <xdr:to>
          <xdr:col>12</xdr:col>
          <xdr:colOff>76200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C25C4F5-FC71-F039-D3EF-BEA7E65F5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47625</xdr:colOff>
          <xdr:row>0</xdr:row>
          <xdr:rowOff>57150</xdr:rowOff>
        </xdr:from>
        <xdr:to>
          <xdr:col>12</xdr:col>
          <xdr:colOff>76200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E3203325-D5C6-BE9E-758E-8AE66FE38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0</xdr:row>
          <xdr:rowOff>57150</xdr:rowOff>
        </xdr:from>
        <xdr:to>
          <xdr:col>9</xdr:col>
          <xdr:colOff>76200</xdr:colOff>
          <xdr:row>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CC3324B-A594-4DAD-0A71-9F13A06C9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1</xdr:row>
          <xdr:rowOff>171450</xdr:rowOff>
        </xdr:from>
        <xdr:to>
          <xdr:col>9</xdr:col>
          <xdr:colOff>76200</xdr:colOff>
          <xdr:row>3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005D694-AACA-84D4-750A-647553861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3</xdr:row>
          <xdr:rowOff>85725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F0CF7F05-79F4-C159-EBD0-347983FE1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5</xdr:row>
          <xdr:rowOff>19050</xdr:rowOff>
        </xdr:from>
        <xdr:to>
          <xdr:col>9</xdr:col>
          <xdr:colOff>76200</xdr:colOff>
          <xdr:row>6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294BA26B-52EA-CF5C-7456-1C87E200C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53"/>
    <outlinePr summaryBelow="0"/>
  </sheetPr>
  <dimension ref="A1:I47"/>
  <sheetViews>
    <sheetView showGridLines="0" workbookViewId="0">
      <pane ySplit="1" topLeftCell="A2" activePane="bottomLeft" state="frozen"/>
      <selection pane="bottomLeft" activeCell="I4" sqref="I4"/>
    </sheetView>
  </sheetViews>
  <sheetFormatPr defaultRowHeight="12.75" outlineLevelRow="1" x14ac:dyDescent="0.25"/>
  <cols>
    <col min="1" max="1" width="4.5" style="6" bestFit="1" customWidth="1"/>
    <col min="2" max="2" width="9" style="3"/>
    <col min="3" max="3" width="3.875" style="6" customWidth="1"/>
    <col min="4" max="4" width="37.375" style="3" customWidth="1"/>
    <col min="5" max="5" width="6.875" style="3" customWidth="1"/>
    <col min="6" max="6" width="7.625" style="3" bestFit="1" customWidth="1"/>
    <col min="7" max="9" width="9.375" style="3" customWidth="1"/>
    <col min="10" max="11" width="11.25" style="3" customWidth="1"/>
    <col min="12" max="16384" width="9" style="3"/>
  </cols>
  <sheetData>
    <row r="1" spans="1:9" ht="72.75" customHeight="1" thickBot="1" x14ac:dyDescent="0.35">
      <c r="A1" s="14" t="s">
        <v>0</v>
      </c>
      <c r="B1" s="15" t="s">
        <v>1</v>
      </c>
      <c r="C1" s="16" t="s">
        <v>2</v>
      </c>
      <c r="D1" s="17" t="s">
        <v>3</v>
      </c>
      <c r="E1" s="18" t="s">
        <v>4</v>
      </c>
      <c r="F1" s="54" t="s">
        <v>28</v>
      </c>
      <c r="G1" s="53" t="s">
        <v>27</v>
      </c>
      <c r="H1" s="52" t="s">
        <v>26</v>
      </c>
      <c r="I1" s="51" t="s">
        <v>25</v>
      </c>
    </row>
    <row r="2" spans="1:9" ht="14.25" x14ac:dyDescent="0.3">
      <c r="A2" s="12">
        <v>1</v>
      </c>
      <c r="B2" s="13" t="s">
        <v>40</v>
      </c>
      <c r="C2" s="4">
        <v>1</v>
      </c>
      <c r="D2" s="7" t="s">
        <v>42</v>
      </c>
      <c r="E2" s="8" t="s">
        <v>9</v>
      </c>
      <c r="F2" s="9" t="s">
        <v>6</v>
      </c>
      <c r="G2" s="10">
        <v>122</v>
      </c>
      <c r="H2" s="11">
        <v>122</v>
      </c>
      <c r="I2" s="5">
        <f t="shared" ref="I2:I7" si="0">G2*H2</f>
        <v>14884</v>
      </c>
    </row>
    <row r="3" spans="1:9" ht="14.25" outlineLevel="1" x14ac:dyDescent="0.3">
      <c r="A3" s="1">
        <f>$A$2+0</f>
        <v>1</v>
      </c>
      <c r="B3" s="2" t="str">
        <f>$B$2</f>
        <v>Pedro</v>
      </c>
      <c r="C3" s="4">
        <v>2</v>
      </c>
      <c r="D3" s="2" t="str">
        <f>$D$2</f>
        <v>Abacaxi</v>
      </c>
      <c r="E3" s="69" t="str">
        <f>$E$2</f>
        <v>seJ</v>
      </c>
      <c r="F3" s="75" t="str">
        <f>IF(F2="R","N",IF(F2="N","F",IF(F2="F","N","")))</f>
        <v>N</v>
      </c>
      <c r="G3" s="10">
        <v>123</v>
      </c>
      <c r="H3" s="11">
        <v>76</v>
      </c>
      <c r="I3" s="5">
        <f t="shared" si="0"/>
        <v>9348</v>
      </c>
    </row>
    <row r="4" spans="1:9" ht="14.25" outlineLevel="1" x14ac:dyDescent="0.3">
      <c r="A4" s="1">
        <f>$A$2+0</f>
        <v>1</v>
      </c>
      <c r="B4" s="2" t="str">
        <f>$B$2</f>
        <v>Pedro</v>
      </c>
      <c r="C4" s="4">
        <v>3</v>
      </c>
      <c r="D4" s="2" t="str">
        <f>$D$2</f>
        <v>Abacaxi</v>
      </c>
      <c r="E4" s="69" t="str">
        <f>$E$2</f>
        <v>seJ</v>
      </c>
      <c r="F4" s="75" t="str">
        <f>IF(F2="R","F",IF(F2="N","R",IF(F2="F","R","")))</f>
        <v>F</v>
      </c>
      <c r="G4" s="10">
        <v>234</v>
      </c>
      <c r="H4" s="11">
        <v>233</v>
      </c>
      <c r="I4" s="5">
        <f t="shared" si="0"/>
        <v>54522</v>
      </c>
    </row>
    <row r="5" spans="1:9" ht="14.25" x14ac:dyDescent="0.3">
      <c r="A5" s="12">
        <f>2</f>
        <v>2</v>
      </c>
      <c r="B5" s="13" t="s">
        <v>41</v>
      </c>
      <c r="C5" s="4">
        <v>1</v>
      </c>
      <c r="D5" s="13" t="s">
        <v>47</v>
      </c>
      <c r="E5" s="8" t="s">
        <v>9</v>
      </c>
      <c r="F5" s="75" t="s">
        <v>7</v>
      </c>
      <c r="G5" s="10">
        <v>123</v>
      </c>
      <c r="H5" s="11">
        <v>232</v>
      </c>
      <c r="I5" s="5">
        <f t="shared" si="0"/>
        <v>28536</v>
      </c>
    </row>
    <row r="6" spans="1:9" ht="14.25" outlineLevel="1" x14ac:dyDescent="0.3">
      <c r="A6" s="1">
        <f>$A$5</f>
        <v>2</v>
      </c>
      <c r="B6" s="2" t="str">
        <f>$B$5</f>
        <v>Andre</v>
      </c>
      <c r="C6" s="4">
        <v>2</v>
      </c>
      <c r="D6" s="2" t="str">
        <f>$D$5</f>
        <v>tomate</v>
      </c>
      <c r="E6" s="69" t="str">
        <f>$E$5</f>
        <v>seJ</v>
      </c>
      <c r="F6" s="75" t="str">
        <f>IF(F5="R","N",IF(F5="N","F",IF(F5="F","N","")))</f>
        <v>F</v>
      </c>
      <c r="G6" s="10">
        <v>2123</v>
      </c>
      <c r="H6" s="11">
        <v>122</v>
      </c>
      <c r="I6" s="5">
        <f t="shared" si="0"/>
        <v>259006</v>
      </c>
    </row>
    <row r="7" spans="1:9" ht="14.25" outlineLevel="1" x14ac:dyDescent="0.3">
      <c r="A7" s="1">
        <f>$A$5</f>
        <v>2</v>
      </c>
      <c r="B7" s="2" t="str">
        <f>$B$5</f>
        <v>Andre</v>
      </c>
      <c r="C7" s="4">
        <v>3</v>
      </c>
      <c r="D7" s="2" t="str">
        <f>$D$5</f>
        <v>tomate</v>
      </c>
      <c r="E7" s="69" t="str">
        <f>$E$5</f>
        <v>seJ</v>
      </c>
      <c r="F7" s="75" t="str">
        <f>IF(F5="R","F",IF(F5="N","R",IF(F5="F","R","")))</f>
        <v>R</v>
      </c>
      <c r="G7" s="10">
        <v>21321</v>
      </c>
      <c r="H7" s="11">
        <v>32</v>
      </c>
      <c r="I7" s="5">
        <f t="shared" si="0"/>
        <v>682272</v>
      </c>
    </row>
    <row r="8" spans="1:9" ht="14.25" x14ac:dyDescent="0.3">
      <c r="A8" s="12">
        <f>3</f>
        <v>3</v>
      </c>
      <c r="B8" s="13" t="s">
        <v>39</v>
      </c>
      <c r="C8" s="4">
        <v>1</v>
      </c>
      <c r="D8" s="13" t="s">
        <v>39</v>
      </c>
      <c r="E8" s="69" t="s">
        <v>39</v>
      </c>
      <c r="F8" s="75"/>
      <c r="G8" s="10"/>
      <c r="H8" s="11"/>
      <c r="I8" s="5">
        <f t="shared" ref="I8:I13" si="1">G8*H8</f>
        <v>0</v>
      </c>
    </row>
    <row r="9" spans="1:9" ht="14.25" outlineLevel="1" x14ac:dyDescent="0.3">
      <c r="A9" s="1">
        <f>$A$8</f>
        <v>3</v>
      </c>
      <c r="B9" s="2" t="str">
        <f>$B$8</f>
        <v xml:space="preserve"> </v>
      </c>
      <c r="C9" s="4">
        <v>2</v>
      </c>
      <c r="D9" s="2" t="str">
        <f>$D$8</f>
        <v xml:space="preserve"> </v>
      </c>
      <c r="E9" s="69" t="str">
        <f>$E$8</f>
        <v xml:space="preserve"> </v>
      </c>
      <c r="F9" s="75" t="str">
        <f>IF(F8="R","N",IF(F8="N","F",IF(F8="F","N","")))</f>
        <v/>
      </c>
      <c r="G9" s="10"/>
      <c r="H9" s="11"/>
      <c r="I9" s="5">
        <f t="shared" si="1"/>
        <v>0</v>
      </c>
    </row>
    <row r="10" spans="1:9" ht="14.25" outlineLevel="1" x14ac:dyDescent="0.3">
      <c r="A10" s="1">
        <f>$A$8</f>
        <v>3</v>
      </c>
      <c r="B10" s="2" t="str">
        <f>$B$8</f>
        <v xml:space="preserve"> </v>
      </c>
      <c r="C10" s="4">
        <v>3</v>
      </c>
      <c r="D10" s="2" t="str">
        <f>$D$8</f>
        <v xml:space="preserve"> </v>
      </c>
      <c r="E10" s="69" t="str">
        <f>$E$8</f>
        <v xml:space="preserve"> </v>
      </c>
      <c r="F10" s="75" t="str">
        <f>IF(F8="R","F",IF(F8="N","R",IF(F8="F","R","")))</f>
        <v/>
      </c>
      <c r="G10" s="10"/>
      <c r="H10" s="11"/>
      <c r="I10" s="5">
        <f t="shared" si="1"/>
        <v>0</v>
      </c>
    </row>
    <row r="11" spans="1:9" ht="14.25" x14ac:dyDescent="0.3">
      <c r="A11" s="12">
        <f>4</f>
        <v>4</v>
      </c>
      <c r="B11" s="13" t="s">
        <v>39</v>
      </c>
      <c r="C11" s="4">
        <v>1</v>
      </c>
      <c r="D11" s="13" t="s">
        <v>39</v>
      </c>
      <c r="E11" s="69" t="s">
        <v>39</v>
      </c>
      <c r="F11" s="75"/>
      <c r="G11" s="10"/>
      <c r="H11" s="11"/>
      <c r="I11" s="5">
        <f t="shared" si="1"/>
        <v>0</v>
      </c>
    </row>
    <row r="12" spans="1:9" ht="14.25" outlineLevel="1" x14ac:dyDescent="0.3">
      <c r="A12" s="1">
        <f>$A$11</f>
        <v>4</v>
      </c>
      <c r="B12" s="2" t="str">
        <f>$B$11</f>
        <v xml:space="preserve"> </v>
      </c>
      <c r="C12" s="4">
        <v>2</v>
      </c>
      <c r="D12" s="2" t="str">
        <f>$D$11</f>
        <v xml:space="preserve"> </v>
      </c>
      <c r="E12" s="69" t="str">
        <f>$E$11</f>
        <v xml:space="preserve"> </v>
      </c>
      <c r="F12" s="75" t="str">
        <f>IF(F11="R","N",IF(F11="N","F",IF(F11="F","N","")))</f>
        <v/>
      </c>
      <c r="G12" s="10"/>
      <c r="H12" s="11"/>
      <c r="I12" s="5">
        <f t="shared" si="1"/>
        <v>0</v>
      </c>
    </row>
    <row r="13" spans="1:9" ht="14.25" outlineLevel="1" x14ac:dyDescent="0.3">
      <c r="A13" s="1">
        <f>$A$11</f>
        <v>4</v>
      </c>
      <c r="B13" s="2" t="str">
        <f>$B$11</f>
        <v xml:space="preserve"> </v>
      </c>
      <c r="C13" s="4">
        <v>3</v>
      </c>
      <c r="D13" s="2" t="str">
        <f>$D$11</f>
        <v xml:space="preserve"> </v>
      </c>
      <c r="E13" s="69" t="str">
        <f>$E$11</f>
        <v xml:space="preserve"> </v>
      </c>
      <c r="F13" s="75" t="str">
        <f>IF(F11="R","F",IF(F11="N","R",IF(F11="F","R","")))</f>
        <v/>
      </c>
      <c r="G13" s="10"/>
      <c r="H13" s="11"/>
      <c r="I13" s="5">
        <f t="shared" si="1"/>
        <v>0</v>
      </c>
    </row>
    <row r="14" spans="1:9" ht="14.25" x14ac:dyDescent="0.3">
      <c r="A14" s="12">
        <f>5</f>
        <v>5</v>
      </c>
      <c r="B14" s="13" t="s">
        <v>39</v>
      </c>
      <c r="C14" s="4">
        <v>1</v>
      </c>
      <c r="D14" s="13" t="s">
        <v>39</v>
      </c>
      <c r="E14" s="69" t="s">
        <v>39</v>
      </c>
      <c r="F14" s="75"/>
      <c r="G14" s="10"/>
      <c r="H14" s="11"/>
      <c r="I14" s="5">
        <f t="shared" ref="I14:I25" si="2">G14*H14</f>
        <v>0</v>
      </c>
    </row>
    <row r="15" spans="1:9" ht="14.25" outlineLevel="1" x14ac:dyDescent="0.3">
      <c r="A15" s="1">
        <f>$A$14</f>
        <v>5</v>
      </c>
      <c r="B15" s="2" t="str">
        <f>$B$14</f>
        <v xml:space="preserve"> </v>
      </c>
      <c r="C15" s="4">
        <v>2</v>
      </c>
      <c r="D15" s="2" t="str">
        <f>$D$14</f>
        <v xml:space="preserve"> </v>
      </c>
      <c r="E15" s="69" t="str">
        <f>$E$14</f>
        <v xml:space="preserve"> </v>
      </c>
      <c r="F15" s="75" t="str">
        <f>IF(F14="R","N",IF(F14="N","F",IF(F14="F","N","")))</f>
        <v/>
      </c>
      <c r="G15" s="10"/>
      <c r="H15" s="11"/>
      <c r="I15" s="5">
        <f t="shared" si="2"/>
        <v>0</v>
      </c>
    </row>
    <row r="16" spans="1:9" ht="14.25" outlineLevel="1" x14ac:dyDescent="0.3">
      <c r="A16" s="1">
        <f>$A$14</f>
        <v>5</v>
      </c>
      <c r="B16" s="2" t="str">
        <f>$B$14</f>
        <v xml:space="preserve"> </v>
      </c>
      <c r="C16" s="4">
        <v>3</v>
      </c>
      <c r="D16" s="2" t="str">
        <f>$D$14</f>
        <v xml:space="preserve"> </v>
      </c>
      <c r="E16" s="69" t="str">
        <f>$E$14</f>
        <v xml:space="preserve"> </v>
      </c>
      <c r="F16" s="75" t="str">
        <f>IF(F14="R","F",IF(F14="N","R",IF(F14="F","R","")))</f>
        <v/>
      </c>
      <c r="G16" s="10"/>
      <c r="H16" s="11"/>
      <c r="I16" s="5">
        <f t="shared" si="2"/>
        <v>0</v>
      </c>
    </row>
    <row r="17" spans="1:9" ht="14.25" x14ac:dyDescent="0.3">
      <c r="A17" s="12">
        <f>6</f>
        <v>6</v>
      </c>
      <c r="B17" s="13" t="s">
        <v>39</v>
      </c>
      <c r="C17" s="4">
        <v>1</v>
      </c>
      <c r="D17" s="13" t="s">
        <v>39</v>
      </c>
      <c r="E17" s="69" t="s">
        <v>39</v>
      </c>
      <c r="F17" s="75"/>
      <c r="G17" s="10"/>
      <c r="H17" s="11"/>
      <c r="I17" s="5">
        <f t="shared" si="2"/>
        <v>0</v>
      </c>
    </row>
    <row r="18" spans="1:9" ht="14.25" outlineLevel="1" x14ac:dyDescent="0.3">
      <c r="A18" s="1">
        <f>$A$17</f>
        <v>6</v>
      </c>
      <c r="B18" s="2" t="str">
        <f>$B$17</f>
        <v xml:space="preserve"> </v>
      </c>
      <c r="C18" s="4">
        <v>2</v>
      </c>
      <c r="D18" s="2" t="str">
        <f>$D$17</f>
        <v xml:space="preserve"> </v>
      </c>
      <c r="E18" s="69" t="str">
        <f>$E$17</f>
        <v xml:space="preserve"> </v>
      </c>
      <c r="F18" s="75" t="str">
        <f>IF(F17="R","N",IF(F17="N","F",IF(F17="F","N","")))</f>
        <v/>
      </c>
      <c r="G18" s="10"/>
      <c r="H18" s="11"/>
      <c r="I18" s="5">
        <f t="shared" si="2"/>
        <v>0</v>
      </c>
    </row>
    <row r="19" spans="1:9" ht="14.25" outlineLevel="1" x14ac:dyDescent="0.3">
      <c r="A19" s="1">
        <f>$A$17</f>
        <v>6</v>
      </c>
      <c r="B19" s="2" t="str">
        <f>$B$17</f>
        <v xml:space="preserve"> </v>
      </c>
      <c r="C19" s="4">
        <v>3</v>
      </c>
      <c r="D19" s="2" t="str">
        <f>$D$17</f>
        <v xml:space="preserve"> </v>
      </c>
      <c r="E19" s="69" t="str">
        <f>$E$17</f>
        <v xml:space="preserve"> </v>
      </c>
      <c r="F19" s="75" t="str">
        <f>IF(F17="R","F",IF(F17="N","R",IF(F17="F","R","")))</f>
        <v/>
      </c>
      <c r="G19" s="10"/>
      <c r="H19" s="11"/>
      <c r="I19" s="5">
        <f t="shared" si="2"/>
        <v>0</v>
      </c>
    </row>
    <row r="20" spans="1:9" ht="14.25" x14ac:dyDescent="0.3">
      <c r="A20" s="12">
        <f>7</f>
        <v>7</v>
      </c>
      <c r="B20" s="13" t="s">
        <v>39</v>
      </c>
      <c r="C20" s="4">
        <v>1</v>
      </c>
      <c r="D20" s="13" t="s">
        <v>39</v>
      </c>
      <c r="E20" s="69" t="s">
        <v>39</v>
      </c>
      <c r="F20" s="75"/>
      <c r="G20" s="10"/>
      <c r="H20" s="11"/>
      <c r="I20" s="5">
        <f t="shared" si="2"/>
        <v>0</v>
      </c>
    </row>
    <row r="21" spans="1:9" ht="14.25" outlineLevel="1" x14ac:dyDescent="0.3">
      <c r="A21" s="1">
        <f>$A$20</f>
        <v>7</v>
      </c>
      <c r="B21" s="2" t="str">
        <f>$B$20</f>
        <v xml:space="preserve"> </v>
      </c>
      <c r="C21" s="4">
        <v>2</v>
      </c>
      <c r="D21" s="2" t="str">
        <f>$D$20</f>
        <v xml:space="preserve"> </v>
      </c>
      <c r="E21" s="69" t="str">
        <f>$E$20</f>
        <v xml:space="preserve"> </v>
      </c>
      <c r="F21" s="75" t="str">
        <f>IF(F20="R","N",IF(F20="N","F",IF(F20="F","N","")))</f>
        <v/>
      </c>
      <c r="G21" s="10"/>
      <c r="H21" s="11"/>
      <c r="I21" s="5">
        <f t="shared" si="2"/>
        <v>0</v>
      </c>
    </row>
    <row r="22" spans="1:9" ht="14.25" outlineLevel="1" x14ac:dyDescent="0.3">
      <c r="A22" s="1">
        <f>$A$20</f>
        <v>7</v>
      </c>
      <c r="B22" s="2" t="str">
        <f>$B$20</f>
        <v xml:space="preserve"> </v>
      </c>
      <c r="C22" s="4">
        <v>3</v>
      </c>
      <c r="D22" s="2" t="str">
        <f>$D$20</f>
        <v xml:space="preserve"> </v>
      </c>
      <c r="E22" s="69" t="str">
        <f>$E$20</f>
        <v xml:space="preserve"> </v>
      </c>
      <c r="F22" s="75" t="str">
        <f>IF(F20="R","F",IF(F20="N","R",IF(F20="F","R","")))</f>
        <v/>
      </c>
      <c r="G22" s="10"/>
      <c r="H22" s="11"/>
      <c r="I22" s="5">
        <f t="shared" si="2"/>
        <v>0</v>
      </c>
    </row>
    <row r="23" spans="1:9" ht="14.25" x14ac:dyDescent="0.3">
      <c r="A23" s="12">
        <f>8</f>
        <v>8</v>
      </c>
      <c r="B23" s="13" t="s">
        <v>39</v>
      </c>
      <c r="C23" s="4">
        <v>1</v>
      </c>
      <c r="D23" s="13" t="s">
        <v>39</v>
      </c>
      <c r="E23" s="69" t="s">
        <v>39</v>
      </c>
      <c r="F23" s="75"/>
      <c r="G23" s="10"/>
      <c r="H23" s="11"/>
      <c r="I23" s="5">
        <f t="shared" si="2"/>
        <v>0</v>
      </c>
    </row>
    <row r="24" spans="1:9" ht="14.25" outlineLevel="1" x14ac:dyDescent="0.3">
      <c r="A24" s="1">
        <f>$A$23</f>
        <v>8</v>
      </c>
      <c r="B24" s="2" t="str">
        <f>$B$23</f>
        <v xml:space="preserve"> </v>
      </c>
      <c r="C24" s="4">
        <v>2</v>
      </c>
      <c r="D24" s="2" t="str">
        <f>$D$23</f>
        <v xml:space="preserve"> </v>
      </c>
      <c r="E24" s="69" t="str">
        <f>$E$23</f>
        <v xml:space="preserve"> </v>
      </c>
      <c r="F24" s="75" t="str">
        <f>IF(F23="R","N",IF(F23="N","F",IF(F23="F","N","")))</f>
        <v/>
      </c>
      <c r="G24" s="10"/>
      <c r="H24" s="11"/>
      <c r="I24" s="5">
        <f t="shared" si="2"/>
        <v>0</v>
      </c>
    </row>
    <row r="25" spans="1:9" ht="14.25" outlineLevel="1" x14ac:dyDescent="0.3">
      <c r="A25" s="1">
        <f>$A$23</f>
        <v>8</v>
      </c>
      <c r="B25" s="2" t="str">
        <f>$B$23</f>
        <v xml:space="preserve"> </v>
      </c>
      <c r="C25" s="4">
        <v>3</v>
      </c>
      <c r="D25" s="2" t="str">
        <f>$D$23</f>
        <v xml:space="preserve"> </v>
      </c>
      <c r="E25" s="69" t="str">
        <f>$E$23</f>
        <v xml:space="preserve"> </v>
      </c>
      <c r="F25" s="75" t="str">
        <f>IF(F23="R","F",IF(F23="N","R",IF(F23="F","R","")))</f>
        <v/>
      </c>
      <c r="G25" s="10"/>
      <c r="H25" s="11"/>
      <c r="I25" s="5">
        <f t="shared" si="2"/>
        <v>0</v>
      </c>
    </row>
    <row r="26" spans="1:9" ht="14.25" x14ac:dyDescent="0.3">
      <c r="A26" s="12">
        <f>9</f>
        <v>9</v>
      </c>
      <c r="B26" s="13" t="s">
        <v>39</v>
      </c>
      <c r="C26" s="4">
        <v>1</v>
      </c>
      <c r="D26" s="13" t="s">
        <v>39</v>
      </c>
      <c r="E26" s="69" t="s">
        <v>39</v>
      </c>
      <c r="F26" s="75"/>
      <c r="G26" s="10"/>
      <c r="H26" s="11"/>
      <c r="I26" s="5">
        <f t="shared" ref="I26:I31" si="3">G26*H26</f>
        <v>0</v>
      </c>
    </row>
    <row r="27" spans="1:9" ht="14.25" outlineLevel="1" x14ac:dyDescent="0.3">
      <c r="A27" s="1">
        <f>$A$26</f>
        <v>9</v>
      </c>
      <c r="B27" s="2" t="str">
        <f>$B$26</f>
        <v xml:space="preserve"> </v>
      </c>
      <c r="C27" s="4">
        <v>2</v>
      </c>
      <c r="D27" s="2" t="str">
        <f>$D$26</f>
        <v xml:space="preserve"> </v>
      </c>
      <c r="E27" s="69" t="str">
        <f>$E$26</f>
        <v xml:space="preserve"> </v>
      </c>
      <c r="F27" s="75" t="str">
        <f>IF(F26="R","N",IF(F26="N","F",IF(F26="F","N","")))</f>
        <v/>
      </c>
      <c r="G27" s="10"/>
      <c r="H27" s="11"/>
      <c r="I27" s="5">
        <f t="shared" si="3"/>
        <v>0</v>
      </c>
    </row>
    <row r="28" spans="1:9" ht="14.25" outlineLevel="1" x14ac:dyDescent="0.3">
      <c r="A28" s="1">
        <f>$A$26</f>
        <v>9</v>
      </c>
      <c r="B28" s="2" t="str">
        <f>$B$26</f>
        <v xml:space="preserve"> </v>
      </c>
      <c r="C28" s="4">
        <v>3</v>
      </c>
      <c r="D28" s="2" t="str">
        <f>$D$26</f>
        <v xml:space="preserve"> </v>
      </c>
      <c r="E28" s="69" t="str">
        <f>$E$26</f>
        <v xml:space="preserve"> </v>
      </c>
      <c r="F28" s="75" t="str">
        <f>IF(F26="R","F",IF(F26="N","R",IF(F26="F","R","")))</f>
        <v/>
      </c>
      <c r="G28" s="10"/>
      <c r="H28" s="11"/>
      <c r="I28" s="5">
        <f t="shared" si="3"/>
        <v>0</v>
      </c>
    </row>
    <row r="29" spans="1:9" ht="14.25" x14ac:dyDescent="0.3">
      <c r="A29" s="12">
        <v>10</v>
      </c>
      <c r="B29" s="13" t="s">
        <v>39</v>
      </c>
      <c r="C29" s="4">
        <v>1</v>
      </c>
      <c r="D29" s="13" t="s">
        <v>39</v>
      </c>
      <c r="E29" s="69" t="s">
        <v>39</v>
      </c>
      <c r="F29" s="75"/>
      <c r="G29" s="10"/>
      <c r="H29" s="11"/>
      <c r="I29" s="5">
        <f t="shared" si="3"/>
        <v>0</v>
      </c>
    </row>
    <row r="30" spans="1:9" ht="14.25" outlineLevel="1" x14ac:dyDescent="0.3">
      <c r="A30" s="1">
        <f>$A$29</f>
        <v>10</v>
      </c>
      <c r="B30" s="2" t="str">
        <f>$B$29</f>
        <v xml:space="preserve"> </v>
      </c>
      <c r="C30" s="4">
        <v>2</v>
      </c>
      <c r="D30" s="2" t="str">
        <f>$D$29</f>
        <v xml:space="preserve"> </v>
      </c>
      <c r="E30" s="69" t="str">
        <f>$E$29</f>
        <v xml:space="preserve"> </v>
      </c>
      <c r="F30" s="75" t="str">
        <f>IF(F29="R","N",IF(F29="N","F",IF(F29="F","N","")))</f>
        <v/>
      </c>
      <c r="G30" s="10"/>
      <c r="H30" s="11"/>
      <c r="I30" s="5">
        <f t="shared" si="3"/>
        <v>0</v>
      </c>
    </row>
    <row r="31" spans="1:9" ht="14.25" outlineLevel="1" x14ac:dyDescent="0.3">
      <c r="A31" s="1">
        <f>$A$29</f>
        <v>10</v>
      </c>
      <c r="B31" s="2" t="str">
        <f>$B$29</f>
        <v xml:space="preserve"> </v>
      </c>
      <c r="C31" s="4">
        <v>3</v>
      </c>
      <c r="D31" s="2" t="str">
        <f>$D$29</f>
        <v xml:space="preserve"> </v>
      </c>
      <c r="E31" s="69" t="str">
        <f>$E$29</f>
        <v xml:space="preserve"> </v>
      </c>
      <c r="F31" s="75" t="str">
        <f>IF(F29="R","F",IF(F29="N","R",IF(F29="F","R","")))</f>
        <v/>
      </c>
      <c r="G31" s="10"/>
      <c r="H31" s="11"/>
      <c r="I31" s="5">
        <f t="shared" si="3"/>
        <v>0</v>
      </c>
    </row>
    <row r="36" spans="5:6" x14ac:dyDescent="0.25">
      <c r="E36" s="3" t="s">
        <v>10</v>
      </c>
      <c r="F36" s="3" t="s">
        <v>5</v>
      </c>
    </row>
    <row r="37" spans="5:6" x14ac:dyDescent="0.25">
      <c r="E37" s="74" t="s">
        <v>9</v>
      </c>
      <c r="F37" s="72" t="s">
        <v>6</v>
      </c>
    </row>
    <row r="38" spans="5:6" x14ac:dyDescent="0.25">
      <c r="E38" s="71" t="s">
        <v>39</v>
      </c>
      <c r="F38" s="73" t="s">
        <v>7</v>
      </c>
    </row>
    <row r="39" spans="5:6" x14ac:dyDescent="0.25">
      <c r="E39" s="59"/>
      <c r="F39" s="61" t="s">
        <v>8</v>
      </c>
    </row>
    <row r="40" spans="5:6" x14ac:dyDescent="0.25">
      <c r="E40" s="59"/>
      <c r="F40" s="62"/>
    </row>
    <row r="41" spans="5:6" x14ac:dyDescent="0.25">
      <c r="E41" s="59"/>
    </row>
    <row r="42" spans="5:6" x14ac:dyDescent="0.25">
      <c r="E42" s="59"/>
    </row>
    <row r="43" spans="5:6" x14ac:dyDescent="0.25">
      <c r="E43" s="59"/>
    </row>
    <row r="44" spans="5:6" x14ac:dyDescent="0.25">
      <c r="E44" s="59"/>
    </row>
    <row r="45" spans="5:6" x14ac:dyDescent="0.25">
      <c r="E45" s="60"/>
    </row>
    <row r="46" spans="5:6" x14ac:dyDescent="0.25">
      <c r="E46" s="60"/>
    </row>
    <row r="47" spans="5:6" x14ac:dyDescent="0.25">
      <c r="E47" s="59"/>
    </row>
  </sheetData>
  <dataConsolidate/>
  <phoneticPr fontId="2" type="noConversion"/>
  <dataValidations count="2">
    <dataValidation type="list" allowBlank="1" showInputMessage="1" showErrorMessage="1" sqref="F2:F31">
      <formula1>$F$37:$F$40</formula1>
    </dataValidation>
    <dataValidation type="list" allowBlank="1" showInputMessage="1" showErrorMessage="1" sqref="E2:E31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Fill="0" autoLine="0" r:id="rId5">
            <anchor>
              <from>
                <xdr:col>9</xdr:col>
                <xdr:colOff>666750</xdr:colOff>
                <xdr:row>0</xdr:row>
                <xdr:rowOff>47625</xdr:rowOff>
              </from>
              <to>
                <xdr:col>10</xdr:col>
                <xdr:colOff>619125</xdr:colOff>
                <xdr:row>0</xdr:row>
                <xdr:rowOff>314325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32" r:id="rId6" name="CommandButton3">
          <controlPr defaultSize="0" autoFill="0" autoLine="0" r:id="rId7">
            <anchor>
              <from>
                <xdr:col>9</xdr:col>
                <xdr:colOff>666750</xdr:colOff>
                <xdr:row>0</xdr:row>
                <xdr:rowOff>333375</xdr:rowOff>
              </from>
              <to>
                <xdr:col>10</xdr:col>
                <xdr:colOff>619125</xdr:colOff>
                <xdr:row>0</xdr:row>
                <xdr:rowOff>600075</xdr:rowOff>
              </to>
            </anchor>
          </controlPr>
        </control>
      </mc:Choice>
      <mc:Fallback>
        <control shapeId="1032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Fill="0" autoLine="0" r:id="rId9">
            <anchor>
              <from>
                <xdr:col>8</xdr:col>
                <xdr:colOff>533400</xdr:colOff>
                <xdr:row>0</xdr:row>
                <xdr:rowOff>342900</xdr:rowOff>
              </from>
              <to>
                <xdr:col>9</xdr:col>
                <xdr:colOff>628650</xdr:colOff>
                <xdr:row>0</xdr:row>
                <xdr:rowOff>609600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Fill="0" autoLine="0" autoPict="0" r:id="rId11">
            <anchor>
              <from>
                <xdr:col>8</xdr:col>
                <xdr:colOff>533400</xdr:colOff>
                <xdr:row>0</xdr:row>
                <xdr:rowOff>28575</xdr:rowOff>
              </from>
              <to>
                <xdr:col>9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indexed="17"/>
    <outlinePr summaryBelow="0"/>
  </sheetPr>
  <dimension ref="A1:K51"/>
  <sheetViews>
    <sheetView showGridLines="0" tabSelected="1" workbookViewId="0">
      <pane ySplit="1" topLeftCell="A2" activePane="bottomLeft" state="frozen"/>
      <selection pane="bottomLeft" activeCell="B2" sqref="B2"/>
    </sheetView>
  </sheetViews>
  <sheetFormatPr defaultRowHeight="12.75" x14ac:dyDescent="0.25"/>
  <cols>
    <col min="1" max="1" width="5.625" style="24" customWidth="1"/>
    <col min="2" max="2" width="9" style="19"/>
    <col min="3" max="3" width="19.875" style="19" customWidth="1"/>
    <col min="4" max="4" width="5.625" style="19" bestFit="1" customWidth="1"/>
    <col min="5" max="5" width="9.375" style="19" customWidth="1"/>
    <col min="6" max="6" width="9.375" style="25" customWidth="1"/>
    <col min="7" max="7" width="2.5" style="36" customWidth="1"/>
    <col min="8" max="11" width="12.625" style="19" customWidth="1"/>
    <col min="12" max="16384" width="9" style="19"/>
  </cols>
  <sheetData>
    <row r="1" spans="1:11" ht="76.5" customHeight="1" thickBot="1" x14ac:dyDescent="0.4">
      <c r="A1" s="40" t="s">
        <v>20</v>
      </c>
      <c r="B1" s="41" t="s">
        <v>19</v>
      </c>
      <c r="C1" s="42" t="s">
        <v>12</v>
      </c>
      <c r="D1" s="37" t="s">
        <v>5</v>
      </c>
      <c r="E1" s="38" t="s">
        <v>17</v>
      </c>
      <c r="F1" s="39" t="s">
        <v>18</v>
      </c>
      <c r="H1" s="43" t="s">
        <v>21</v>
      </c>
      <c r="I1" s="43" t="s">
        <v>22</v>
      </c>
      <c r="J1" s="43" t="s">
        <v>23</v>
      </c>
      <c r="K1" s="43" t="s">
        <v>24</v>
      </c>
    </row>
    <row r="2" spans="1:11" ht="16.5" customHeight="1" x14ac:dyDescent="0.35">
      <c r="A2" s="66">
        <v>1</v>
      </c>
      <c r="B2" s="44" t="str">
        <f>Entrada_de_Dados!B2</f>
        <v>Pedro</v>
      </c>
      <c r="C2" s="20"/>
      <c r="D2" s="22"/>
      <c r="E2" s="28"/>
      <c r="F2" s="29"/>
      <c r="H2" s="63">
        <f>1/F5</f>
        <v>1.4444444444444444</v>
      </c>
      <c r="I2" s="63">
        <f>F5/(1-F5)</f>
        <v>2.25</v>
      </c>
      <c r="J2" s="63">
        <f>(1-F3)/F3</f>
        <v>4.2911851652781507</v>
      </c>
      <c r="K2" s="63">
        <f>H2/J2</f>
        <v>0.33660734478019588</v>
      </c>
    </row>
    <row r="3" spans="1:11" ht="15" customHeight="1" x14ac:dyDescent="0.3">
      <c r="A3" s="67"/>
      <c r="B3" s="23"/>
      <c r="C3" s="20" t="s">
        <v>13</v>
      </c>
      <c r="D3" s="21" t="s">
        <v>6</v>
      </c>
      <c r="E3" s="26">
        <f>SUMIF(Entrada_de_Dados!$F$2:$F$4,Resumo!D3,Entrada_de_Dados!$I$2:$I$4)</f>
        <v>14884</v>
      </c>
      <c r="F3" s="27">
        <f>E3/E6</f>
        <v>0.1889935749295274</v>
      </c>
      <c r="H3" s="64"/>
      <c r="I3" s="64"/>
      <c r="J3" s="64"/>
      <c r="K3" s="64"/>
    </row>
    <row r="4" spans="1:11" ht="15" customHeight="1" x14ac:dyDescent="0.3">
      <c r="A4" s="67"/>
      <c r="B4" s="23"/>
      <c r="C4" s="20" t="s">
        <v>14</v>
      </c>
      <c r="D4" s="21" t="s">
        <v>7</v>
      </c>
      <c r="E4" s="26">
        <f>SUMIF(Entrada_de_Dados!$F$2:$F$4,Resumo!D4,Entrada_de_Dados!$I$2:$I$4)</f>
        <v>9348</v>
      </c>
      <c r="F4" s="27">
        <f>E4/E6</f>
        <v>0.1186987327627803</v>
      </c>
      <c r="H4" s="64"/>
      <c r="I4" s="64"/>
      <c r="J4" s="64"/>
      <c r="K4" s="64"/>
    </row>
    <row r="5" spans="1:11" ht="15" customHeight="1" x14ac:dyDescent="0.3">
      <c r="A5" s="67"/>
      <c r="B5" s="23"/>
      <c r="C5" s="20" t="s">
        <v>15</v>
      </c>
      <c r="D5" s="21" t="s">
        <v>8</v>
      </c>
      <c r="E5" s="26">
        <f>SUMIF(Entrada_de_Dados!$F$2:$F$4,Resumo!D5,Entrada_de_Dados!$I$2:$I$4)</f>
        <v>54522</v>
      </c>
      <c r="F5" s="27">
        <f>E5/E6</f>
        <v>0.69230769230769229</v>
      </c>
      <c r="H5" s="64"/>
      <c r="I5" s="64"/>
      <c r="J5" s="64"/>
      <c r="K5" s="64"/>
    </row>
    <row r="6" spans="1:11" ht="15.75" customHeight="1" thickBot="1" x14ac:dyDescent="0.35">
      <c r="A6" s="68"/>
      <c r="B6" s="30"/>
      <c r="C6" s="31" t="s">
        <v>16</v>
      </c>
      <c r="D6" s="32" t="s">
        <v>11</v>
      </c>
      <c r="E6" s="33">
        <f>SUM(E3:E5)</f>
        <v>78754</v>
      </c>
      <c r="F6" s="34"/>
      <c r="H6" s="65"/>
      <c r="I6" s="65"/>
      <c r="J6" s="65"/>
      <c r="K6" s="65"/>
    </row>
    <row r="7" spans="1:11" s="50" customFormat="1" ht="16.5" customHeight="1" x14ac:dyDescent="0.35">
      <c r="A7" s="66">
        <v>2</v>
      </c>
      <c r="B7" s="44" t="str">
        <f>Entrada_de_Dados!B5</f>
        <v>Andre</v>
      </c>
      <c r="C7" s="45"/>
      <c r="D7" s="46"/>
      <c r="E7" s="47"/>
      <c r="F7" s="48"/>
      <c r="G7" s="49"/>
      <c r="H7" s="63">
        <f>1/F10</f>
        <v>3.7443688563199311</v>
      </c>
      <c r="I7" s="63">
        <f>F10/(1-F10)</f>
        <v>0.36438250554298762</v>
      </c>
      <c r="J7" s="63">
        <f>(1-F8)/F8</f>
        <v>0.42144775104357207</v>
      </c>
      <c r="K7" s="63">
        <f>H7/J7</f>
        <v>8.8845387050904279</v>
      </c>
    </row>
    <row r="8" spans="1:11" ht="14.25" customHeight="1" x14ac:dyDescent="0.3">
      <c r="A8" s="67"/>
      <c r="B8" s="23"/>
      <c r="C8" s="20" t="s">
        <v>13</v>
      </c>
      <c r="D8" s="21" t="s">
        <v>6</v>
      </c>
      <c r="E8" s="26">
        <f>SUMIF(Entrada_de_Dados!$F$5:$F$7,Resumo!D8,Entrada_de_Dados!$I$5:$I$7)</f>
        <v>682272</v>
      </c>
      <c r="F8" s="27">
        <f>E8/E11</f>
        <v>0.70350809536674042</v>
      </c>
      <c r="H8" s="64"/>
      <c r="I8" s="64"/>
      <c r="J8" s="64"/>
      <c r="K8" s="64"/>
    </row>
    <row r="9" spans="1:11" ht="14.25" customHeight="1" x14ac:dyDescent="0.3">
      <c r="A9" s="67"/>
      <c r="B9" s="23"/>
      <c r="C9" s="20" t="s">
        <v>14</v>
      </c>
      <c r="D9" s="21" t="s">
        <v>7</v>
      </c>
      <c r="E9" s="26">
        <f>SUMIF(Entrada_de_Dados!$F$5:$F$7,Resumo!D9,Entrada_de_Dados!$I$5:$I$7)</f>
        <v>28536</v>
      </c>
      <c r="F9" s="27">
        <f>E9/E11</f>
        <v>2.9424198866999238E-2</v>
      </c>
      <c r="H9" s="64"/>
      <c r="I9" s="64"/>
      <c r="J9" s="64"/>
      <c r="K9" s="64"/>
    </row>
    <row r="10" spans="1:11" ht="14.25" customHeight="1" x14ac:dyDescent="0.3">
      <c r="A10" s="67"/>
      <c r="B10" s="23"/>
      <c r="C10" s="20" t="s">
        <v>15</v>
      </c>
      <c r="D10" s="21" t="s">
        <v>8</v>
      </c>
      <c r="E10" s="26">
        <f>SUMIF(Entrada_de_Dados!$F$5:$F$7,Resumo!D10,Entrada_de_Dados!$I$5:$I$7)</f>
        <v>259006</v>
      </c>
      <c r="F10" s="27">
        <f>E10/E11</f>
        <v>0.26706770576626032</v>
      </c>
      <c r="H10" s="64"/>
      <c r="I10" s="64"/>
      <c r="J10" s="64"/>
      <c r="K10" s="64"/>
    </row>
    <row r="11" spans="1:11" ht="15" customHeight="1" thickBot="1" x14ac:dyDescent="0.35">
      <c r="A11" s="68"/>
      <c r="B11" s="30"/>
      <c r="C11" s="31" t="s">
        <v>16</v>
      </c>
      <c r="D11" s="32" t="s">
        <v>11</v>
      </c>
      <c r="E11" s="33">
        <f>SUM(E8:E10)</f>
        <v>969814</v>
      </c>
      <c r="F11" s="34"/>
      <c r="H11" s="65"/>
      <c r="I11" s="65"/>
      <c r="J11" s="65"/>
      <c r="K11" s="65"/>
    </row>
    <row r="12" spans="1:11" ht="16.5" customHeight="1" x14ac:dyDescent="0.35">
      <c r="A12" s="66">
        <v>3</v>
      </c>
      <c r="B12" s="44" t="str">
        <f>Entrada_de_Dados!B8</f>
        <v xml:space="preserve"> </v>
      </c>
      <c r="C12" s="20"/>
      <c r="D12" s="22"/>
      <c r="E12" s="35"/>
      <c r="F12" s="29"/>
      <c r="H12" s="63" t="e">
        <f>1/F15</f>
        <v>#DIV/0!</v>
      </c>
      <c r="I12" s="63" t="e">
        <f>F15/(1-F15)</f>
        <v>#DIV/0!</v>
      </c>
      <c r="J12" s="63" t="e">
        <f>(1-F13)/F13</f>
        <v>#DIV/0!</v>
      </c>
      <c r="K12" s="63" t="e">
        <f>H12/J12</f>
        <v>#DIV/0!</v>
      </c>
    </row>
    <row r="13" spans="1:11" ht="14.25" customHeight="1" x14ac:dyDescent="0.3">
      <c r="A13" s="67"/>
      <c r="B13" s="23"/>
      <c r="C13" s="20" t="s">
        <v>13</v>
      </c>
      <c r="D13" s="21" t="s">
        <v>6</v>
      </c>
      <c r="E13" s="26">
        <f>SUMIF(Entrada_de_Dados!$F$8:$F$10,Resumo!D13,Entrada_de_Dados!$I$8:$I$10)</f>
        <v>0</v>
      </c>
      <c r="F13" s="27" t="e">
        <f>E13/E16</f>
        <v>#DIV/0!</v>
      </c>
      <c r="H13" s="64"/>
      <c r="I13" s="64"/>
      <c r="J13" s="64"/>
      <c r="K13" s="64"/>
    </row>
    <row r="14" spans="1:11" ht="14.25" customHeight="1" x14ac:dyDescent="0.3">
      <c r="A14" s="67"/>
      <c r="B14" s="23"/>
      <c r="C14" s="20" t="s">
        <v>14</v>
      </c>
      <c r="D14" s="21" t="s">
        <v>7</v>
      </c>
      <c r="E14" s="26">
        <f>SUMIF(Entrada_de_Dados!$F$8:$F$10,Resumo!D14,Entrada_de_Dados!$I$8:$I$10)</f>
        <v>0</v>
      </c>
      <c r="F14" s="27" t="e">
        <f>E14/E16</f>
        <v>#DIV/0!</v>
      </c>
      <c r="H14" s="64"/>
      <c r="I14" s="64"/>
      <c r="J14" s="64"/>
      <c r="K14" s="64"/>
    </row>
    <row r="15" spans="1:11" ht="14.25" customHeight="1" x14ac:dyDescent="0.3">
      <c r="A15" s="67"/>
      <c r="B15" s="23"/>
      <c r="C15" s="20" t="s">
        <v>15</v>
      </c>
      <c r="D15" s="21" t="s">
        <v>8</v>
      </c>
      <c r="E15" s="26">
        <f>SUMIF(Entrada_de_Dados!$F$8:$F$10,Resumo!D15,Entrada_de_Dados!$I$8:$I$10)</f>
        <v>0</v>
      </c>
      <c r="F15" s="27" t="e">
        <f>E15/E16</f>
        <v>#DIV/0!</v>
      </c>
      <c r="H15" s="64"/>
      <c r="I15" s="64"/>
      <c r="J15" s="64"/>
      <c r="K15" s="64"/>
    </row>
    <row r="16" spans="1:11" ht="15" customHeight="1" thickBot="1" x14ac:dyDescent="0.35">
      <c r="A16" s="68"/>
      <c r="B16" s="30"/>
      <c r="C16" s="31" t="s">
        <v>16</v>
      </c>
      <c r="D16" s="32" t="s">
        <v>11</v>
      </c>
      <c r="E16" s="33">
        <f>SUM(E13:E15)</f>
        <v>0</v>
      </c>
      <c r="F16" s="34"/>
      <c r="H16" s="65"/>
      <c r="I16" s="65"/>
      <c r="J16" s="65"/>
      <c r="K16" s="65"/>
    </row>
    <row r="17" spans="1:11" ht="16.5" customHeight="1" x14ac:dyDescent="0.35">
      <c r="A17" s="66">
        <v>4</v>
      </c>
      <c r="B17" s="44" t="str">
        <f>Entrada_de_Dados!B11</f>
        <v xml:space="preserve"> </v>
      </c>
      <c r="C17" s="20"/>
      <c r="D17" s="22"/>
      <c r="E17" s="35"/>
      <c r="F17" s="29"/>
      <c r="H17" s="63" t="e">
        <f>1/F20</f>
        <v>#DIV/0!</v>
      </c>
      <c r="I17" s="63" t="e">
        <f>F20/(1-F20)</f>
        <v>#DIV/0!</v>
      </c>
      <c r="J17" s="63" t="e">
        <f>(1-F18)/F18</f>
        <v>#DIV/0!</v>
      </c>
      <c r="K17" s="63" t="e">
        <f>H17/J17</f>
        <v>#DIV/0!</v>
      </c>
    </row>
    <row r="18" spans="1:11" ht="14.25" customHeight="1" x14ac:dyDescent="0.3">
      <c r="A18" s="67"/>
      <c r="B18" s="23"/>
      <c r="C18" s="20" t="s">
        <v>13</v>
      </c>
      <c r="D18" s="21" t="s">
        <v>6</v>
      </c>
      <c r="E18" s="26">
        <f>SUMIF(Entrada_de_Dados!$F$11:$F$13,Resumo!D18,Entrada_de_Dados!$I$11:$I$13)</f>
        <v>0</v>
      </c>
      <c r="F18" s="27" t="e">
        <f>E18/E21</f>
        <v>#DIV/0!</v>
      </c>
      <c r="H18" s="64"/>
      <c r="I18" s="64"/>
      <c r="J18" s="64"/>
      <c r="K18" s="64"/>
    </row>
    <row r="19" spans="1:11" ht="14.25" customHeight="1" x14ac:dyDescent="0.3">
      <c r="A19" s="67"/>
      <c r="B19" s="23"/>
      <c r="C19" s="20" t="s">
        <v>14</v>
      </c>
      <c r="D19" s="21" t="s">
        <v>7</v>
      </c>
      <c r="E19" s="26">
        <f>SUMIF(Entrada_de_Dados!$F$11:$F$13,Resumo!D19,Entrada_de_Dados!$I$11:$I$13)</f>
        <v>0</v>
      </c>
      <c r="F19" s="27" t="e">
        <f>E19/E21</f>
        <v>#DIV/0!</v>
      </c>
      <c r="H19" s="64"/>
      <c r="I19" s="64"/>
      <c r="J19" s="64"/>
      <c r="K19" s="64"/>
    </row>
    <row r="20" spans="1:11" ht="14.25" customHeight="1" x14ac:dyDescent="0.3">
      <c r="A20" s="67"/>
      <c r="B20" s="23"/>
      <c r="C20" s="20" t="s">
        <v>15</v>
      </c>
      <c r="D20" s="21" t="s">
        <v>8</v>
      </c>
      <c r="E20" s="26">
        <f>SUMIF(Entrada_de_Dados!$F$11:$F$13,Resumo!D20,Entrada_de_Dados!$I$11:$I$13)</f>
        <v>0</v>
      </c>
      <c r="F20" s="27" t="e">
        <f>E20/E21</f>
        <v>#DIV/0!</v>
      </c>
      <c r="H20" s="64"/>
      <c r="I20" s="64"/>
      <c r="J20" s="64"/>
      <c r="K20" s="64"/>
    </row>
    <row r="21" spans="1:11" ht="15" customHeight="1" thickBot="1" x14ac:dyDescent="0.35">
      <c r="A21" s="68"/>
      <c r="B21" s="30"/>
      <c r="C21" s="31" t="s">
        <v>16</v>
      </c>
      <c r="D21" s="32" t="s">
        <v>11</v>
      </c>
      <c r="E21" s="33">
        <f>SUM(E18:E20)</f>
        <v>0</v>
      </c>
      <c r="F21" s="34"/>
      <c r="H21" s="65"/>
      <c r="I21" s="65"/>
      <c r="J21" s="65"/>
      <c r="K21" s="65"/>
    </row>
    <row r="22" spans="1:11" ht="16.5" customHeight="1" x14ac:dyDescent="0.35">
      <c r="A22" s="66">
        <v>5</v>
      </c>
      <c r="B22" s="44" t="str">
        <f>Entrada_de_Dados!B14</f>
        <v xml:space="preserve"> </v>
      </c>
      <c r="C22" s="20"/>
      <c r="D22" s="22"/>
      <c r="E22" s="35"/>
      <c r="F22" s="29"/>
      <c r="H22" s="63" t="e">
        <f>1/F25</f>
        <v>#DIV/0!</v>
      </c>
      <c r="I22" s="63" t="e">
        <f>F25/(1-F25)</f>
        <v>#DIV/0!</v>
      </c>
      <c r="J22" s="63" t="e">
        <f>(1-F23)/F23</f>
        <v>#DIV/0!</v>
      </c>
      <c r="K22" s="63" t="e">
        <f>H22/J22</f>
        <v>#DIV/0!</v>
      </c>
    </row>
    <row r="23" spans="1:11" ht="14.25" customHeight="1" x14ac:dyDescent="0.3">
      <c r="A23" s="67"/>
      <c r="B23" s="23"/>
      <c r="C23" s="20" t="s">
        <v>13</v>
      </c>
      <c r="D23" s="21" t="s">
        <v>6</v>
      </c>
      <c r="E23" s="26">
        <f>SUMIF(Entrada_de_Dados!$F$14:$F$16,Resumo!D23,Entrada_de_Dados!$I$14:$I$16)</f>
        <v>0</v>
      </c>
      <c r="F23" s="27" t="e">
        <f>E23/E26</f>
        <v>#DIV/0!</v>
      </c>
      <c r="H23" s="64"/>
      <c r="I23" s="64"/>
      <c r="J23" s="64"/>
      <c r="K23" s="64"/>
    </row>
    <row r="24" spans="1:11" ht="14.25" customHeight="1" x14ac:dyDescent="0.3">
      <c r="A24" s="67"/>
      <c r="B24" s="23"/>
      <c r="C24" s="20" t="s">
        <v>14</v>
      </c>
      <c r="D24" s="21" t="s">
        <v>7</v>
      </c>
      <c r="E24" s="26">
        <f>SUMIF(Entrada_de_Dados!$F$14:$F$16,Resumo!D24,Entrada_de_Dados!$I$14:$I$16)</f>
        <v>0</v>
      </c>
      <c r="F24" s="27" t="e">
        <f>E24/E26</f>
        <v>#DIV/0!</v>
      </c>
      <c r="H24" s="64"/>
      <c r="I24" s="64"/>
      <c r="J24" s="64"/>
      <c r="K24" s="64"/>
    </row>
    <row r="25" spans="1:11" ht="14.25" customHeight="1" x14ac:dyDescent="0.3">
      <c r="A25" s="67"/>
      <c r="B25" s="23"/>
      <c r="C25" s="20" t="s">
        <v>15</v>
      </c>
      <c r="D25" s="21" t="s">
        <v>8</v>
      </c>
      <c r="E25" s="26">
        <f>SUMIF(Entrada_de_Dados!$F$14:$F$16,Resumo!D25,Entrada_de_Dados!$I$14:$I$16)</f>
        <v>0</v>
      </c>
      <c r="F25" s="27" t="e">
        <f>E25/E26</f>
        <v>#DIV/0!</v>
      </c>
      <c r="H25" s="64"/>
      <c r="I25" s="64"/>
      <c r="J25" s="64"/>
      <c r="K25" s="64"/>
    </row>
    <row r="26" spans="1:11" ht="15" customHeight="1" thickBot="1" x14ac:dyDescent="0.35">
      <c r="A26" s="68"/>
      <c r="B26" s="30"/>
      <c r="C26" s="31" t="s">
        <v>16</v>
      </c>
      <c r="D26" s="32" t="s">
        <v>11</v>
      </c>
      <c r="E26" s="33">
        <f>SUM(E23:E25)</f>
        <v>0</v>
      </c>
      <c r="F26" s="34"/>
      <c r="H26" s="65"/>
      <c r="I26" s="65"/>
      <c r="J26" s="65"/>
      <c r="K26" s="65"/>
    </row>
    <row r="27" spans="1:11" ht="16.5" customHeight="1" x14ac:dyDescent="0.35">
      <c r="A27" s="66">
        <v>6</v>
      </c>
      <c r="B27" s="44" t="str">
        <f>Entrada_de_Dados!B17</f>
        <v xml:space="preserve"> </v>
      </c>
      <c r="C27" s="20"/>
      <c r="D27" s="22"/>
      <c r="E27" s="35"/>
      <c r="F27" s="29"/>
      <c r="H27" s="63" t="e">
        <f>1/F30</f>
        <v>#DIV/0!</v>
      </c>
      <c r="I27" s="63" t="e">
        <f>F30/(1-F30)</f>
        <v>#DIV/0!</v>
      </c>
      <c r="J27" s="63" t="e">
        <f>(1-F28)/F28</f>
        <v>#DIV/0!</v>
      </c>
      <c r="K27" s="63" t="e">
        <f>H27/J27</f>
        <v>#DIV/0!</v>
      </c>
    </row>
    <row r="28" spans="1:11" ht="14.25" customHeight="1" x14ac:dyDescent="0.3">
      <c r="A28" s="67"/>
      <c r="B28" s="23"/>
      <c r="C28" s="20" t="s">
        <v>13</v>
      </c>
      <c r="D28" s="21" t="s">
        <v>6</v>
      </c>
      <c r="E28" s="26">
        <f>SUMIF(Entrada_de_Dados!$F$17:$F$19,Resumo!D28,Entrada_de_Dados!$I$17:$I$19)</f>
        <v>0</v>
      </c>
      <c r="F28" s="27" t="e">
        <f>E28/E31</f>
        <v>#DIV/0!</v>
      </c>
      <c r="H28" s="64"/>
      <c r="I28" s="64"/>
      <c r="J28" s="64"/>
      <c r="K28" s="64"/>
    </row>
    <row r="29" spans="1:11" ht="14.25" customHeight="1" x14ac:dyDescent="0.3">
      <c r="A29" s="67"/>
      <c r="B29" s="23"/>
      <c r="C29" s="20" t="s">
        <v>14</v>
      </c>
      <c r="D29" s="21" t="s">
        <v>7</v>
      </c>
      <c r="E29" s="26">
        <f>SUMIF(Entrada_de_Dados!$F$17:$F$19,Resumo!D29,Entrada_de_Dados!$I$17:$I$19)</f>
        <v>0</v>
      </c>
      <c r="F29" s="27" t="e">
        <f>E29/E31</f>
        <v>#DIV/0!</v>
      </c>
      <c r="H29" s="64"/>
      <c r="I29" s="64"/>
      <c r="J29" s="64"/>
      <c r="K29" s="64"/>
    </row>
    <row r="30" spans="1:11" ht="14.25" customHeight="1" x14ac:dyDescent="0.3">
      <c r="A30" s="67"/>
      <c r="B30" s="23"/>
      <c r="C30" s="20" t="s">
        <v>15</v>
      </c>
      <c r="D30" s="21" t="s">
        <v>8</v>
      </c>
      <c r="E30" s="26">
        <f>SUMIF(Entrada_de_Dados!$F$17:$F$19,Resumo!D30,Entrada_de_Dados!$I$17:$I$19)</f>
        <v>0</v>
      </c>
      <c r="F30" s="27" t="e">
        <f>E30/E31</f>
        <v>#DIV/0!</v>
      </c>
      <c r="H30" s="64"/>
      <c r="I30" s="64"/>
      <c r="J30" s="64"/>
      <c r="K30" s="64"/>
    </row>
    <row r="31" spans="1:11" ht="15" customHeight="1" thickBot="1" x14ac:dyDescent="0.35">
      <c r="A31" s="68"/>
      <c r="B31" s="30"/>
      <c r="C31" s="31" t="s">
        <v>16</v>
      </c>
      <c r="D31" s="32" t="s">
        <v>11</v>
      </c>
      <c r="E31" s="33">
        <f>SUM(E28:E30)</f>
        <v>0</v>
      </c>
      <c r="F31" s="34"/>
      <c r="H31" s="65"/>
      <c r="I31" s="65"/>
      <c r="J31" s="65"/>
      <c r="K31" s="65"/>
    </row>
    <row r="32" spans="1:11" ht="16.5" customHeight="1" x14ac:dyDescent="0.35">
      <c r="A32" s="66">
        <v>7</v>
      </c>
      <c r="B32" s="44" t="str">
        <f>Entrada_de_Dados!B20</f>
        <v xml:space="preserve"> </v>
      </c>
      <c r="C32" s="20"/>
      <c r="D32" s="22"/>
      <c r="E32" s="28"/>
      <c r="F32" s="29"/>
      <c r="H32" s="63" t="e">
        <f>1/F35</f>
        <v>#DIV/0!</v>
      </c>
      <c r="I32" s="63" t="e">
        <f>F35/(1-F35)</f>
        <v>#DIV/0!</v>
      </c>
      <c r="J32" s="63" t="e">
        <f>(1-F33)/F33</f>
        <v>#DIV/0!</v>
      </c>
      <c r="K32" s="63" t="e">
        <f>H32/J32</f>
        <v>#DIV/0!</v>
      </c>
    </row>
    <row r="33" spans="1:11" ht="14.25" customHeight="1" x14ac:dyDescent="0.3">
      <c r="A33" s="67"/>
      <c r="B33" s="23"/>
      <c r="C33" s="20" t="s">
        <v>13</v>
      </c>
      <c r="D33" s="21" t="s">
        <v>6</v>
      </c>
      <c r="E33" s="26">
        <f>SUMIF(Entrada_de_Dados!$F$20:$F$22,Resumo!D33,Entrada_de_Dados!$I$20:$I$22)</f>
        <v>0</v>
      </c>
      <c r="F33" s="27" t="e">
        <f>E33/E36</f>
        <v>#DIV/0!</v>
      </c>
      <c r="H33" s="64"/>
      <c r="I33" s="64"/>
      <c r="J33" s="64"/>
      <c r="K33" s="64"/>
    </row>
    <row r="34" spans="1:11" ht="14.25" customHeight="1" x14ac:dyDescent="0.3">
      <c r="A34" s="67"/>
      <c r="B34" s="23"/>
      <c r="C34" s="20" t="s">
        <v>14</v>
      </c>
      <c r="D34" s="21" t="s">
        <v>7</v>
      </c>
      <c r="E34" s="26">
        <f>SUMIF(Entrada_de_Dados!$F$20:$F$22,Resumo!D34,Entrada_de_Dados!$I$20:$I$22)</f>
        <v>0</v>
      </c>
      <c r="F34" s="27" t="e">
        <f>E34/E36</f>
        <v>#DIV/0!</v>
      </c>
      <c r="H34" s="64"/>
      <c r="I34" s="64"/>
      <c r="J34" s="64"/>
      <c r="K34" s="64"/>
    </row>
    <row r="35" spans="1:11" ht="14.25" customHeight="1" x14ac:dyDescent="0.3">
      <c r="A35" s="67"/>
      <c r="B35" s="23"/>
      <c r="C35" s="20" t="s">
        <v>15</v>
      </c>
      <c r="D35" s="21" t="s">
        <v>8</v>
      </c>
      <c r="E35" s="26">
        <f>SUMIF(Entrada_de_Dados!$F$20:$F$22,Resumo!D35,Entrada_de_Dados!$I$20:$I$22)</f>
        <v>0</v>
      </c>
      <c r="F35" s="27" t="e">
        <f>E35/E36</f>
        <v>#DIV/0!</v>
      </c>
      <c r="H35" s="64"/>
      <c r="I35" s="64"/>
      <c r="J35" s="64"/>
      <c r="K35" s="64"/>
    </row>
    <row r="36" spans="1:11" ht="15" customHeight="1" thickBot="1" x14ac:dyDescent="0.35">
      <c r="A36" s="68"/>
      <c r="B36" s="30"/>
      <c r="C36" s="31" t="s">
        <v>16</v>
      </c>
      <c r="D36" s="32" t="s">
        <v>11</v>
      </c>
      <c r="E36" s="33">
        <f>SUM(E33:E35)</f>
        <v>0</v>
      </c>
      <c r="F36" s="34"/>
      <c r="H36" s="65"/>
      <c r="I36" s="65"/>
      <c r="J36" s="65"/>
      <c r="K36" s="65"/>
    </row>
    <row r="37" spans="1:11" ht="16.5" customHeight="1" x14ac:dyDescent="0.35">
      <c r="A37" s="66">
        <v>8</v>
      </c>
      <c r="B37" s="44" t="str">
        <f>Entrada_de_Dados!B23</f>
        <v xml:space="preserve"> </v>
      </c>
      <c r="C37" s="20"/>
      <c r="D37" s="22"/>
      <c r="E37" s="28"/>
      <c r="F37" s="29"/>
      <c r="H37" s="63" t="e">
        <f>1/F40</f>
        <v>#DIV/0!</v>
      </c>
      <c r="I37" s="63" t="e">
        <f>F40/(1-F40)</f>
        <v>#DIV/0!</v>
      </c>
      <c r="J37" s="63" t="e">
        <f>(1-F38)/F38</f>
        <v>#DIV/0!</v>
      </c>
      <c r="K37" s="63" t="e">
        <f>H37/J37</f>
        <v>#DIV/0!</v>
      </c>
    </row>
    <row r="38" spans="1:11" ht="14.25" customHeight="1" x14ac:dyDescent="0.3">
      <c r="A38" s="67"/>
      <c r="B38" s="23"/>
      <c r="C38" s="20" t="s">
        <v>13</v>
      </c>
      <c r="D38" s="21" t="s">
        <v>6</v>
      </c>
      <c r="E38" s="26">
        <f>SUMIF(Entrada_de_Dados!$F$23:$F$25,Resumo!D38,Entrada_de_Dados!$I$23:$I$25)</f>
        <v>0</v>
      </c>
      <c r="F38" s="27" t="e">
        <f>E38/E41</f>
        <v>#DIV/0!</v>
      </c>
      <c r="H38" s="64"/>
      <c r="I38" s="64"/>
      <c r="J38" s="64"/>
      <c r="K38" s="64"/>
    </row>
    <row r="39" spans="1:11" ht="14.25" customHeight="1" x14ac:dyDescent="0.3">
      <c r="A39" s="67"/>
      <c r="B39" s="23"/>
      <c r="C39" s="20" t="s">
        <v>14</v>
      </c>
      <c r="D39" s="21" t="s">
        <v>7</v>
      </c>
      <c r="E39" s="26">
        <f>SUMIF(Entrada_de_Dados!$F$23:$F$25,Resumo!D39,Entrada_de_Dados!$I$23:$I$25)</f>
        <v>0</v>
      </c>
      <c r="F39" s="27" t="e">
        <f>E39/E41</f>
        <v>#DIV/0!</v>
      </c>
      <c r="H39" s="64"/>
      <c r="I39" s="64"/>
      <c r="J39" s="64"/>
      <c r="K39" s="64"/>
    </row>
    <row r="40" spans="1:11" ht="14.25" customHeight="1" x14ac:dyDescent="0.3">
      <c r="A40" s="67"/>
      <c r="B40" s="23"/>
      <c r="C40" s="20" t="s">
        <v>15</v>
      </c>
      <c r="D40" s="21" t="s">
        <v>8</v>
      </c>
      <c r="E40" s="26">
        <f>SUMIF(Entrada_de_Dados!$F$23:$F$25,Resumo!D40,Entrada_de_Dados!$I$23:$I$25)</f>
        <v>0</v>
      </c>
      <c r="F40" s="27" t="e">
        <f>E40/E41</f>
        <v>#DIV/0!</v>
      </c>
      <c r="H40" s="64"/>
      <c r="I40" s="64"/>
      <c r="J40" s="64"/>
      <c r="K40" s="64"/>
    </row>
    <row r="41" spans="1:11" ht="15" customHeight="1" thickBot="1" x14ac:dyDescent="0.35">
      <c r="A41" s="68"/>
      <c r="B41" s="30"/>
      <c r="C41" s="31" t="s">
        <v>16</v>
      </c>
      <c r="D41" s="32" t="s">
        <v>11</v>
      </c>
      <c r="E41" s="33">
        <f>SUM(E38:E40)</f>
        <v>0</v>
      </c>
      <c r="F41" s="34"/>
      <c r="H41" s="65"/>
      <c r="I41" s="65"/>
      <c r="J41" s="65"/>
      <c r="K41" s="65"/>
    </row>
    <row r="42" spans="1:11" ht="16.5" customHeight="1" x14ac:dyDescent="0.35">
      <c r="A42" s="66">
        <v>9</v>
      </c>
      <c r="B42" s="44" t="str">
        <f>Entrada_de_Dados!B26</f>
        <v xml:space="preserve"> </v>
      </c>
      <c r="C42" s="20"/>
      <c r="D42" s="22"/>
      <c r="E42" s="28"/>
      <c r="F42" s="29"/>
      <c r="H42" s="63" t="e">
        <f>1/F45</f>
        <v>#DIV/0!</v>
      </c>
      <c r="I42" s="63" t="e">
        <f>F45/(1-F45)</f>
        <v>#DIV/0!</v>
      </c>
      <c r="J42" s="63" t="e">
        <f>(1-F43)/F43</f>
        <v>#DIV/0!</v>
      </c>
      <c r="K42" s="63" t="e">
        <f>H42/J42</f>
        <v>#DIV/0!</v>
      </c>
    </row>
    <row r="43" spans="1:11" ht="14.25" customHeight="1" x14ac:dyDescent="0.3">
      <c r="A43" s="67"/>
      <c r="B43" s="23"/>
      <c r="C43" s="20" t="s">
        <v>13</v>
      </c>
      <c r="D43" s="21" t="s">
        <v>6</v>
      </c>
      <c r="E43" s="26">
        <f>SUMIF(Entrada_de_Dados!$F$26:$F$28,Resumo!D43,Entrada_de_Dados!$I$26:$I$28)</f>
        <v>0</v>
      </c>
      <c r="F43" s="27" t="e">
        <f>E43/E46</f>
        <v>#DIV/0!</v>
      </c>
      <c r="H43" s="64"/>
      <c r="I43" s="64"/>
      <c r="J43" s="64"/>
      <c r="K43" s="64"/>
    </row>
    <row r="44" spans="1:11" ht="14.25" customHeight="1" x14ac:dyDescent="0.3">
      <c r="A44" s="67"/>
      <c r="B44" s="23"/>
      <c r="C44" s="20" t="s">
        <v>14</v>
      </c>
      <c r="D44" s="21" t="s">
        <v>7</v>
      </c>
      <c r="E44" s="26">
        <f>SUMIF(Entrada_de_Dados!$F$26:$F$28,Resumo!D44,Entrada_de_Dados!$I$26:$I$28)</f>
        <v>0</v>
      </c>
      <c r="F44" s="27" t="e">
        <f>E44/E46</f>
        <v>#DIV/0!</v>
      </c>
      <c r="H44" s="64"/>
      <c r="I44" s="64"/>
      <c r="J44" s="64"/>
      <c r="K44" s="64"/>
    </row>
    <row r="45" spans="1:11" ht="14.25" customHeight="1" x14ac:dyDescent="0.3">
      <c r="A45" s="67"/>
      <c r="B45" s="23"/>
      <c r="C45" s="20" t="s">
        <v>15</v>
      </c>
      <c r="D45" s="21" t="s">
        <v>8</v>
      </c>
      <c r="E45" s="26">
        <f>SUMIF(Entrada_de_Dados!$F$26:$F$28,Resumo!D45,Entrada_de_Dados!$I$26:$I$28)</f>
        <v>0</v>
      </c>
      <c r="F45" s="27" t="e">
        <f>E45/E46</f>
        <v>#DIV/0!</v>
      </c>
      <c r="H45" s="64"/>
      <c r="I45" s="64"/>
      <c r="J45" s="64"/>
      <c r="K45" s="64"/>
    </row>
    <row r="46" spans="1:11" ht="15" customHeight="1" thickBot="1" x14ac:dyDescent="0.35">
      <c r="A46" s="68"/>
      <c r="B46" s="30"/>
      <c r="C46" s="31" t="s">
        <v>16</v>
      </c>
      <c r="D46" s="32" t="s">
        <v>11</v>
      </c>
      <c r="E46" s="33">
        <f>SUM(E43:E45)</f>
        <v>0</v>
      </c>
      <c r="F46" s="34"/>
      <c r="H46" s="65"/>
      <c r="I46" s="65"/>
      <c r="J46" s="65"/>
      <c r="K46" s="65"/>
    </row>
    <row r="47" spans="1:11" ht="16.5" customHeight="1" x14ac:dyDescent="0.35">
      <c r="A47" s="66">
        <v>10</v>
      </c>
      <c r="B47" s="44" t="str">
        <f>Entrada_de_Dados!B29</f>
        <v xml:space="preserve"> </v>
      </c>
      <c r="C47" s="20"/>
      <c r="D47" s="22"/>
      <c r="E47" s="28"/>
      <c r="F47" s="29"/>
      <c r="H47" s="63" t="e">
        <f>1/F50</f>
        <v>#DIV/0!</v>
      </c>
      <c r="I47" s="63" t="e">
        <f>F50/(1-F50)</f>
        <v>#DIV/0!</v>
      </c>
      <c r="J47" s="63" t="e">
        <f>(1-F48)/F48</f>
        <v>#DIV/0!</v>
      </c>
      <c r="K47" s="63" t="e">
        <f>H47/J47</f>
        <v>#DIV/0!</v>
      </c>
    </row>
    <row r="48" spans="1:11" ht="14.25" customHeight="1" x14ac:dyDescent="0.3">
      <c r="A48" s="67"/>
      <c r="B48" s="23"/>
      <c r="C48" s="20" t="s">
        <v>13</v>
      </c>
      <c r="D48" s="21" t="s">
        <v>6</v>
      </c>
      <c r="E48" s="26">
        <f>SUMIF(Entrada_de_Dados!$F$29:$F$31,Resumo!D48,Entrada_de_Dados!$I$29:$I$31)</f>
        <v>0</v>
      </c>
      <c r="F48" s="27" t="e">
        <f>E43/E46</f>
        <v>#DIV/0!</v>
      </c>
      <c r="H48" s="64"/>
      <c r="I48" s="64"/>
      <c r="J48" s="64"/>
      <c r="K48" s="64"/>
    </row>
    <row r="49" spans="1:11" ht="14.25" customHeight="1" x14ac:dyDescent="0.3">
      <c r="A49" s="67"/>
      <c r="B49" s="23"/>
      <c r="C49" s="20" t="s">
        <v>14</v>
      </c>
      <c r="D49" s="21" t="s">
        <v>7</v>
      </c>
      <c r="E49" s="26">
        <f>SUMIF(Entrada_de_Dados!$F$29:$F$31,Resumo!D49,Entrada_de_Dados!$I$29:$I$31)</f>
        <v>0</v>
      </c>
      <c r="F49" s="27" t="e">
        <f>E44/E46</f>
        <v>#DIV/0!</v>
      </c>
      <c r="H49" s="64"/>
      <c r="I49" s="64"/>
      <c r="J49" s="64"/>
      <c r="K49" s="64"/>
    </row>
    <row r="50" spans="1:11" ht="14.25" customHeight="1" x14ac:dyDescent="0.3">
      <c r="A50" s="67"/>
      <c r="B50" s="23"/>
      <c r="C50" s="20" t="s">
        <v>15</v>
      </c>
      <c r="D50" s="21" t="s">
        <v>8</v>
      </c>
      <c r="E50" s="26">
        <f>SUMIF(Entrada_de_Dados!$F$29:$F$31,Resumo!D50,Entrada_de_Dados!$I$29:$I$31)</f>
        <v>0</v>
      </c>
      <c r="F50" s="27" t="e">
        <f>E45/E46</f>
        <v>#DIV/0!</v>
      </c>
      <c r="H50" s="64"/>
      <c r="I50" s="64"/>
      <c r="J50" s="64"/>
      <c r="K50" s="64"/>
    </row>
    <row r="51" spans="1:11" ht="15" customHeight="1" thickBot="1" x14ac:dyDescent="0.35">
      <c r="A51" s="68"/>
      <c r="B51" s="30"/>
      <c r="C51" s="31" t="s">
        <v>16</v>
      </c>
      <c r="D51" s="32" t="s">
        <v>11</v>
      </c>
      <c r="E51" s="33">
        <f>SUM(E48:E50)</f>
        <v>0</v>
      </c>
      <c r="F51" s="34"/>
      <c r="H51" s="65"/>
      <c r="I51" s="65"/>
      <c r="J51" s="65"/>
      <c r="K51" s="65"/>
    </row>
  </sheetData>
  <mergeCells count="50">
    <mergeCell ref="A2:A6"/>
    <mergeCell ref="A7:A11"/>
    <mergeCell ref="A12:A16"/>
    <mergeCell ref="A17:A21"/>
    <mergeCell ref="A22:A26"/>
    <mergeCell ref="A27:A31"/>
    <mergeCell ref="J12:J16"/>
    <mergeCell ref="K12:K16"/>
    <mergeCell ref="A32:A36"/>
    <mergeCell ref="A37:A41"/>
    <mergeCell ref="A42:A46"/>
    <mergeCell ref="A47:A51"/>
    <mergeCell ref="H12:H16"/>
    <mergeCell ref="I12:I16"/>
    <mergeCell ref="H22:H26"/>
    <mergeCell ref="I22:I26"/>
    <mergeCell ref="J2:J6"/>
    <mergeCell ref="K2:K6"/>
    <mergeCell ref="H7:H11"/>
    <mergeCell ref="I7:I11"/>
    <mergeCell ref="J7:J11"/>
    <mergeCell ref="K7:K11"/>
    <mergeCell ref="H2:H6"/>
    <mergeCell ref="I2:I6"/>
    <mergeCell ref="H17:H21"/>
    <mergeCell ref="I17:I21"/>
    <mergeCell ref="J17:J21"/>
    <mergeCell ref="K17:K21"/>
    <mergeCell ref="J22:J26"/>
    <mergeCell ref="K22:K26"/>
    <mergeCell ref="I42:I46"/>
    <mergeCell ref="J42:J46"/>
    <mergeCell ref="H27:H31"/>
    <mergeCell ref="I27:I31"/>
    <mergeCell ref="J27:J31"/>
    <mergeCell ref="K27:K31"/>
    <mergeCell ref="J32:J36"/>
    <mergeCell ref="K32:K36"/>
    <mergeCell ref="H32:H36"/>
    <mergeCell ref="I32:I36"/>
    <mergeCell ref="H37:H41"/>
    <mergeCell ref="I37:I41"/>
    <mergeCell ref="J37:J41"/>
    <mergeCell ref="K37:K41"/>
    <mergeCell ref="H47:H51"/>
    <mergeCell ref="K42:K46"/>
    <mergeCell ref="K47:K51"/>
    <mergeCell ref="J47:J51"/>
    <mergeCell ref="I47:I51"/>
    <mergeCell ref="H42:H46"/>
  </mergeCells>
  <phoneticPr fontId="2" type="noConversion"/>
  <conditionalFormatting sqref="H2:H51">
    <cfRule type="cellIs" dxfId="7" priority="1" stopIfTrue="1" operator="greaterThanOrEqual">
      <formula>5</formula>
    </cfRule>
    <cfRule type="cellIs" dxfId="6" priority="2" stopIfTrue="1" operator="lessThanOrEqual">
      <formula>2</formula>
    </cfRule>
  </conditionalFormatting>
  <conditionalFormatting sqref="I2:I51">
    <cfRule type="cellIs" dxfId="5" priority="3" stopIfTrue="1" operator="lessThanOrEqual">
      <formula>0.25</formula>
    </cfRule>
    <cfRule type="cellIs" dxfId="4" priority="4" stopIfTrue="1" operator="greaterThanOrEqual">
      <formula>1</formula>
    </cfRule>
  </conditionalFormatting>
  <conditionalFormatting sqref="J2:J51">
    <cfRule type="cellIs" dxfId="3" priority="5" stopIfTrue="1" operator="lessThanOrEqual">
      <formula>2</formula>
    </cfRule>
    <cfRule type="cellIs" dxfId="2" priority="6" stopIfTrue="1" operator="greaterThanOrEqual">
      <formula>10</formula>
    </cfRule>
  </conditionalFormatting>
  <conditionalFormatting sqref="K2:K51">
    <cfRule type="cellIs" dxfId="1" priority="7" stopIfTrue="1" operator="greaterThanOrEqual">
      <formula>5</formula>
    </cfRule>
    <cfRule type="cellIs" dxfId="0" priority="8" stopIfTrue="1" operator="lessThanOrEqual">
      <formula>1</formula>
    </cfRule>
  </conditionalFormatting>
  <dataValidations disablePrompts="1" count="1">
    <dataValidation type="list" allowBlank="1" showInputMessage="1" showErrorMessage="1" sqref="D3:D5 D8:D10 D13:D15 D18:D20 D23:D25 D28:D30 D33:D35 D38:D40 D43:D45 D48:D50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6" r:id="rId4" name="CommandButton2">
          <controlPr defaultSize="0" autoFill="0" autoLine="0" r:id="rId5">
            <anchor>
              <from>
                <xdr:col>11</xdr:col>
                <xdr:colOff>47625</xdr:colOff>
                <xdr:row>0</xdr:row>
                <xdr:rowOff>57150</xdr:rowOff>
              </from>
              <to>
                <xdr:col>12</xdr:col>
                <xdr:colOff>76200</xdr:colOff>
                <xdr:row>0</xdr:row>
                <xdr:rowOff>323850</xdr:rowOff>
              </to>
            </anchor>
          </controlPr>
        </control>
      </mc:Choice>
      <mc:Fallback>
        <control shapeId="2096" r:id="rId4" name="CommandButton2"/>
      </mc:Fallback>
    </mc:AlternateContent>
    <mc:AlternateContent xmlns:mc="http://schemas.openxmlformats.org/markup-compatibility/2006">
      <mc:Choice Requires="x14">
        <control shapeId="2095" r:id="rId6" name="CommandButton1">
          <controlPr defaultSize="0" autoFill="0" autoLine="0" r:id="rId7">
            <anchor>
              <from>
                <xdr:col>11</xdr:col>
                <xdr:colOff>47625</xdr:colOff>
                <xdr:row>0</xdr:row>
                <xdr:rowOff>342900</xdr:rowOff>
              </from>
              <to>
                <xdr:col>12</xdr:col>
                <xdr:colOff>76200</xdr:colOff>
                <xdr:row>0</xdr:row>
                <xdr:rowOff>609600</xdr:rowOff>
              </to>
            </anchor>
          </controlPr>
        </control>
      </mc:Choice>
      <mc:Fallback>
        <control shapeId="209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indexed="12"/>
  </sheetPr>
  <dimension ref="A1:I65"/>
  <sheetViews>
    <sheetView showGridLines="0" workbookViewId="0">
      <selection activeCell="K14" sqref="K14"/>
    </sheetView>
  </sheetViews>
  <sheetFormatPr defaultRowHeight="15" x14ac:dyDescent="0.3"/>
  <cols>
    <col min="1" max="1" width="7.375" customWidth="1"/>
    <col min="2" max="2" width="44.875" customWidth="1"/>
    <col min="3" max="4" width="7.5" customWidth="1"/>
    <col min="5" max="7" width="11.125" customWidth="1"/>
  </cols>
  <sheetData>
    <row r="1" spans="1:9" x14ac:dyDescent="0.3">
      <c r="A1" s="76"/>
      <c r="B1" s="58"/>
      <c r="C1" s="58"/>
      <c r="D1" s="58"/>
      <c r="E1" s="58"/>
      <c r="F1" s="58"/>
      <c r="G1" s="58"/>
      <c r="H1" s="58"/>
      <c r="I1" s="58"/>
    </row>
    <row r="2" spans="1:9" x14ac:dyDescent="0.3">
      <c r="A2" s="76" t="s">
        <v>43</v>
      </c>
      <c r="B2" s="76"/>
      <c r="C2" s="77"/>
      <c r="D2" s="77"/>
      <c r="E2" s="77"/>
      <c r="F2" s="77"/>
      <c r="G2" s="77"/>
      <c r="H2" s="58"/>
      <c r="I2" s="58"/>
    </row>
    <row r="3" spans="1:9" x14ac:dyDescent="0.3">
      <c r="A3" s="57" t="s">
        <v>2</v>
      </c>
      <c r="B3" s="70" t="s">
        <v>3</v>
      </c>
      <c r="C3" s="57" t="s">
        <v>4</v>
      </c>
      <c r="D3" s="57" t="s">
        <v>5</v>
      </c>
      <c r="E3" s="57" t="s">
        <v>44</v>
      </c>
      <c r="F3" s="57"/>
      <c r="G3" s="57"/>
      <c r="H3" s="58"/>
      <c r="I3" s="58"/>
    </row>
    <row r="4" spans="1:9" x14ac:dyDescent="0.3">
      <c r="A4" s="58">
        <v>1</v>
      </c>
      <c r="B4" s="58" t="s">
        <v>42</v>
      </c>
      <c r="C4" s="58" t="s">
        <v>9</v>
      </c>
      <c r="D4" s="58" t="s">
        <v>6</v>
      </c>
      <c r="E4" s="58">
        <v>122</v>
      </c>
      <c r="F4" s="58">
        <v>122</v>
      </c>
      <c r="G4" s="58">
        <v>14884</v>
      </c>
      <c r="H4" s="58"/>
      <c r="I4" s="58"/>
    </row>
    <row r="5" spans="1:9" x14ac:dyDescent="0.3">
      <c r="A5" s="58">
        <v>2</v>
      </c>
      <c r="B5" s="58" t="s">
        <v>42</v>
      </c>
      <c r="C5" s="58" t="s">
        <v>9</v>
      </c>
      <c r="D5" s="58" t="s">
        <v>7</v>
      </c>
      <c r="E5" s="58">
        <v>123</v>
      </c>
      <c r="F5" s="58">
        <v>76</v>
      </c>
      <c r="G5" s="58">
        <v>9348</v>
      </c>
      <c r="H5" s="58"/>
      <c r="I5" s="58"/>
    </row>
    <row r="6" spans="1:9" x14ac:dyDescent="0.3">
      <c r="A6" s="56">
        <v>3</v>
      </c>
      <c r="B6" s="56" t="s">
        <v>42</v>
      </c>
      <c r="C6" s="56" t="s">
        <v>9</v>
      </c>
      <c r="D6" s="56" t="s">
        <v>8</v>
      </c>
      <c r="E6" s="56">
        <v>234</v>
      </c>
      <c r="F6" s="56">
        <v>233</v>
      </c>
      <c r="G6" s="56">
        <v>54522</v>
      </c>
      <c r="H6" s="58"/>
      <c r="I6" s="58"/>
    </row>
    <row r="7" spans="1:9" x14ac:dyDescent="0.3">
      <c r="A7" s="76"/>
      <c r="B7" s="58"/>
      <c r="C7" s="58"/>
      <c r="D7" s="58"/>
      <c r="E7" s="58"/>
      <c r="F7" s="58"/>
      <c r="G7" s="58"/>
      <c r="H7" s="58"/>
      <c r="I7" s="58"/>
    </row>
    <row r="8" spans="1:9" x14ac:dyDescent="0.3">
      <c r="A8" s="76" t="s">
        <v>48</v>
      </c>
      <c r="B8" s="76"/>
      <c r="C8" s="77"/>
      <c r="D8" s="77"/>
      <c r="E8" s="77"/>
      <c r="F8" s="77"/>
      <c r="G8" s="77"/>
      <c r="H8" s="58"/>
      <c r="I8" s="58"/>
    </row>
    <row r="9" spans="1:9" x14ac:dyDescent="0.3">
      <c r="A9" s="57" t="s">
        <v>2</v>
      </c>
      <c r="B9" s="70" t="s">
        <v>3</v>
      </c>
      <c r="C9" s="57" t="s">
        <v>4</v>
      </c>
      <c r="D9" s="57" t="s">
        <v>5</v>
      </c>
      <c r="E9" s="57" t="s">
        <v>44</v>
      </c>
      <c r="F9" s="57"/>
      <c r="G9" s="57"/>
      <c r="H9" s="58"/>
      <c r="I9" s="58"/>
    </row>
    <row r="10" spans="1:9" x14ac:dyDescent="0.3">
      <c r="A10" s="58">
        <v>1</v>
      </c>
      <c r="B10" s="58" t="s">
        <v>47</v>
      </c>
      <c r="C10" s="58" t="s">
        <v>9</v>
      </c>
      <c r="D10" s="58" t="s">
        <v>7</v>
      </c>
      <c r="E10" s="58">
        <v>123</v>
      </c>
      <c r="F10" s="58">
        <v>232</v>
      </c>
      <c r="G10" s="58">
        <v>28536</v>
      </c>
      <c r="H10" s="58"/>
      <c r="I10" s="58"/>
    </row>
    <row r="11" spans="1:9" x14ac:dyDescent="0.3">
      <c r="A11" s="58">
        <v>2</v>
      </c>
      <c r="B11" s="58" t="s">
        <v>47</v>
      </c>
      <c r="C11" s="58" t="s">
        <v>9</v>
      </c>
      <c r="D11" s="58" t="s">
        <v>8</v>
      </c>
      <c r="E11" s="58">
        <v>2123</v>
      </c>
      <c r="F11" s="58">
        <v>122</v>
      </c>
      <c r="G11" s="58">
        <v>259006</v>
      </c>
      <c r="H11" s="58"/>
      <c r="I11" s="58"/>
    </row>
    <row r="12" spans="1:9" x14ac:dyDescent="0.3">
      <c r="A12" s="56">
        <v>3</v>
      </c>
      <c r="B12" s="56" t="s">
        <v>47</v>
      </c>
      <c r="C12" s="56" t="s">
        <v>9</v>
      </c>
      <c r="D12" s="56" t="s">
        <v>6</v>
      </c>
      <c r="E12" s="56">
        <v>21321</v>
      </c>
      <c r="F12" s="56">
        <v>32</v>
      </c>
      <c r="G12" s="56">
        <v>682272</v>
      </c>
      <c r="H12" s="58"/>
      <c r="I12" s="58"/>
    </row>
    <row r="13" spans="1:9" x14ac:dyDescent="0.3">
      <c r="A13" s="76"/>
      <c r="B13" s="58"/>
      <c r="C13" s="58"/>
      <c r="D13" s="58"/>
      <c r="E13" s="58"/>
      <c r="F13" s="58"/>
      <c r="G13" s="58"/>
      <c r="H13" s="58"/>
      <c r="I13" s="58"/>
    </row>
    <row r="14" spans="1:9" x14ac:dyDescent="0.3">
      <c r="A14" s="76" t="s">
        <v>46</v>
      </c>
      <c r="B14" s="76"/>
      <c r="C14" s="77"/>
      <c r="D14" s="77"/>
      <c r="E14" s="77"/>
      <c r="F14" s="77"/>
      <c r="G14" s="77"/>
      <c r="H14" s="58"/>
      <c r="I14" s="58"/>
    </row>
    <row r="15" spans="1:9" x14ac:dyDescent="0.3">
      <c r="A15" s="57" t="s">
        <v>2</v>
      </c>
      <c r="B15" s="70" t="s">
        <v>3</v>
      </c>
      <c r="C15" s="57" t="s">
        <v>4</v>
      </c>
      <c r="D15" s="57" t="s">
        <v>5</v>
      </c>
      <c r="E15" s="57" t="s">
        <v>44</v>
      </c>
      <c r="F15" s="57"/>
      <c r="G15" s="57"/>
      <c r="H15" s="58"/>
      <c r="I15" s="58"/>
    </row>
    <row r="16" spans="1:9" x14ac:dyDescent="0.3">
      <c r="A16" s="58">
        <v>1</v>
      </c>
      <c r="B16" s="58" t="s">
        <v>39</v>
      </c>
      <c r="C16" s="58" t="s">
        <v>39</v>
      </c>
      <c r="D16" s="58"/>
      <c r="E16" s="58"/>
      <c r="F16" s="58"/>
      <c r="G16" s="58">
        <v>0</v>
      </c>
      <c r="H16" s="58"/>
      <c r="I16" s="58"/>
    </row>
    <row r="17" spans="1:9" x14ac:dyDescent="0.3">
      <c r="A17" s="58">
        <v>2</v>
      </c>
      <c r="B17" s="58" t="s">
        <v>39</v>
      </c>
      <c r="C17" s="58" t="s">
        <v>39</v>
      </c>
      <c r="D17" s="58" t="s">
        <v>45</v>
      </c>
      <c r="E17" s="58"/>
      <c r="F17" s="58"/>
      <c r="G17" s="58">
        <v>0</v>
      </c>
      <c r="H17" s="58"/>
      <c r="I17" s="58"/>
    </row>
    <row r="18" spans="1:9" x14ac:dyDescent="0.3">
      <c r="A18" s="56">
        <v>3</v>
      </c>
      <c r="B18" s="56" t="s">
        <v>39</v>
      </c>
      <c r="C18" s="56" t="s">
        <v>39</v>
      </c>
      <c r="D18" s="56" t="s">
        <v>45</v>
      </c>
      <c r="E18" s="56"/>
      <c r="F18" s="56"/>
      <c r="G18" s="56">
        <v>0</v>
      </c>
      <c r="H18" s="58"/>
      <c r="I18" s="58"/>
    </row>
    <row r="19" spans="1:9" x14ac:dyDescent="0.3">
      <c r="A19" s="76"/>
      <c r="B19" s="58"/>
      <c r="C19" s="58"/>
      <c r="D19" s="58"/>
      <c r="E19" s="58"/>
      <c r="F19" s="58"/>
      <c r="G19" s="58"/>
      <c r="H19" s="58"/>
      <c r="I19" s="58"/>
    </row>
    <row r="20" spans="1:9" x14ac:dyDescent="0.3">
      <c r="A20" s="76" t="s">
        <v>46</v>
      </c>
      <c r="B20" s="76"/>
      <c r="C20" s="77"/>
      <c r="D20" s="77"/>
      <c r="E20" s="77"/>
      <c r="F20" s="77"/>
      <c r="G20" s="77"/>
      <c r="H20" s="58"/>
      <c r="I20" s="58"/>
    </row>
    <row r="21" spans="1:9" x14ac:dyDescent="0.3">
      <c r="A21" s="57" t="s">
        <v>2</v>
      </c>
      <c r="B21" s="70" t="s">
        <v>3</v>
      </c>
      <c r="C21" s="57" t="s">
        <v>4</v>
      </c>
      <c r="D21" s="57" t="s">
        <v>5</v>
      </c>
      <c r="E21" s="57" t="s">
        <v>44</v>
      </c>
      <c r="F21" s="57"/>
      <c r="G21" s="57"/>
      <c r="H21" s="58"/>
      <c r="I21" s="58"/>
    </row>
    <row r="22" spans="1:9" x14ac:dyDescent="0.3">
      <c r="A22" s="58">
        <v>1</v>
      </c>
      <c r="B22" s="58" t="s">
        <v>39</v>
      </c>
      <c r="C22" s="58" t="s">
        <v>39</v>
      </c>
      <c r="D22" s="58"/>
      <c r="E22" s="58"/>
      <c r="F22" s="58"/>
      <c r="G22" s="58">
        <v>0</v>
      </c>
      <c r="H22" s="58"/>
      <c r="I22" s="58"/>
    </row>
    <row r="23" spans="1:9" x14ac:dyDescent="0.3">
      <c r="A23" s="58">
        <v>2</v>
      </c>
      <c r="B23" s="58" t="s">
        <v>39</v>
      </c>
      <c r="C23" s="58" t="s">
        <v>39</v>
      </c>
      <c r="D23" s="58" t="s">
        <v>45</v>
      </c>
      <c r="E23" s="58"/>
      <c r="F23" s="58"/>
      <c r="G23" s="58">
        <v>0</v>
      </c>
      <c r="H23" s="58"/>
      <c r="I23" s="58"/>
    </row>
    <row r="24" spans="1:9" x14ac:dyDescent="0.3">
      <c r="A24" s="56">
        <v>3</v>
      </c>
      <c r="B24" s="56" t="s">
        <v>39</v>
      </c>
      <c r="C24" s="56" t="s">
        <v>39</v>
      </c>
      <c r="D24" s="56" t="s">
        <v>45</v>
      </c>
      <c r="E24" s="56"/>
      <c r="F24" s="56"/>
      <c r="G24" s="56">
        <v>0</v>
      </c>
      <c r="H24" s="58"/>
      <c r="I24" s="58"/>
    </row>
    <row r="25" spans="1:9" x14ac:dyDescent="0.3">
      <c r="A25" s="76"/>
      <c r="B25" s="58"/>
      <c r="C25" s="58"/>
      <c r="D25" s="58"/>
      <c r="E25" s="58"/>
      <c r="F25" s="58"/>
      <c r="G25" s="58"/>
      <c r="H25" s="58"/>
      <c r="I25" s="58"/>
    </row>
    <row r="26" spans="1:9" x14ac:dyDescent="0.3">
      <c r="A26" s="76" t="s">
        <v>46</v>
      </c>
      <c r="B26" s="76"/>
      <c r="C26" s="77"/>
      <c r="D26" s="77"/>
      <c r="E26" s="77"/>
      <c r="F26" s="77"/>
      <c r="G26" s="77"/>
      <c r="H26" s="58"/>
      <c r="I26" s="58"/>
    </row>
    <row r="27" spans="1:9" x14ac:dyDescent="0.3">
      <c r="A27" s="57" t="s">
        <v>2</v>
      </c>
      <c r="B27" s="70" t="s">
        <v>3</v>
      </c>
      <c r="C27" s="57" t="s">
        <v>4</v>
      </c>
      <c r="D27" s="57" t="s">
        <v>5</v>
      </c>
      <c r="E27" s="57" t="s">
        <v>44</v>
      </c>
      <c r="F27" s="57"/>
      <c r="G27" s="57"/>
      <c r="H27" s="58"/>
      <c r="I27" s="58"/>
    </row>
    <row r="28" spans="1:9" x14ac:dyDescent="0.3">
      <c r="A28" s="58">
        <v>1</v>
      </c>
      <c r="B28" s="58" t="s">
        <v>39</v>
      </c>
      <c r="C28" s="58" t="s">
        <v>39</v>
      </c>
      <c r="D28" s="58"/>
      <c r="E28" s="58"/>
      <c r="F28" s="58"/>
      <c r="G28" s="58">
        <v>0</v>
      </c>
      <c r="H28" s="58"/>
      <c r="I28" s="58"/>
    </row>
    <row r="29" spans="1:9" x14ac:dyDescent="0.3">
      <c r="A29" s="58">
        <v>2</v>
      </c>
      <c r="B29" s="58" t="s">
        <v>39</v>
      </c>
      <c r="C29" s="58" t="s">
        <v>39</v>
      </c>
      <c r="D29" s="58" t="s">
        <v>45</v>
      </c>
      <c r="E29" s="58"/>
      <c r="F29" s="58"/>
      <c r="G29" s="58">
        <v>0</v>
      </c>
      <c r="H29" s="58"/>
      <c r="I29" s="58"/>
    </row>
    <row r="30" spans="1:9" x14ac:dyDescent="0.3">
      <c r="A30" s="56">
        <v>3</v>
      </c>
      <c r="B30" s="56" t="s">
        <v>39</v>
      </c>
      <c r="C30" s="56" t="s">
        <v>39</v>
      </c>
      <c r="D30" s="56" t="s">
        <v>45</v>
      </c>
      <c r="E30" s="56"/>
      <c r="F30" s="56"/>
      <c r="G30" s="56">
        <v>0</v>
      </c>
      <c r="H30" s="58"/>
      <c r="I30" s="58"/>
    </row>
    <row r="31" spans="1:9" x14ac:dyDescent="0.3">
      <c r="A31" s="58"/>
      <c r="B31" s="58"/>
      <c r="C31" s="58"/>
      <c r="D31" s="58"/>
      <c r="E31" s="58"/>
      <c r="F31" s="58"/>
      <c r="G31" s="58"/>
      <c r="H31" s="58"/>
      <c r="I31" s="58"/>
    </row>
    <row r="32" spans="1:9" x14ac:dyDescent="0.3">
      <c r="A32" s="76" t="s">
        <v>46</v>
      </c>
      <c r="B32" s="58"/>
      <c r="C32" s="58"/>
      <c r="D32" s="58"/>
      <c r="E32" s="58"/>
      <c r="F32" s="58"/>
      <c r="G32" s="58"/>
      <c r="H32" s="58"/>
      <c r="I32" s="58"/>
    </row>
    <row r="33" spans="1:9" x14ac:dyDescent="0.3">
      <c r="A33" s="57" t="s">
        <v>2</v>
      </c>
      <c r="B33" s="70" t="s">
        <v>3</v>
      </c>
      <c r="C33" s="57" t="s">
        <v>4</v>
      </c>
      <c r="D33" s="57" t="s">
        <v>5</v>
      </c>
      <c r="E33" s="57" t="s">
        <v>44</v>
      </c>
      <c r="F33" s="57"/>
      <c r="G33" s="57"/>
      <c r="H33" s="58"/>
      <c r="I33" s="58"/>
    </row>
    <row r="34" spans="1:9" x14ac:dyDescent="0.3">
      <c r="A34" s="58">
        <v>1</v>
      </c>
      <c r="B34" s="58" t="s">
        <v>39</v>
      </c>
      <c r="C34" s="58" t="s">
        <v>39</v>
      </c>
      <c r="D34" s="58"/>
      <c r="E34" s="58"/>
      <c r="F34" s="58"/>
      <c r="G34" s="58">
        <v>0</v>
      </c>
      <c r="H34" s="58"/>
      <c r="I34" s="58"/>
    </row>
    <row r="35" spans="1:9" x14ac:dyDescent="0.3">
      <c r="A35" s="58">
        <v>2</v>
      </c>
      <c r="B35" s="58" t="s">
        <v>39</v>
      </c>
      <c r="C35" s="58" t="s">
        <v>39</v>
      </c>
      <c r="D35" s="58" t="s">
        <v>45</v>
      </c>
      <c r="E35" s="58"/>
      <c r="F35" s="58"/>
      <c r="G35" s="58">
        <v>0</v>
      </c>
      <c r="H35" s="58"/>
      <c r="I35" s="58"/>
    </row>
    <row r="36" spans="1:9" x14ac:dyDescent="0.3">
      <c r="A36" s="56">
        <v>3</v>
      </c>
      <c r="B36" s="56" t="s">
        <v>39</v>
      </c>
      <c r="C36" s="56" t="s">
        <v>39</v>
      </c>
      <c r="D36" s="56" t="s">
        <v>45</v>
      </c>
      <c r="E36" s="56"/>
      <c r="F36" s="56"/>
      <c r="G36" s="56">
        <v>0</v>
      </c>
      <c r="H36" s="58"/>
      <c r="I36" s="58"/>
    </row>
    <row r="37" spans="1:9" x14ac:dyDescent="0.3">
      <c r="A37" s="58"/>
      <c r="B37" s="58"/>
      <c r="C37" s="58"/>
      <c r="D37" s="58"/>
      <c r="E37" s="58"/>
      <c r="F37" s="58"/>
      <c r="G37" s="58"/>
      <c r="H37" s="58"/>
      <c r="I37" s="58"/>
    </row>
    <row r="38" spans="1:9" x14ac:dyDescent="0.3">
      <c r="A38" s="76" t="s">
        <v>46</v>
      </c>
      <c r="B38" s="58"/>
      <c r="C38" s="58"/>
      <c r="D38" s="58"/>
      <c r="E38" s="58"/>
      <c r="F38" s="58"/>
      <c r="G38" s="58"/>
      <c r="H38" s="58"/>
      <c r="I38" s="58"/>
    </row>
    <row r="39" spans="1:9" x14ac:dyDescent="0.3">
      <c r="A39" s="57" t="s">
        <v>2</v>
      </c>
      <c r="B39" s="70" t="s">
        <v>3</v>
      </c>
      <c r="C39" s="57" t="s">
        <v>4</v>
      </c>
      <c r="D39" s="57" t="s">
        <v>5</v>
      </c>
      <c r="E39" s="57" t="s">
        <v>44</v>
      </c>
      <c r="F39" s="57"/>
      <c r="G39" s="57"/>
      <c r="H39" s="58"/>
      <c r="I39" s="58"/>
    </row>
    <row r="40" spans="1:9" x14ac:dyDescent="0.3">
      <c r="A40" s="58">
        <v>1</v>
      </c>
      <c r="B40" s="58" t="s">
        <v>39</v>
      </c>
      <c r="C40" s="58" t="s">
        <v>39</v>
      </c>
      <c r="D40" s="58"/>
      <c r="E40" s="58"/>
      <c r="F40" s="58"/>
      <c r="G40" s="58">
        <v>0</v>
      </c>
      <c r="H40" s="58"/>
      <c r="I40" s="58"/>
    </row>
    <row r="41" spans="1:9" x14ac:dyDescent="0.3">
      <c r="A41" s="58">
        <v>2</v>
      </c>
      <c r="B41" s="58" t="s">
        <v>39</v>
      </c>
      <c r="C41" s="58" t="s">
        <v>39</v>
      </c>
      <c r="D41" s="58" t="s">
        <v>45</v>
      </c>
      <c r="E41" s="58"/>
      <c r="F41" s="58"/>
      <c r="G41" s="58">
        <v>0</v>
      </c>
      <c r="H41" s="58"/>
      <c r="I41" s="58"/>
    </row>
    <row r="42" spans="1:9" x14ac:dyDescent="0.3">
      <c r="A42" s="56">
        <v>3</v>
      </c>
      <c r="B42" s="56" t="s">
        <v>39</v>
      </c>
      <c r="C42" s="56" t="s">
        <v>39</v>
      </c>
      <c r="D42" s="56" t="s">
        <v>45</v>
      </c>
      <c r="E42" s="56"/>
      <c r="F42" s="56"/>
      <c r="G42" s="56">
        <v>0</v>
      </c>
      <c r="H42" s="58"/>
      <c r="I42" s="58"/>
    </row>
    <row r="43" spans="1:9" x14ac:dyDescent="0.3">
      <c r="A43" s="58"/>
      <c r="B43" s="58"/>
      <c r="C43" s="58"/>
      <c r="D43" s="58"/>
      <c r="E43" s="58"/>
      <c r="F43" s="58"/>
      <c r="G43" s="58"/>
      <c r="H43" s="58"/>
      <c r="I43" s="58"/>
    </row>
    <row r="44" spans="1:9" x14ac:dyDescent="0.3">
      <c r="A44" s="76" t="s">
        <v>46</v>
      </c>
      <c r="B44" s="58"/>
      <c r="C44" s="58"/>
      <c r="D44" s="58"/>
      <c r="E44" s="58"/>
      <c r="F44" s="58"/>
      <c r="G44" s="58"/>
      <c r="H44" s="58"/>
      <c r="I44" s="58"/>
    </row>
    <row r="45" spans="1:9" x14ac:dyDescent="0.3">
      <c r="A45" s="57" t="s">
        <v>2</v>
      </c>
      <c r="B45" s="70" t="s">
        <v>3</v>
      </c>
      <c r="C45" s="57" t="s">
        <v>4</v>
      </c>
      <c r="D45" s="57" t="s">
        <v>5</v>
      </c>
      <c r="E45" s="57" t="s">
        <v>44</v>
      </c>
      <c r="F45" s="57"/>
      <c r="G45" s="57"/>
      <c r="H45" s="58"/>
      <c r="I45" s="58"/>
    </row>
    <row r="46" spans="1:9" x14ac:dyDescent="0.3">
      <c r="A46" s="58">
        <v>1</v>
      </c>
      <c r="B46" s="58" t="s">
        <v>39</v>
      </c>
      <c r="C46" s="58" t="s">
        <v>39</v>
      </c>
      <c r="D46" s="58"/>
      <c r="E46" s="58"/>
      <c r="F46" s="58"/>
      <c r="G46" s="58">
        <v>0</v>
      </c>
      <c r="H46" s="58"/>
      <c r="I46" s="58"/>
    </row>
    <row r="47" spans="1:9" x14ac:dyDescent="0.3">
      <c r="A47" s="58">
        <v>2</v>
      </c>
      <c r="B47" s="58" t="s">
        <v>39</v>
      </c>
      <c r="C47" s="58" t="s">
        <v>39</v>
      </c>
      <c r="D47" s="58" t="s">
        <v>45</v>
      </c>
      <c r="E47" s="58"/>
      <c r="F47" s="58"/>
      <c r="G47" s="58">
        <v>0</v>
      </c>
      <c r="H47" s="58"/>
      <c r="I47" s="58"/>
    </row>
    <row r="48" spans="1:9" x14ac:dyDescent="0.3">
      <c r="A48" s="56">
        <v>3</v>
      </c>
      <c r="B48" s="56" t="s">
        <v>39</v>
      </c>
      <c r="C48" s="56" t="s">
        <v>39</v>
      </c>
      <c r="D48" s="56" t="s">
        <v>45</v>
      </c>
      <c r="E48" s="56"/>
      <c r="F48" s="56"/>
      <c r="G48" s="56">
        <v>0</v>
      </c>
      <c r="H48" s="58"/>
      <c r="I48" s="58"/>
    </row>
    <row r="49" spans="1:9" x14ac:dyDescent="0.3">
      <c r="A49" s="58"/>
      <c r="B49" s="58"/>
      <c r="C49" s="58"/>
      <c r="D49" s="58"/>
      <c r="E49" s="58"/>
      <c r="F49" s="58"/>
      <c r="G49" s="58"/>
      <c r="H49" s="58"/>
      <c r="I49" s="58"/>
    </row>
    <row r="50" spans="1:9" x14ac:dyDescent="0.3">
      <c r="A50" s="76" t="s">
        <v>46</v>
      </c>
      <c r="B50" s="58"/>
      <c r="C50" s="58"/>
      <c r="D50" s="58"/>
      <c r="E50" s="58"/>
      <c r="F50" s="58"/>
      <c r="G50" s="58"/>
      <c r="H50" s="58"/>
      <c r="I50" s="58"/>
    </row>
    <row r="51" spans="1:9" x14ac:dyDescent="0.3">
      <c r="A51" s="57" t="s">
        <v>2</v>
      </c>
      <c r="B51" s="70" t="s">
        <v>3</v>
      </c>
      <c r="C51" s="57" t="s">
        <v>4</v>
      </c>
      <c r="D51" s="57" t="s">
        <v>5</v>
      </c>
      <c r="E51" s="57" t="s">
        <v>44</v>
      </c>
      <c r="F51" s="57"/>
      <c r="G51" s="57"/>
      <c r="H51" s="58"/>
      <c r="I51" s="58"/>
    </row>
    <row r="52" spans="1:9" x14ac:dyDescent="0.3">
      <c r="A52" s="58">
        <v>1</v>
      </c>
      <c r="B52" s="58" t="s">
        <v>39</v>
      </c>
      <c r="C52" s="58" t="s">
        <v>39</v>
      </c>
      <c r="D52" s="58"/>
      <c r="E52" s="58"/>
      <c r="F52" s="58"/>
      <c r="G52" s="58">
        <v>0</v>
      </c>
      <c r="H52" s="58"/>
      <c r="I52" s="58"/>
    </row>
    <row r="53" spans="1:9" x14ac:dyDescent="0.3">
      <c r="A53" s="58">
        <v>2</v>
      </c>
      <c r="B53" s="58" t="s">
        <v>39</v>
      </c>
      <c r="C53" s="58" t="s">
        <v>39</v>
      </c>
      <c r="D53" s="58" t="s">
        <v>45</v>
      </c>
      <c r="E53" s="58"/>
      <c r="F53" s="58"/>
      <c r="G53" s="58">
        <v>0</v>
      </c>
      <c r="H53" s="58"/>
      <c r="I53" s="58"/>
    </row>
    <row r="54" spans="1:9" x14ac:dyDescent="0.3">
      <c r="A54" s="56">
        <v>3</v>
      </c>
      <c r="B54" s="56" t="s">
        <v>39</v>
      </c>
      <c r="C54" s="56" t="s">
        <v>39</v>
      </c>
      <c r="D54" s="56" t="s">
        <v>45</v>
      </c>
      <c r="E54" s="56"/>
      <c r="F54" s="56"/>
      <c r="G54" s="56">
        <v>0</v>
      </c>
      <c r="H54" s="58"/>
      <c r="I54" s="58"/>
    </row>
    <row r="55" spans="1:9" x14ac:dyDescent="0.3">
      <c r="A55" s="58"/>
      <c r="B55" s="58"/>
      <c r="C55" s="58"/>
      <c r="D55" s="58"/>
      <c r="E55" s="58"/>
      <c r="F55" s="58"/>
      <c r="G55" s="58"/>
      <c r="H55" s="58"/>
      <c r="I55" s="58"/>
    </row>
    <row r="56" spans="1:9" x14ac:dyDescent="0.3">
      <c r="A56" s="76" t="s">
        <v>46</v>
      </c>
      <c r="B56" s="58"/>
      <c r="C56" s="58"/>
      <c r="D56" s="58"/>
      <c r="E56" s="58"/>
      <c r="F56" s="58"/>
      <c r="G56" s="58"/>
      <c r="H56" s="58"/>
      <c r="I56" s="58"/>
    </row>
    <row r="57" spans="1:9" x14ac:dyDescent="0.3">
      <c r="A57" s="57" t="s">
        <v>2</v>
      </c>
      <c r="B57" s="70" t="s">
        <v>3</v>
      </c>
      <c r="C57" s="57" t="s">
        <v>4</v>
      </c>
      <c r="D57" s="57" t="s">
        <v>5</v>
      </c>
      <c r="E57" s="57" t="s">
        <v>44</v>
      </c>
      <c r="F57" s="57"/>
      <c r="G57" s="57"/>
      <c r="H57" s="58"/>
      <c r="I57" s="58"/>
    </row>
    <row r="58" spans="1:9" x14ac:dyDescent="0.3">
      <c r="A58" s="58">
        <v>1</v>
      </c>
      <c r="B58" s="58" t="s">
        <v>39</v>
      </c>
      <c r="C58" s="58" t="s">
        <v>39</v>
      </c>
      <c r="D58" s="58"/>
      <c r="E58" s="58"/>
      <c r="F58" s="58"/>
      <c r="G58" s="58">
        <v>0</v>
      </c>
      <c r="H58" s="58"/>
      <c r="I58" s="58"/>
    </row>
    <row r="59" spans="1:9" x14ac:dyDescent="0.3">
      <c r="A59" s="58">
        <v>2</v>
      </c>
      <c r="B59" s="58" t="s">
        <v>39</v>
      </c>
      <c r="C59" s="58" t="s">
        <v>39</v>
      </c>
      <c r="D59" s="58" t="s">
        <v>45</v>
      </c>
      <c r="E59" s="58"/>
      <c r="F59" s="58"/>
      <c r="G59" s="58">
        <v>0</v>
      </c>
      <c r="H59" s="58"/>
      <c r="I59" s="58"/>
    </row>
    <row r="60" spans="1:9" x14ac:dyDescent="0.3">
      <c r="A60" s="56">
        <v>3</v>
      </c>
      <c r="B60" s="56" t="s">
        <v>39</v>
      </c>
      <c r="C60" s="56" t="s">
        <v>39</v>
      </c>
      <c r="D60" s="56" t="s">
        <v>45</v>
      </c>
      <c r="E60" s="56"/>
      <c r="F60" s="56"/>
      <c r="G60" s="56">
        <v>0</v>
      </c>
      <c r="H60" s="58"/>
      <c r="I60" s="58"/>
    </row>
    <row r="61" spans="1:9" x14ac:dyDescent="0.3">
      <c r="A61" s="58"/>
      <c r="B61" s="58"/>
      <c r="C61" s="58"/>
      <c r="D61" s="58"/>
      <c r="E61" s="58"/>
      <c r="F61" s="58"/>
      <c r="G61" s="58"/>
      <c r="H61" s="58"/>
      <c r="I61" s="58"/>
    </row>
    <row r="62" spans="1:9" x14ac:dyDescent="0.3">
      <c r="A62" s="58"/>
      <c r="B62" s="58"/>
      <c r="C62" s="58"/>
      <c r="D62" s="58"/>
      <c r="E62" s="58"/>
      <c r="F62" s="58"/>
      <c r="G62" s="58"/>
      <c r="H62" s="58"/>
      <c r="I62" s="58"/>
    </row>
    <row r="63" spans="1:9" x14ac:dyDescent="0.3">
      <c r="A63" s="58"/>
      <c r="B63" s="58"/>
      <c r="C63" s="58"/>
      <c r="D63" s="58"/>
      <c r="E63" s="58"/>
      <c r="F63" s="58"/>
      <c r="G63" s="58"/>
      <c r="H63" s="58"/>
      <c r="I63" s="58"/>
    </row>
    <row r="64" spans="1:9" x14ac:dyDescent="0.3">
      <c r="A64" s="58"/>
      <c r="B64" s="58"/>
      <c r="C64" s="58"/>
      <c r="D64" s="58"/>
      <c r="E64" s="58"/>
      <c r="F64" s="58"/>
      <c r="G64" s="58"/>
      <c r="H64" s="58"/>
      <c r="I64" s="58"/>
    </row>
    <row r="65" spans="1:9" x14ac:dyDescent="0.3">
      <c r="A65" s="58"/>
      <c r="B65" s="58"/>
      <c r="C65" s="58"/>
      <c r="D65" s="58"/>
      <c r="E65" s="58"/>
      <c r="F65" s="58"/>
      <c r="G65" s="58"/>
      <c r="H65" s="58"/>
      <c r="I65" s="58"/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controls>
    <mc:AlternateContent xmlns:mc="http://schemas.openxmlformats.org/markup-compatibility/2006">
      <mc:Choice Requires="x14">
        <control shapeId="4100" r:id="rId3" name="CommandButton4">
          <controlPr defaultSize="0" autoFill="0" autoLine="0" r:id="rId4">
            <anchor>
              <from>
                <xdr:col>7</xdr:col>
                <xdr:colOff>571500</xdr:colOff>
                <xdr:row>5</xdr:row>
                <xdr:rowOff>19050</xdr:rowOff>
              </from>
              <to>
                <xdr:col>9</xdr:col>
                <xdr:colOff>76200</xdr:colOff>
                <xdr:row>6</xdr:row>
                <xdr:rowOff>95250</xdr:rowOff>
              </to>
            </anchor>
          </controlPr>
        </control>
      </mc:Choice>
      <mc:Fallback>
        <control shapeId="4100" r:id="rId3" name="CommandButton4"/>
      </mc:Fallback>
    </mc:AlternateContent>
    <mc:AlternateContent xmlns:mc="http://schemas.openxmlformats.org/markup-compatibility/2006">
      <mc:Choice Requires="x14">
        <control shapeId="4099" r:id="rId5" name="CommandButton3">
          <controlPr defaultSize="0" autoFill="0" autoLine="0" r:id="rId6">
            <anchor>
              <from>
                <xdr:col>7</xdr:col>
                <xdr:colOff>571500</xdr:colOff>
                <xdr:row>3</xdr:row>
                <xdr:rowOff>85725</xdr:rowOff>
              </from>
              <to>
                <xdr:col>9</xdr:col>
                <xdr:colOff>76200</xdr:colOff>
                <xdr:row>4</xdr:row>
                <xdr:rowOff>161925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098" r:id="rId7" name="CommandButton2">
          <controlPr defaultSize="0" autoFill="0" autoLine="0" autoPict="0" r:id="rId8">
            <anchor>
              <from>
                <xdr:col>7</xdr:col>
                <xdr:colOff>571500</xdr:colOff>
                <xdr:row>1</xdr:row>
                <xdr:rowOff>171450</xdr:rowOff>
              </from>
              <to>
                <xdr:col>9</xdr:col>
                <xdr:colOff>76200</xdr:colOff>
                <xdr:row>3</xdr:row>
                <xdr:rowOff>57150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defaultSize="0" autoFill="0" autoLine="0" autoPict="0" r:id="rId10">
            <anchor>
              <from>
                <xdr:col>7</xdr:col>
                <xdr:colOff>571500</xdr:colOff>
                <xdr:row>0</xdr:row>
                <xdr:rowOff>57150</xdr:rowOff>
              </from>
              <to>
                <xdr:col>9</xdr:col>
                <xdr:colOff>76200</xdr:colOff>
                <xdr:row>1</xdr:row>
                <xdr:rowOff>133350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indexed="12"/>
  </sheetPr>
  <dimension ref="A1:R12"/>
  <sheetViews>
    <sheetView showGridLines="0" workbookViewId="0">
      <selection activeCell="G19" sqref="G19"/>
    </sheetView>
  </sheetViews>
  <sheetFormatPr defaultRowHeight="15" x14ac:dyDescent="0.3"/>
  <cols>
    <col min="1" max="1" width="28.75" customWidth="1"/>
    <col min="2" max="2" width="4.125" customWidth="1"/>
    <col min="3" max="13" width="11.625" customWidth="1"/>
  </cols>
  <sheetData>
    <row r="1" spans="1:18" x14ac:dyDescent="0.3">
      <c r="A1" t="s">
        <v>38</v>
      </c>
    </row>
    <row r="2" spans="1:18" x14ac:dyDescent="0.3">
      <c r="A2" s="56"/>
      <c r="B2" s="56"/>
      <c r="C2" s="56" t="s">
        <v>40</v>
      </c>
      <c r="D2" s="56" t="s">
        <v>41</v>
      </c>
      <c r="E2" s="56" t="s">
        <v>39</v>
      </c>
      <c r="F2" s="56" t="s">
        <v>39</v>
      </c>
      <c r="G2" s="56" t="s">
        <v>39</v>
      </c>
      <c r="H2" s="56" t="s">
        <v>39</v>
      </c>
      <c r="I2" s="56" t="s">
        <v>39</v>
      </c>
      <c r="J2" s="56" t="s">
        <v>39</v>
      </c>
      <c r="K2" s="56" t="s">
        <v>39</v>
      </c>
      <c r="L2" s="56" t="s">
        <v>39</v>
      </c>
    </row>
    <row r="3" spans="1:18" x14ac:dyDescent="0.3">
      <c r="A3" t="s">
        <v>34</v>
      </c>
      <c r="B3" s="55" t="s">
        <v>9</v>
      </c>
      <c r="C3">
        <v>14884</v>
      </c>
      <c r="D3">
        <v>682272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8" x14ac:dyDescent="0.3">
      <c r="A4" t="s">
        <v>35</v>
      </c>
      <c r="B4" s="55" t="s">
        <v>9</v>
      </c>
      <c r="C4">
        <v>9348</v>
      </c>
      <c r="D4">
        <v>28536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8" x14ac:dyDescent="0.3">
      <c r="A5" t="s">
        <v>36</v>
      </c>
      <c r="B5" s="55" t="s">
        <v>9</v>
      </c>
      <c r="C5">
        <v>54522</v>
      </c>
      <c r="D5">
        <v>259006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8" x14ac:dyDescent="0.3">
      <c r="A6" t="s">
        <v>37</v>
      </c>
      <c r="B6" s="55" t="s">
        <v>9</v>
      </c>
      <c r="C6">
        <v>63870</v>
      </c>
      <c r="D6">
        <v>287542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8" x14ac:dyDescent="0.3">
      <c r="A7" t="s">
        <v>33</v>
      </c>
      <c r="B7" s="55" t="s">
        <v>9</v>
      </c>
      <c r="C7">
        <v>78754</v>
      </c>
      <c r="D7">
        <v>969814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8" x14ac:dyDescent="0.3">
      <c r="A8" t="s">
        <v>29</v>
      </c>
      <c r="B8" s="55"/>
      <c r="C8">
        <v>1.4444444444444444</v>
      </c>
      <c r="D8">
        <v>3.7443688563199311</v>
      </c>
      <c r="E8" t="e">
        <v>#DIV/0!</v>
      </c>
      <c r="F8" t="e">
        <v>#DIV/0!</v>
      </c>
      <c r="G8" t="e">
        <v>#DIV/0!</v>
      </c>
      <c r="H8" t="e">
        <v>#DIV/0!</v>
      </c>
      <c r="I8" t="e">
        <v>#DIV/0!</v>
      </c>
      <c r="J8" t="e">
        <v>#DIV/0!</v>
      </c>
      <c r="K8" t="e">
        <v>#DIV/0!</v>
      </c>
      <c r="L8" t="e">
        <v>#DIV/0!</v>
      </c>
    </row>
    <row r="9" spans="1:18" x14ac:dyDescent="0.3">
      <c r="A9" t="s">
        <v>30</v>
      </c>
      <c r="B9" s="55"/>
      <c r="C9">
        <v>2.25</v>
      </c>
      <c r="D9">
        <v>0.36438250554298762</v>
      </c>
      <c r="E9" t="e">
        <v>#DIV/0!</v>
      </c>
      <c r="F9" t="e">
        <v>#DIV/0!</v>
      </c>
      <c r="G9" t="e">
        <v>#DIV/0!</v>
      </c>
      <c r="H9" t="e">
        <v>#DIV/0!</v>
      </c>
      <c r="I9" t="e">
        <v>#DIV/0!</v>
      </c>
      <c r="J9" t="e">
        <v>#DIV/0!</v>
      </c>
      <c r="K9" t="e">
        <v>#DIV/0!</v>
      </c>
      <c r="L9" t="e">
        <v>#DIV/0!</v>
      </c>
    </row>
    <row r="10" spans="1:18" x14ac:dyDescent="0.3">
      <c r="A10" t="s">
        <v>31</v>
      </c>
      <c r="B10" s="55"/>
      <c r="C10">
        <v>4.2911851652781507</v>
      </c>
      <c r="D10">
        <v>0.42144775104357207</v>
      </c>
      <c r="E10" t="e">
        <v>#DIV/0!</v>
      </c>
      <c r="F10" t="e">
        <v>#DIV/0!</v>
      </c>
      <c r="G10" t="e">
        <v>#DIV/0!</v>
      </c>
      <c r="H10" t="e">
        <v>#DIV/0!</v>
      </c>
      <c r="I10" t="e">
        <v>#DIV/0!</v>
      </c>
      <c r="J10" t="e">
        <v>#DIV/0!</v>
      </c>
      <c r="K10" t="e">
        <v>#DIV/0!</v>
      </c>
      <c r="L10" t="e">
        <v>#DIV/0!</v>
      </c>
    </row>
    <row r="11" spans="1:18" x14ac:dyDescent="0.3">
      <c r="A11" s="56" t="s">
        <v>32</v>
      </c>
      <c r="B11" s="57"/>
      <c r="C11" s="56">
        <v>0.33660734478019588</v>
      </c>
      <c r="D11" s="56">
        <v>8.8845387050904279</v>
      </c>
      <c r="E11" s="56" t="e">
        <v>#DIV/0!</v>
      </c>
      <c r="F11" s="56" t="e">
        <v>#DIV/0!</v>
      </c>
      <c r="G11" s="56" t="e">
        <v>#DIV/0!</v>
      </c>
      <c r="H11" s="56" t="e">
        <v>#DIV/0!</v>
      </c>
      <c r="I11" s="56" t="e">
        <v>#DIV/0!</v>
      </c>
      <c r="J11" s="56" t="e">
        <v>#DIV/0!</v>
      </c>
      <c r="K11" s="56" t="e">
        <v>#DIV/0!</v>
      </c>
      <c r="L11" s="56" t="e">
        <v>#DIV/0!</v>
      </c>
    </row>
    <row r="12" spans="1:18" x14ac:dyDescent="0.3"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Entrada_de_Dados</vt:lpstr>
      <vt:lpstr>Resumo</vt:lpstr>
      <vt:lpstr>Tabelas</vt:lpstr>
      <vt:lpstr>Índices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Andre Gomes de Lira Muniz</cp:lastModifiedBy>
  <dcterms:created xsi:type="dcterms:W3CDTF">2003-07-25T23:54:53Z</dcterms:created>
  <dcterms:modified xsi:type="dcterms:W3CDTF">2023-01-25T00:15:12Z</dcterms:modified>
</cp:coreProperties>
</file>