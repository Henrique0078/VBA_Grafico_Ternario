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"/>
    </mc:Choice>
  </mc:AlternateContent>
  <xr:revisionPtr revIDLastSave="0" documentId="13_ncr:1_{3C74B74C-D413-4F45-8E64-1EFF67FDDF4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ntrada_de_Dados" sheetId="1" r:id="rId1"/>
    <sheet name="Resumo" sheetId="2" r:id="rId2"/>
    <sheet name="Tabelas" sheetId="4" r:id="rId3"/>
    <sheet name="Índices" sheetId="5" r:id="rId4"/>
  </sheets>
  <functionGroups builtInGroupCount="19"/>
  <definedNames>
    <definedName name="_xlnm._FilterDatabase" localSheetId="0" hidden="1">Entrada_de_Dados!$E$37:$E$38</definedName>
    <definedName name="_xlnm._FilterDatabase" localSheetId="1" hidden="1">Resumo!$H$1:$H$1</definedName>
  </definedNames>
  <calcPr calcId="191029"/>
</workbook>
</file>

<file path=xl/calcChain.xml><?xml version="1.0" encoding="utf-8"?>
<calcChain xmlns="http://schemas.openxmlformats.org/spreadsheetml/2006/main">
  <c r="B13" i="1" l="1"/>
  <c r="B12" i="1"/>
  <c r="D10" i="1"/>
  <c r="D7" i="1"/>
  <c r="C9" i="1" l="1"/>
  <c r="B30" i="1"/>
  <c r="D9" i="1"/>
  <c r="D31" i="1"/>
  <c r="D30" i="1"/>
  <c r="D28" i="1"/>
  <c r="D27" i="1"/>
  <c r="D25" i="1"/>
  <c r="D24" i="1"/>
  <c r="D22" i="1"/>
  <c r="D21" i="1"/>
  <c r="D19" i="1"/>
  <c r="D18" i="1"/>
  <c r="D16" i="1"/>
  <c r="D15" i="1"/>
  <c r="D13" i="1"/>
  <c r="D12" i="1"/>
  <c r="D6" i="1"/>
  <c r="D3" i="1"/>
  <c r="D4" i="1"/>
  <c r="B27" i="1"/>
  <c r="B9" i="1"/>
  <c r="C4" i="1"/>
  <c r="C16" i="1"/>
  <c r="C15" i="1"/>
  <c r="C31" i="1"/>
  <c r="C30" i="1"/>
  <c r="C28" i="1"/>
  <c r="C27" i="1"/>
  <c r="C25" i="1"/>
  <c r="C24" i="1"/>
  <c r="C22" i="1"/>
  <c r="C21" i="1"/>
  <c r="C19" i="1"/>
  <c r="C18" i="1"/>
  <c r="C13" i="1"/>
  <c r="C12" i="1"/>
  <c r="C10" i="1"/>
  <c r="C7" i="1"/>
  <c r="C6" i="1"/>
  <c r="C3" i="1"/>
  <c r="B3" i="1"/>
  <c r="B19" i="1"/>
  <c r="B18" i="1"/>
  <c r="B16" i="1"/>
  <c r="B15" i="1"/>
  <c r="B10" i="1"/>
  <c r="A26" i="1"/>
  <c r="A23" i="1"/>
  <c r="A25" i="1" s="1"/>
  <c r="A20" i="1"/>
  <c r="A21" i="1" s="1"/>
  <c r="A17" i="1"/>
  <c r="A18" i="1" s="1"/>
  <c r="A14" i="1"/>
  <c r="A15" i="1" s="1"/>
  <c r="A11" i="1"/>
  <c r="A13" i="1" s="1"/>
  <c r="A8" i="1"/>
  <c r="A10" i="1" s="1"/>
  <c r="B31" i="1"/>
  <c r="A31" i="1"/>
  <c r="A30" i="1"/>
  <c r="B28" i="1"/>
  <c r="B25" i="1"/>
  <c r="B24" i="1"/>
  <c r="B22" i="1"/>
  <c r="B21" i="1"/>
  <c r="A5" i="1"/>
  <c r="A7" i="1"/>
  <c r="B7" i="1"/>
  <c r="B6" i="1"/>
  <c r="A4" i="1"/>
  <c r="B4" i="1"/>
  <c r="A3" i="1"/>
  <c r="A28" i="1"/>
  <c r="A6" i="1"/>
  <c r="A27" i="1"/>
  <c r="A9" i="1" l="1"/>
  <c r="A12" i="1"/>
  <c r="A19" i="1"/>
  <c r="A16" i="1"/>
  <c r="A24" i="1"/>
  <c r="A22" i="1"/>
</calcChain>
</file>

<file path=xl/sharedStrings.xml><?xml version="1.0" encoding="utf-8"?>
<sst xmlns="http://schemas.openxmlformats.org/spreadsheetml/2006/main" count="267" uniqueCount="57">
  <si>
    <t>Ponto</t>
  </si>
  <si>
    <t>Nome</t>
  </si>
  <si>
    <t>Unidade</t>
  </si>
  <si>
    <t>Classe</t>
  </si>
  <si>
    <t>R</t>
  </si>
  <si>
    <t>N</t>
  </si>
  <si>
    <t>F</t>
  </si>
  <si>
    <t>seJ</t>
  </si>
  <si>
    <t>Unidades</t>
  </si>
  <si>
    <t>Y</t>
  </si>
  <si>
    <t>Recursos</t>
  </si>
  <si>
    <t>Renováveis</t>
  </si>
  <si>
    <t>Não Renováveis</t>
  </si>
  <si>
    <t>Pagos</t>
  </si>
  <si>
    <t>Total</t>
  </si>
  <si>
    <t>Valor
[seJ]</t>
  </si>
  <si>
    <t>Valor
[%]</t>
  </si>
  <si>
    <t xml:space="preserve">Nome
</t>
  </si>
  <si>
    <t xml:space="preserve">Ponto
</t>
  </si>
  <si>
    <r>
      <t xml:space="preserve">Rendimento
Emergético
[EYR]
</t>
    </r>
    <r>
      <rPr>
        <b/>
        <sz val="8"/>
        <color indexed="57"/>
        <rFont val="Comic Sans MS"/>
        <family val="4"/>
      </rPr>
      <t/>
    </r>
  </si>
  <si>
    <t xml:space="preserve">Investimento
Emergético
[EIR]
</t>
  </si>
  <si>
    <t xml:space="preserve">Impacto
Ambiental
[ELR]
</t>
  </si>
  <si>
    <t xml:space="preserve">Sustentabilidade
[SI]
</t>
  </si>
  <si>
    <t>Emergia
[seJ]</t>
  </si>
  <si>
    <t>Classe
R/N/F</t>
  </si>
  <si>
    <t>Rendimento Emergético [EYR]</t>
  </si>
  <si>
    <t>Investimento Emergético (EIR)</t>
  </si>
  <si>
    <t>Impacto Ambiental [ELR]</t>
  </si>
  <si>
    <t>Índice de Sustentabilidade [SI ]</t>
  </si>
  <si>
    <t>Emergia Total [Y]</t>
  </si>
  <si>
    <t>Recursos Renováveis [R]</t>
  </si>
  <si>
    <t>Recursos Não Renováveis [N]</t>
  </si>
  <si>
    <t>Recursos Pagos [F]</t>
  </si>
  <si>
    <t>[I]</t>
  </si>
  <si>
    <t>Tabela:</t>
  </si>
  <si>
    <t xml:space="preserve"> </t>
  </si>
  <si>
    <t>Pedro</t>
  </si>
  <si>
    <t>Andre</t>
  </si>
  <si>
    <t>Tabela:  Pedro</t>
  </si>
  <si>
    <t>Emergia</t>
  </si>
  <si>
    <t>Tabela:  Andre</t>
  </si>
  <si>
    <t>Henrique</t>
  </si>
  <si>
    <t>Tabela:  Henrique</t>
  </si>
  <si>
    <t>Thayna</t>
  </si>
  <si>
    <t>Tabela:  Thayna</t>
  </si>
  <si>
    <t>Vinicius</t>
  </si>
  <si>
    <t>Diego</t>
  </si>
  <si>
    <t>Tabela:  Vinicius</t>
  </si>
  <si>
    <t>Cecilia</t>
  </si>
  <si>
    <t>Antonio</t>
  </si>
  <si>
    <t>Creide</t>
  </si>
  <si>
    <t>Jasmin</t>
  </si>
  <si>
    <t>Tabela:  Diego</t>
  </si>
  <si>
    <t>Tabela:  Cecilia</t>
  </si>
  <si>
    <t>Tabela:  Antonio</t>
  </si>
  <si>
    <t>Tabela:  Creide</t>
  </si>
  <si>
    <t>Tabela:  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</si>
</sst>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#.##%"/>
  </numFmts>
  <fonts count="9" x14ac:knownFonts="1">
    <font>
      <sz val="10"/>
      <name val="Comic Sans MS"/>
    </font>
    <font>
      <sz val="10"/>
      <name val="Comic Sans MS"/>
    </font>
    <font>
      <sz val="8"/>
      <name val="Comic Sans MS"/>
      <family val="4"/>
    </font>
    <font>
      <b/>
      <sz val="8"/>
      <name val="Comic Sans MS"/>
      <family val="4"/>
    </font>
    <font>
      <b/>
      <sz val="8"/>
      <color indexed="9"/>
      <name val="Comic Sans MS"/>
      <family val="4"/>
    </font>
    <font>
      <b/>
      <sz val="8"/>
      <color indexed="57"/>
      <name val="Comic Sans MS"/>
      <family val="4"/>
    </font>
    <font>
      <b/>
      <sz val="10"/>
      <name val="Comic Sans MS"/>
      <family val="4"/>
    </font>
    <font>
      <sz val="10"/>
      <name val="Comic Sans MS"/>
      <family val="4"/>
    </font>
    <font>
      <b/>
      <sz val="12"/>
      <name val="Comic Sans MS"/>
      <family val="4"/>
    </font>
  </fonts>
  <fills count="8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11" fontId="2" fillId="3" borderId="4" xfId="0" applyNumberFormat="1" applyFont="1" applyFill="1" applyBorder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 applyProtection="1">
      <alignment horizontal="center"/>
      <protection locked="0"/>
    </xf>
    <xf numFmtId="0" fontId="4" fillId="6" borderId="6" xfId="0" applyFont="1" applyFill="1" applyBorder="1" applyProtection="1">
      <protection locked="0"/>
    </xf>
    <xf numFmtId="164" fontId="2" fillId="0" borderId="0" xfId="1" applyNumberFormat="1" applyFont="1" applyFill="1"/>
    <xf numFmtId="0" fontId="7" fillId="0" borderId="0" xfId="0" applyFont="1"/>
    <xf numFmtId="0" fontId="0" fillId="0" borderId="11" xfId="0" applyBorder="1"/>
    <xf numFmtId="0" fontId="0" fillId="0" borderId="11" xfId="0" applyBorder="1" applyAlignment="1">
      <alignment horizontal="center"/>
    </xf>
    <xf numFmtId="0" fontId="2" fillId="0" borderId="0" xfId="0" applyFont="1" applyProtection="1">
      <protection locked="0"/>
    </xf>
    <xf numFmtId="0" fontId="0" fillId="0" borderId="11" xfId="0" applyBorder="1" applyAlignment="1">
      <alignment horizontal="left"/>
    </xf>
    <xf numFmtId="0" fontId="2" fillId="5" borderId="4" xfId="0" applyFont="1" applyFill="1" applyBorder="1" applyAlignment="1">
      <alignment horizontal="center"/>
    </xf>
    <xf numFmtId="0" fontId="0" fillId="0" borderId="0" xfId="0" applyAlignment="1">
      <alignment horizontal="left"/>
    </xf>
    <xf numFmtId="11" fontId="2" fillId="0" borderId="0" xfId="0" applyNumberFormat="1" applyFont="1"/>
    <xf numFmtId="165" fontId="2" fillId="0" borderId="0" xfId="0" applyNumberFormat="1" applyFont="1"/>
    <xf numFmtId="0" fontId="7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2" fontId="0" fillId="0" borderId="0" xfId="0" applyNumberFormat="1"/>
    <xf numFmtId="2" fontId="0" fillId="0" borderId="11" xfId="0" applyNumberFormat="1" applyBorder="1"/>
    <xf numFmtId="0" fontId="2" fillId="4" borderId="18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>
      <alignment horizontal="center"/>
    </xf>
    <xf numFmtId="0" fontId="2" fillId="4" borderId="3" xfId="0" applyFont="1" applyFill="1" applyBorder="1" applyAlignment="1" applyProtection="1">
      <alignment horizontal="center"/>
      <protection locked="0"/>
    </xf>
    <xf numFmtId="11" fontId="2" fillId="7" borderId="4" xfId="0" applyNumberFormat="1" applyFont="1" applyFill="1" applyBorder="1" applyProtection="1">
      <protection locked="0"/>
    </xf>
    <xf numFmtId="0" fontId="3" fillId="2" borderId="5" xfId="0" applyFont="1" applyFill="1" applyBorder="1" applyAlignment="1" applyProtection="1">
      <alignment horizontal="center"/>
      <protection locked="0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0" fontId="3" fillId="4" borderId="18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 wrapText="1"/>
    </xf>
    <xf numFmtId="0" fontId="3" fillId="3" borderId="10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/>
    </xf>
    <xf numFmtId="0" fontId="3" fillId="2" borderId="2" xfId="0" applyFont="1" applyFill="1" applyBorder="1"/>
    <xf numFmtId="0" fontId="6" fillId="0" borderId="16" xfId="0" applyFont="1" applyBorder="1" applyAlignment="1" applyProtection="1">
      <alignment horizontal="center" wrapText="1"/>
      <protection locked="0"/>
    </xf>
    <xf numFmtId="0" fontId="6" fillId="0" borderId="8" xfId="0" applyFont="1" applyBorder="1" applyAlignment="1" applyProtection="1">
      <alignment horizontal="center" wrapText="1"/>
      <protection locked="0"/>
    </xf>
    <xf numFmtId="0" fontId="6" fillId="0" borderId="10" xfId="0" applyFont="1" applyBorder="1" applyAlignment="1" applyProtection="1">
      <alignment horizontal="left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 wrapText="1"/>
      <protection locked="0"/>
    </xf>
    <xf numFmtId="164" fontId="6" fillId="0" borderId="10" xfId="1" applyNumberFormat="1" applyFont="1" applyFill="1" applyBorder="1" applyAlignment="1" applyProtection="1">
      <alignment horizontal="center" wrapText="1"/>
      <protection locked="0"/>
    </xf>
    <xf numFmtId="0" fontId="3" fillId="0" borderId="9" xfId="0" applyFont="1" applyBorder="1" applyAlignment="1" applyProtection="1">
      <alignment horizontal="left" vertical="top" wrapText="1"/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5" fontId="2" fillId="0" borderId="0" xfId="1" applyNumberFormat="1" applyFont="1" applyFill="1"/>
    <xf numFmtId="0" fontId="2" fillId="0" borderId="3" xfId="0" applyFont="1" applyBorder="1" applyProtection="1">
      <protection locked="0"/>
    </xf>
    <xf numFmtId="0" fontId="2" fillId="0" borderId="13" xfId="0" applyFont="1" applyBorder="1"/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2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8" fillId="0" borderId="17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200025</xdr:colOff>
          <xdr:row>0</xdr:row>
          <xdr:rowOff>28575</xdr:rowOff>
        </xdr:from>
        <xdr:to>
          <xdr:col>9</xdr:col>
          <xdr:colOff>295275</xdr:colOff>
          <xdr:row>0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200025</xdr:colOff>
          <xdr:row>0</xdr:row>
          <xdr:rowOff>342900</xdr:rowOff>
        </xdr:from>
        <xdr:to>
          <xdr:col>9</xdr:col>
          <xdr:colOff>295275</xdr:colOff>
          <xdr:row>0</xdr:row>
          <xdr:rowOff>609600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0</xdr:row>
          <xdr:rowOff>333375</xdr:rowOff>
        </xdr:from>
        <xdr:to>
          <xdr:col>10</xdr:col>
          <xdr:colOff>285750</xdr:colOff>
          <xdr:row>0</xdr:row>
          <xdr:rowOff>600075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333375</xdr:colOff>
          <xdr:row>0</xdr:row>
          <xdr:rowOff>47625</xdr:rowOff>
        </xdr:from>
        <xdr:to>
          <xdr:col>10</xdr:col>
          <xdr:colOff>285750</xdr:colOff>
          <xdr:row>0</xdr:row>
          <xdr:rowOff>314325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0</xdr:row>
      <xdr:rowOff>333375</xdr:rowOff>
    </xdr:from>
    <xdr:to>
      <xdr:col>7</xdr:col>
      <xdr:colOff>857250</xdr:colOff>
      <xdr:row>0</xdr:row>
      <xdr:rowOff>933450</xdr:rowOff>
    </xdr:to>
    <xdr:grpSp>
      <xdr:nvGrpSpPr>
        <xdr:cNvPr id="2289" name="Group 13">
          <a:extLst>
            <a:ext uri="{FF2B5EF4-FFF2-40B4-BE49-F238E27FC236}">
              <a16:creationId xmlns:a16="http://schemas.microsoft.com/office/drawing/2014/main" id="{00000000-0008-0000-0100-0000F1080000}"/>
            </a:ext>
          </a:extLst>
        </xdr:cNvPr>
        <xdr:cNvGrpSpPr>
          <a:grpSpLocks/>
        </xdr:cNvGrpSpPr>
      </xdr:nvGrpSpPr>
      <xdr:grpSpPr bwMode="auto">
        <a:xfrm>
          <a:off x="5048250" y="333375"/>
          <a:ext cx="419100" cy="600075"/>
          <a:chOff x="929" y="126"/>
          <a:chExt cx="47" cy="66"/>
        </a:xfrm>
      </xdr:grpSpPr>
      <xdr:sp macro="" textlink="">
        <xdr:nvSpPr>
          <xdr:cNvPr id="2314" name="Rectangle 4">
            <a:extLst>
              <a:ext uri="{FF2B5EF4-FFF2-40B4-BE49-F238E27FC236}">
                <a16:creationId xmlns:a16="http://schemas.microsoft.com/office/drawing/2014/main" id="{00000000-0008-0000-0100-00000A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5" name="Rectangle 5">
            <a:extLst>
              <a:ext uri="{FF2B5EF4-FFF2-40B4-BE49-F238E27FC236}">
                <a16:creationId xmlns:a16="http://schemas.microsoft.com/office/drawing/2014/main" id="{00000000-0008-0000-0100-00000B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16" name="Rectangle 6">
            <a:extLst>
              <a:ext uri="{FF2B5EF4-FFF2-40B4-BE49-F238E27FC236}">
                <a16:creationId xmlns:a16="http://schemas.microsoft.com/office/drawing/2014/main" id="{00000000-0008-0000-0100-00000C09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55" name="Text Box 7">
            <a:extLst>
              <a:ext uri="{FF2B5EF4-FFF2-40B4-BE49-F238E27FC236}">
                <a16:creationId xmlns:a16="http://schemas.microsoft.com/office/drawing/2014/main" id="{00000000-0008-0000-0100-000007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39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56" name="Text Box 8">
            <a:extLst>
              <a:ext uri="{FF2B5EF4-FFF2-40B4-BE49-F238E27FC236}">
                <a16:creationId xmlns:a16="http://schemas.microsoft.com/office/drawing/2014/main" id="{00000000-0008-0000-0100-000008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8" y="162"/>
            <a:ext cx="28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319" name="Line 11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20" name="Line 12">
            <a:extLst>
              <a:ext uri="{FF2B5EF4-FFF2-40B4-BE49-F238E27FC236}">
                <a16:creationId xmlns:a16="http://schemas.microsoft.com/office/drawing/2014/main" id="{00000000-0008-0000-0100-000010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8</xdr:col>
      <xdr:colOff>476250</xdr:colOff>
      <xdr:row>0</xdr:row>
      <xdr:rowOff>333375</xdr:rowOff>
    </xdr:from>
    <xdr:to>
      <xdr:col>8</xdr:col>
      <xdr:colOff>866775</xdr:colOff>
      <xdr:row>0</xdr:row>
      <xdr:rowOff>933450</xdr:rowOff>
    </xdr:to>
    <xdr:grpSp>
      <xdr:nvGrpSpPr>
        <xdr:cNvPr id="2290" name="Group 38">
          <a:extLst>
            <a:ext uri="{FF2B5EF4-FFF2-40B4-BE49-F238E27FC236}">
              <a16:creationId xmlns:a16="http://schemas.microsoft.com/office/drawing/2014/main" id="{00000000-0008-0000-0100-0000F2080000}"/>
            </a:ext>
          </a:extLst>
        </xdr:cNvPr>
        <xdr:cNvGrpSpPr>
          <a:grpSpLocks/>
        </xdr:cNvGrpSpPr>
      </xdr:nvGrpSpPr>
      <xdr:grpSpPr bwMode="auto">
        <a:xfrm>
          <a:off x="6048375" y="333375"/>
          <a:ext cx="390525" cy="600075"/>
          <a:chOff x="623" y="44"/>
          <a:chExt cx="50" cy="63"/>
        </a:xfrm>
      </xdr:grpSpPr>
      <xdr:sp macro="" textlink="">
        <xdr:nvSpPr>
          <xdr:cNvPr id="2307" name="Rectangle 23">
            <a:extLst>
              <a:ext uri="{FF2B5EF4-FFF2-40B4-BE49-F238E27FC236}">
                <a16:creationId xmlns:a16="http://schemas.microsoft.com/office/drawing/2014/main" id="{00000000-0008-0000-0100-000003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8" name="Rectangle 24">
            <a:extLst>
              <a:ext uri="{FF2B5EF4-FFF2-40B4-BE49-F238E27FC236}">
                <a16:creationId xmlns:a16="http://schemas.microsoft.com/office/drawing/2014/main" id="{00000000-0008-0000-0100-000004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9" name="Rectangle 25">
            <a:extLst>
              <a:ext uri="{FF2B5EF4-FFF2-40B4-BE49-F238E27FC236}">
                <a16:creationId xmlns:a16="http://schemas.microsoft.com/office/drawing/2014/main" id="{00000000-0008-0000-0100-00000509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74" name="Text Box 26">
            <a:extLst>
              <a:ext uri="{FF2B5EF4-FFF2-40B4-BE49-F238E27FC236}">
                <a16:creationId xmlns:a16="http://schemas.microsoft.com/office/drawing/2014/main" id="{00000000-0008-0000-0100-00001A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4" y="56"/>
            <a:ext cx="29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075" name="Text Box 27">
            <a:extLst>
              <a:ext uri="{FF2B5EF4-FFF2-40B4-BE49-F238E27FC236}">
                <a16:creationId xmlns:a16="http://schemas.microsoft.com/office/drawing/2014/main" id="{00000000-0008-0000-0100-00001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2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0,25</a:t>
            </a:r>
          </a:p>
        </xdr:txBody>
      </xdr:sp>
      <xdr:sp macro="" textlink="">
        <xdr:nvSpPr>
          <xdr:cNvPr id="2312" name="Line 28">
            <a:extLst>
              <a:ext uri="{FF2B5EF4-FFF2-40B4-BE49-F238E27FC236}">
                <a16:creationId xmlns:a16="http://schemas.microsoft.com/office/drawing/2014/main" id="{00000000-0008-0000-0100-00000809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13" name="Line 29">
            <a:extLst>
              <a:ext uri="{FF2B5EF4-FFF2-40B4-BE49-F238E27FC236}">
                <a16:creationId xmlns:a16="http://schemas.microsoft.com/office/drawing/2014/main" id="{00000000-0008-0000-0100-00000909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10</xdr:col>
      <xdr:colOff>428625</xdr:colOff>
      <xdr:row>0</xdr:row>
      <xdr:rowOff>333375</xdr:rowOff>
    </xdr:from>
    <xdr:to>
      <xdr:col>10</xdr:col>
      <xdr:colOff>838200</xdr:colOff>
      <xdr:row>0</xdr:row>
      <xdr:rowOff>933450</xdr:rowOff>
    </xdr:to>
    <xdr:grpSp>
      <xdr:nvGrpSpPr>
        <xdr:cNvPr id="2291" name="Group 30">
          <a:extLst>
            <a:ext uri="{FF2B5EF4-FFF2-40B4-BE49-F238E27FC236}">
              <a16:creationId xmlns:a16="http://schemas.microsoft.com/office/drawing/2014/main" id="{00000000-0008-0000-0100-0000F3080000}"/>
            </a:ext>
          </a:extLst>
        </xdr:cNvPr>
        <xdr:cNvGrpSpPr>
          <a:grpSpLocks/>
        </xdr:cNvGrpSpPr>
      </xdr:nvGrpSpPr>
      <xdr:grpSpPr bwMode="auto">
        <a:xfrm>
          <a:off x="7924800" y="333375"/>
          <a:ext cx="409575" cy="600075"/>
          <a:chOff x="929" y="126"/>
          <a:chExt cx="45" cy="66"/>
        </a:xfrm>
      </xdr:grpSpPr>
      <xdr:sp macro="" textlink="">
        <xdr:nvSpPr>
          <xdr:cNvPr id="2300" name="Rectangle 31">
            <a:extLst>
              <a:ext uri="{FF2B5EF4-FFF2-40B4-BE49-F238E27FC236}">
                <a16:creationId xmlns:a16="http://schemas.microsoft.com/office/drawing/2014/main" id="{00000000-0008-0000-0100-0000FC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26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1" name="Rectangle 32">
            <a:extLst>
              <a:ext uri="{FF2B5EF4-FFF2-40B4-BE49-F238E27FC236}">
                <a16:creationId xmlns:a16="http://schemas.microsoft.com/office/drawing/2014/main" id="{00000000-0008-0000-0100-0000FD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48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302" name="Rectangle 33">
            <a:extLst>
              <a:ext uri="{FF2B5EF4-FFF2-40B4-BE49-F238E27FC236}">
                <a16:creationId xmlns:a16="http://schemas.microsoft.com/office/drawing/2014/main" id="{00000000-0008-0000-0100-0000FE080000}"/>
              </a:ext>
            </a:extLst>
          </xdr:cNvPr>
          <xdr:cNvSpPr>
            <a:spLocks noChangeArrowheads="1"/>
          </xdr:cNvSpPr>
        </xdr:nvSpPr>
        <xdr:spPr bwMode="auto">
          <a:xfrm>
            <a:off x="929" y="170"/>
            <a:ext cx="13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82" name="Text Box 34">
            <a:extLst>
              <a:ext uri="{FF2B5EF4-FFF2-40B4-BE49-F238E27FC236}">
                <a16:creationId xmlns:a16="http://schemas.microsoft.com/office/drawing/2014/main" id="{00000000-0008-0000-0100-000022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39"/>
            <a:ext cx="27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5,00</a:t>
            </a:r>
          </a:p>
        </xdr:txBody>
      </xdr:sp>
      <xdr:sp macro="" textlink="">
        <xdr:nvSpPr>
          <xdr:cNvPr id="2083" name="Text Box 35">
            <a:extLst>
              <a:ext uri="{FF2B5EF4-FFF2-40B4-BE49-F238E27FC236}">
                <a16:creationId xmlns:a16="http://schemas.microsoft.com/office/drawing/2014/main" id="{00000000-0008-0000-0100-000023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47" y="162"/>
            <a:ext cx="25" cy="21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1,00</a:t>
            </a:r>
          </a:p>
        </xdr:txBody>
      </xdr:sp>
      <xdr:sp macro="" textlink="">
        <xdr:nvSpPr>
          <xdr:cNvPr id="2305" name="Line 36">
            <a:extLst>
              <a:ext uri="{FF2B5EF4-FFF2-40B4-BE49-F238E27FC236}">
                <a16:creationId xmlns:a16="http://schemas.microsoft.com/office/drawing/2014/main" id="{00000000-0008-0000-0100-000001090000}"/>
              </a:ext>
            </a:extLst>
          </xdr:cNvPr>
          <xdr:cNvSpPr>
            <a:spLocks noChangeShapeType="1"/>
          </xdr:cNvSpPr>
        </xdr:nvSpPr>
        <xdr:spPr bwMode="auto">
          <a:xfrm>
            <a:off x="930" y="148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06" name="Line 37">
            <a:extLst>
              <a:ext uri="{FF2B5EF4-FFF2-40B4-BE49-F238E27FC236}">
                <a16:creationId xmlns:a16="http://schemas.microsoft.com/office/drawing/2014/main" id="{00000000-0008-0000-0100-000002090000}"/>
              </a:ext>
            </a:extLst>
          </xdr:cNvPr>
          <xdr:cNvSpPr>
            <a:spLocks noChangeShapeType="1"/>
          </xdr:cNvSpPr>
        </xdr:nvSpPr>
        <xdr:spPr bwMode="auto">
          <a:xfrm>
            <a:off x="929" y="170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9</xdr:col>
      <xdr:colOff>419100</xdr:colOff>
      <xdr:row>0</xdr:row>
      <xdr:rowOff>333375</xdr:rowOff>
    </xdr:from>
    <xdr:to>
      <xdr:col>9</xdr:col>
      <xdr:colOff>866775</xdr:colOff>
      <xdr:row>0</xdr:row>
      <xdr:rowOff>933450</xdr:rowOff>
    </xdr:to>
    <xdr:grpSp>
      <xdr:nvGrpSpPr>
        <xdr:cNvPr id="2292" name="Group 39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GrpSpPr>
          <a:grpSpLocks/>
        </xdr:cNvGrpSpPr>
      </xdr:nvGrpSpPr>
      <xdr:grpSpPr bwMode="auto">
        <a:xfrm>
          <a:off x="6953250" y="333375"/>
          <a:ext cx="447675" cy="600075"/>
          <a:chOff x="623" y="44"/>
          <a:chExt cx="54" cy="63"/>
        </a:xfrm>
      </xdr:grpSpPr>
      <xdr:sp macro="" textlink="">
        <xdr:nvSpPr>
          <xdr:cNvPr id="2293" name="Rectangle 40">
            <a:extLst>
              <a:ext uri="{FF2B5EF4-FFF2-40B4-BE49-F238E27FC236}">
                <a16:creationId xmlns:a16="http://schemas.microsoft.com/office/drawing/2014/main" id="{00000000-0008-0000-0100-0000F5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86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4" name="Rectangle 41">
            <a:extLst>
              <a:ext uri="{FF2B5EF4-FFF2-40B4-BE49-F238E27FC236}">
                <a16:creationId xmlns:a16="http://schemas.microsoft.com/office/drawing/2014/main" id="{00000000-0008-0000-0100-0000F6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65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95" name="Rectangle 42">
            <a:extLst>
              <a:ext uri="{FF2B5EF4-FFF2-40B4-BE49-F238E27FC236}">
                <a16:creationId xmlns:a16="http://schemas.microsoft.com/office/drawing/2014/main" id="{00000000-0008-0000-0100-0000F7080000}"/>
              </a:ext>
            </a:extLst>
          </xdr:cNvPr>
          <xdr:cNvSpPr>
            <a:spLocks noChangeArrowheads="1"/>
          </xdr:cNvSpPr>
        </xdr:nvSpPr>
        <xdr:spPr bwMode="auto">
          <a:xfrm>
            <a:off x="623" y="44"/>
            <a:ext cx="13" cy="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091" name="Text Box 43">
            <a:extLst>
              <a:ext uri="{FF2B5EF4-FFF2-40B4-BE49-F238E27FC236}">
                <a16:creationId xmlns:a16="http://schemas.microsoft.com/office/drawing/2014/main" id="{00000000-0008-0000-0100-00002B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1" y="56"/>
            <a:ext cx="36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10,00</a:t>
            </a:r>
          </a:p>
        </xdr:txBody>
      </xdr:sp>
      <xdr:sp macro="" textlink="">
        <xdr:nvSpPr>
          <xdr:cNvPr id="2092" name="Text Box 44">
            <a:extLst>
              <a:ext uri="{FF2B5EF4-FFF2-40B4-BE49-F238E27FC236}">
                <a16:creationId xmlns:a16="http://schemas.microsoft.com/office/drawing/2014/main" id="{00000000-0008-0000-0100-00002C08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0" y="78"/>
            <a:ext cx="30" cy="20"/>
          </a:xfrm>
          <a:prstGeom prst="rect">
            <a:avLst/>
          </a:prstGeom>
          <a:noFill/>
          <a:ln>
            <a:noFill/>
          </a:ln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pt-BR" sz="800" b="0" i="0" u="none" strike="noStrike" baseline="0">
                <a:solidFill>
                  <a:srgbClr val="000000"/>
                </a:solidFill>
                <a:latin typeface="Comic Sans MS"/>
              </a:rPr>
              <a:t>2,00</a:t>
            </a:r>
          </a:p>
        </xdr:txBody>
      </xdr:sp>
      <xdr:sp macro="" textlink="">
        <xdr:nvSpPr>
          <xdr:cNvPr id="2298" name="Line 45">
            <a:extLst>
              <a:ext uri="{FF2B5EF4-FFF2-40B4-BE49-F238E27FC236}">
                <a16:creationId xmlns:a16="http://schemas.microsoft.com/office/drawing/2014/main" id="{00000000-0008-0000-0100-0000FA080000}"/>
              </a:ext>
            </a:extLst>
          </xdr:cNvPr>
          <xdr:cNvSpPr>
            <a:spLocks noChangeShapeType="1"/>
          </xdr:cNvSpPr>
        </xdr:nvSpPr>
        <xdr:spPr bwMode="auto">
          <a:xfrm>
            <a:off x="624" y="65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99" name="Line 46">
            <a:extLst>
              <a:ext uri="{FF2B5EF4-FFF2-40B4-BE49-F238E27FC236}">
                <a16:creationId xmlns:a16="http://schemas.microsoft.com/office/drawing/2014/main" id="{00000000-0008-0000-0100-0000FB080000}"/>
              </a:ext>
            </a:extLst>
          </xdr:cNvPr>
          <xdr:cNvSpPr>
            <a:spLocks noChangeShapeType="1"/>
          </xdr:cNvSpPr>
        </xdr:nvSpPr>
        <xdr:spPr bwMode="auto">
          <a:xfrm>
            <a:off x="623" y="86"/>
            <a:ext cx="1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342900</xdr:rowOff>
        </xdr:from>
        <xdr:to>
          <xdr:col>12</xdr:col>
          <xdr:colOff>142875</xdr:colOff>
          <xdr:row>0</xdr:row>
          <xdr:rowOff>609600</xdr:rowOff>
        </xdr:to>
        <xdr:sp macro="" textlink="">
          <xdr:nvSpPr>
            <xdr:cNvPr id="2095" name="CommandButton1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114300</xdr:colOff>
          <xdr:row>0</xdr:row>
          <xdr:rowOff>57150</xdr:rowOff>
        </xdr:from>
        <xdr:to>
          <xdr:col>12</xdr:col>
          <xdr:colOff>142875</xdr:colOff>
          <xdr:row>0</xdr:row>
          <xdr:rowOff>323850</xdr:rowOff>
        </xdr:to>
        <xdr:sp macro="" textlink="">
          <xdr:nvSpPr>
            <xdr:cNvPr id="2096" name="CommandButton2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581025</xdr:colOff>
          <xdr:row>0</xdr:row>
          <xdr:rowOff>57150</xdr:rowOff>
        </xdr:from>
        <xdr:to>
          <xdr:col>12</xdr:col>
          <xdr:colOff>85725</xdr:colOff>
          <xdr:row>1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581025</xdr:colOff>
          <xdr:row>1</xdr:row>
          <xdr:rowOff>171450</xdr:rowOff>
        </xdr:from>
        <xdr:to>
          <xdr:col>12</xdr:col>
          <xdr:colOff>85725</xdr:colOff>
          <xdr:row>3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581025</xdr:colOff>
          <xdr:row>3</xdr:row>
          <xdr:rowOff>85725</xdr:rowOff>
        </xdr:from>
        <xdr:to>
          <xdr:col>12</xdr:col>
          <xdr:colOff>85725</xdr:colOff>
          <xdr:row>4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581025</xdr:colOff>
          <xdr:row>5</xdr:row>
          <xdr:rowOff>19050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indexed="53"/>
    <outlinePr summaryBelow="0"/>
  </sheetPr>
  <dimension ref="A1:F46"/>
  <sheetViews>
    <sheetView showGridLines="0" tabSelected="1" zoomScaleNormal="100" workbookViewId="0">
      <pane ySplit="1" topLeftCell="A2" activePane="bottomLeft" state="frozen"/>
      <selection pane="bottomLeft" activeCell="F27" sqref="F27"/>
    </sheetView>
  </sheetViews>
  <sheetFormatPr defaultRowHeight="12.75" outlineLevelRow="1" x14ac:dyDescent="0.25"/>
  <cols>
    <col min="1" max="1" width="4.5" style="3" bestFit="1" customWidth="1"/>
    <col min="2" max="2" width="9" style="1"/>
    <col min="3" max="3" width="8.25" style="3" customWidth="1"/>
    <col min="4" max="4" width="37.375" style="1" customWidth="1"/>
    <col min="5" max="5" width="6.875" style="1" customWidth="1"/>
    <col min="6" max="6" width="7.625" style="1" bestFit="1" customWidth="1"/>
    <col min="7" max="9" width="9.375" style="1" customWidth="1"/>
    <col min="10" max="11" width="11.25" style="1" customWidth="1"/>
    <col min="12" max="16384" width="9" style="1"/>
  </cols>
  <sheetData>
    <row r="1" spans="1:5" ht="72.75" customHeight="1" thickBot="1" x14ac:dyDescent="0.35">
      <c r="A1" s="26" t="s">
        <v>0</v>
      </c>
      <c r="B1" s="27" t="s">
        <v>1</v>
      </c>
      <c r="C1" s="28" t="s">
        <v>2</v>
      </c>
      <c r="D1" s="29" t="s">
        <v>24</v>
      </c>
      <c r="E1" s="30" t="s">
        <v>23</v>
      </c>
    </row>
    <row r="2" spans="1:5" ht="14.25" x14ac:dyDescent="0.3">
      <c r="A2" s="31">
        <v>1</v>
      </c>
      <c r="B2" s="5" t="s">
        <v>36</v>
      </c>
      <c r="C2" s="21" t="s">
        <v>7</v>
      </c>
      <c r="D2" s="4" t="s">
        <v>4</v>
      </c>
      <c r="E2" s="2">
        <v>4554</v>
      </c>
    </row>
    <row r="3" spans="1:5" ht="14.25" outlineLevel="1" x14ac:dyDescent="0.3">
      <c r="A3" s="51">
        <f>$A$2+0</f>
        <v>1</v>
      </c>
      <c r="B3" s="32" t="str">
        <f>$B$2</f>
        <v>Pedro</v>
      </c>
      <c r="C3" s="22" t="str">
        <f>$C$2</f>
        <v>seJ</v>
      </c>
      <c r="D3" s="12" t="str">
        <f>IF(D2="R","N",IF(D2="N","F",IF(D2="F","N","")))</f>
        <v>N</v>
      </c>
      <c r="E3" s="2">
        <v>4545</v>
      </c>
    </row>
    <row r="4" spans="1:5" ht="14.25" outlineLevel="1" x14ac:dyDescent="0.3">
      <c r="A4" s="51">
        <f>$A$2+0</f>
        <v>1</v>
      </c>
      <c r="B4" s="32" t="str">
        <f>$B$2</f>
        <v>Pedro</v>
      </c>
      <c r="C4" s="22" t="str">
        <f>$C$2</f>
        <v>seJ</v>
      </c>
      <c r="D4" s="12" t="str">
        <f>IF(D2="R","F",IF(D2="N","R",IF(D2="F","R","")))</f>
        <v>F</v>
      </c>
      <c r="E4" s="2">
        <v>5454</v>
      </c>
    </row>
    <row r="5" spans="1:5" ht="14.25" x14ac:dyDescent="0.3">
      <c r="A5" s="31">
        <f>2</f>
        <v>2</v>
      </c>
      <c r="B5" s="5" t="s">
        <v>37</v>
      </c>
      <c r="C5" s="23" t="s">
        <v>7</v>
      </c>
      <c r="D5" s="12" t="s">
        <v>6</v>
      </c>
      <c r="E5" s="2">
        <v>545</v>
      </c>
    </row>
    <row r="6" spans="1:5" ht="14.25" outlineLevel="1" x14ac:dyDescent="0.3">
      <c r="A6" s="51">
        <f>$A$5</f>
        <v>2</v>
      </c>
      <c r="B6" s="32" t="str">
        <f>$B$5</f>
        <v>Andre</v>
      </c>
      <c r="C6" s="22" t="str">
        <f>$C$5</f>
        <v>seJ</v>
      </c>
      <c r="D6" s="12" t="str">
        <f>IF(D5="R","N",IF(D5="N","F",IF(D5="F","N","")))</f>
        <v>N</v>
      </c>
      <c r="E6" s="2">
        <v>5454</v>
      </c>
    </row>
    <row r="7" spans="1:5" ht="14.25" outlineLevel="1" x14ac:dyDescent="0.3">
      <c r="A7" s="51">
        <f>$A$5</f>
        <v>2</v>
      </c>
      <c r="B7" s="32" t="str">
        <f>$B$5</f>
        <v>Andre</v>
      </c>
      <c r="C7" s="22" t="str">
        <f>$C$5</f>
        <v>seJ</v>
      </c>
      <c r="D7" s="12" t="str">
        <f>IF(D5="R","F",IF(D5="N","R",IF(D5="F","R","")))</f>
        <v>R</v>
      </c>
      <c r="E7" s="2">
        <v>21414</v>
      </c>
    </row>
    <row r="8" spans="1:5" ht="14.25" x14ac:dyDescent="0.3">
      <c r="A8" s="31">
        <f>3</f>
        <v>3</v>
      </c>
      <c r="B8" s="5" t="s">
        <v>41</v>
      </c>
      <c r="C8" s="22" t="s">
        <v>7</v>
      </c>
      <c r="D8" s="12" t="s">
        <v>4</v>
      </c>
      <c r="E8" s="2">
        <v>5454</v>
      </c>
    </row>
    <row r="9" spans="1:5" ht="14.25" outlineLevel="1" x14ac:dyDescent="0.3">
      <c r="A9" s="51">
        <f>$A$8</f>
        <v>3</v>
      </c>
      <c r="B9" s="32" t="str">
        <f>$B$8</f>
        <v>Henrique</v>
      </c>
      <c r="C9" s="22" t="str">
        <f>$C$8</f>
        <v>seJ</v>
      </c>
      <c r="D9" s="12" t="str">
        <f>IF(D8="R","N",IF(D8="N","F",IF(D8="F","N","")))</f>
        <v>N</v>
      </c>
      <c r="E9" s="2">
        <v>2145</v>
      </c>
    </row>
    <row r="10" spans="1:5" ht="14.25" outlineLevel="1" x14ac:dyDescent="0.3">
      <c r="A10" s="51">
        <f>$A$8</f>
        <v>3</v>
      </c>
      <c r="B10" s="32" t="str">
        <f>$B$8</f>
        <v>Henrique</v>
      </c>
      <c r="C10" s="22" t="str">
        <f>$C$8</f>
        <v>seJ</v>
      </c>
      <c r="D10" s="12" t="str">
        <f>IF(D8="R","F",IF(D8="N","R",IF(D8="F","R","")))</f>
        <v>F</v>
      </c>
      <c r="E10" s="2">
        <v>3216</v>
      </c>
    </row>
    <row r="11" spans="1:5" ht="14.25" x14ac:dyDescent="0.3">
      <c r="A11" s="31">
        <f>4</f>
        <v>4</v>
      </c>
      <c r="B11" s="5" t="s">
        <v>43</v>
      </c>
      <c r="C11" s="22" t="s">
        <v>7</v>
      </c>
      <c r="D11" s="12" t="s">
        <v>4</v>
      </c>
      <c r="E11" s="2">
        <v>2525</v>
      </c>
    </row>
    <row r="12" spans="1:5" ht="14.25" outlineLevel="1" x14ac:dyDescent="0.3">
      <c r="A12" s="51">
        <f>$A$11</f>
        <v>4</v>
      </c>
      <c r="B12" s="32" t="str">
        <f>$B$11</f>
        <v>Thayna</v>
      </c>
      <c r="C12" s="22" t="str">
        <f>$C$11</f>
        <v>seJ</v>
      </c>
      <c r="D12" s="12" t="str">
        <f>IF(D11="R","N",IF(D11="N","F",IF(D11="F","N","")))</f>
        <v>N</v>
      </c>
      <c r="E12" s="2">
        <v>3637</v>
      </c>
    </row>
    <row r="13" spans="1:5" ht="14.25" outlineLevel="1" x14ac:dyDescent="0.3">
      <c r="A13" s="51">
        <f>$A$11</f>
        <v>4</v>
      </c>
      <c r="B13" s="32" t="str">
        <f>$B$11</f>
        <v>Thayna</v>
      </c>
      <c r="C13" s="22" t="str">
        <f>$C$11</f>
        <v>seJ</v>
      </c>
      <c r="D13" s="12" t="str">
        <f>IF(D11="R","F",IF(D11="N","R",IF(D11="F","R","")))</f>
        <v>F</v>
      </c>
      <c r="E13" s="2">
        <v>1512</v>
      </c>
    </row>
    <row r="14" spans="1:5" ht="14.25" x14ac:dyDescent="0.3">
      <c r="A14" s="31">
        <f>5</f>
        <v>5</v>
      </c>
      <c r="B14" s="5" t="s">
        <v>45</v>
      </c>
      <c r="C14" s="22" t="s">
        <v>7</v>
      </c>
      <c r="D14" s="12" t="s">
        <v>4</v>
      </c>
      <c r="E14" s="2">
        <v>1020</v>
      </c>
    </row>
    <row r="15" spans="1:5" ht="14.25" outlineLevel="1" x14ac:dyDescent="0.3">
      <c r="A15" s="51">
        <f>$A$14</f>
        <v>5</v>
      </c>
      <c r="B15" s="32" t="str">
        <f>$B$14</f>
        <v>Vinicius</v>
      </c>
      <c r="C15" s="22" t="str">
        <f>$C$14</f>
        <v>seJ</v>
      </c>
      <c r="D15" s="12" t="str">
        <f>IF(D14="R","N",IF(D14="N","F",IF(D14="F","N","")))</f>
        <v>N</v>
      </c>
      <c r="E15" s="2">
        <v>3040</v>
      </c>
    </row>
    <row r="16" spans="1:5" ht="14.25" outlineLevel="1" x14ac:dyDescent="0.3">
      <c r="A16" s="51">
        <f>$A$14</f>
        <v>5</v>
      </c>
      <c r="B16" s="32" t="str">
        <f>$B$14</f>
        <v>Vinicius</v>
      </c>
      <c r="C16" s="22" t="str">
        <f>$C$14</f>
        <v>seJ</v>
      </c>
      <c r="D16" s="12" t="str">
        <f>IF(D14="R","F",IF(D14="N","R",IF(D14="F","R","")))</f>
        <v>F</v>
      </c>
      <c r="E16" s="2">
        <v>2050</v>
      </c>
    </row>
    <row r="17" spans="1:5" ht="14.25" x14ac:dyDescent="0.3">
      <c r="A17" s="31">
        <f>6</f>
        <v>6</v>
      </c>
      <c r="B17" s="5" t="s">
        <v>46</v>
      </c>
      <c r="C17" s="22" t="s">
        <v>7</v>
      </c>
      <c r="D17" s="12" t="s">
        <v>6</v>
      </c>
      <c r="E17" s="2">
        <v>2511</v>
      </c>
    </row>
    <row r="18" spans="1:5" ht="14.25" outlineLevel="1" x14ac:dyDescent="0.3">
      <c r="A18" s="51">
        <f>$A$17</f>
        <v>6</v>
      </c>
      <c r="B18" s="32" t="str">
        <f>$B$17</f>
        <v>Diego</v>
      </c>
      <c r="C18" s="22" t="str">
        <f>$C$17</f>
        <v>seJ</v>
      </c>
      <c r="D18" s="12" t="str">
        <f>IF(D17="R","N",IF(D17="N","F",IF(D17="F","N","")))</f>
        <v>N</v>
      </c>
      <c r="E18" s="2">
        <v>2910</v>
      </c>
    </row>
    <row r="19" spans="1:5" ht="14.25" outlineLevel="1" x14ac:dyDescent="0.3">
      <c r="A19" s="51">
        <f>$A$17</f>
        <v>6</v>
      </c>
      <c r="B19" s="32" t="str">
        <f>$B$17</f>
        <v>Diego</v>
      </c>
      <c r="C19" s="22" t="str">
        <f>$C$17</f>
        <v>seJ</v>
      </c>
      <c r="D19" s="12" t="str">
        <f>IF(D17="R","F",IF(D17="N","R",IF(D17="F","R","")))</f>
        <v>R</v>
      </c>
      <c r="E19" s="2">
        <v>4021</v>
      </c>
    </row>
    <row r="20" spans="1:5" ht="14.25" x14ac:dyDescent="0.3">
      <c r="A20" s="31">
        <f>7</f>
        <v>7</v>
      </c>
      <c r="B20" s="5" t="s">
        <v>48</v>
      </c>
      <c r="C20" s="22" t="s">
        <v>7</v>
      </c>
      <c r="D20" s="12" t="s">
        <v>4</v>
      </c>
      <c r="E20" s="2">
        <v>25624</v>
      </c>
    </row>
    <row r="21" spans="1:5" ht="14.25" outlineLevel="1" x14ac:dyDescent="0.3">
      <c r="A21" s="51">
        <f>$A$20</f>
        <v>7</v>
      </c>
      <c r="B21" s="32" t="str">
        <f>$B$20</f>
        <v>Cecilia</v>
      </c>
      <c r="C21" s="22" t="str">
        <f>$C$20</f>
        <v>seJ</v>
      </c>
      <c r="D21" s="12" t="str">
        <f>IF(D20="R","N",IF(D20="N","F",IF(D20="F","N","")))</f>
        <v>N</v>
      </c>
      <c r="E21" s="2">
        <v>215421</v>
      </c>
    </row>
    <row r="22" spans="1:5" ht="14.25" outlineLevel="1" x14ac:dyDescent="0.3">
      <c r="A22" s="51">
        <f>$A$20</f>
        <v>7</v>
      </c>
      <c r="B22" s="32" t="str">
        <f>$B$20</f>
        <v>Cecilia</v>
      </c>
      <c r="C22" s="22" t="str">
        <f>$C$20</f>
        <v>seJ</v>
      </c>
      <c r="D22" s="12" t="str">
        <f>IF(D20="R","F",IF(D20="N","R",IF(D20="F","R","")))</f>
        <v>F</v>
      </c>
      <c r="E22" s="2">
        <v>2134</v>
      </c>
    </row>
    <row r="23" spans="1:5" ht="14.25" x14ac:dyDescent="0.3">
      <c r="A23" s="31">
        <f>8</f>
        <v>8</v>
      </c>
      <c r="B23" s="5" t="s">
        <v>49</v>
      </c>
      <c r="C23" s="22" t="s">
        <v>7</v>
      </c>
      <c r="D23" s="12" t="s">
        <v>4</v>
      </c>
      <c r="E23" s="2">
        <v>246518</v>
      </c>
    </row>
    <row r="24" spans="1:5" ht="14.25" outlineLevel="1" x14ac:dyDescent="0.3">
      <c r="A24" s="51">
        <f>$A$23</f>
        <v>8</v>
      </c>
      <c r="B24" s="32" t="str">
        <f>$B$23</f>
        <v>Antonio</v>
      </c>
      <c r="C24" s="22" t="str">
        <f>$C$23</f>
        <v>seJ</v>
      </c>
      <c r="D24" s="12" t="str">
        <f>IF(D23="R","N",IF(D23="N","F",IF(D23="F","N","")))</f>
        <v>N</v>
      </c>
      <c r="E24" s="2">
        <v>27512</v>
      </c>
    </row>
    <row r="25" spans="1:5" ht="14.25" outlineLevel="1" x14ac:dyDescent="0.3">
      <c r="A25" s="51">
        <f>$A$23</f>
        <v>8</v>
      </c>
      <c r="B25" s="32" t="str">
        <f>$B$23</f>
        <v>Antonio</v>
      </c>
      <c r="C25" s="22" t="str">
        <f>$C$23</f>
        <v>seJ</v>
      </c>
      <c r="D25" s="12" t="str">
        <f>IF(D23="R","F",IF(D23="N","R",IF(D23="F","R","")))</f>
        <v>F</v>
      </c>
      <c r="E25" s="2">
        <v>2167127</v>
      </c>
    </row>
    <row r="26" spans="1:5" ht="14.25" x14ac:dyDescent="0.3">
      <c r="A26" s="31">
        <f>9</f>
        <v>9</v>
      </c>
      <c r="B26" s="5" t="s">
        <v>50</v>
      </c>
      <c r="C26" s="22" t="s">
        <v>7</v>
      </c>
      <c r="D26" s="12" t="s">
        <v>4</v>
      </c>
      <c r="E26" s="2">
        <v>217517</v>
      </c>
    </row>
    <row r="27" spans="1:5" ht="14.25" outlineLevel="1" x14ac:dyDescent="0.3">
      <c r="A27" s="51">
        <f>$A$26</f>
        <v>9</v>
      </c>
      <c r="B27" s="32" t="str">
        <f>$B$26</f>
        <v>Creide</v>
      </c>
      <c r="C27" s="22" t="str">
        <f>$C$26</f>
        <v>seJ</v>
      </c>
      <c r="D27" s="12" t="str">
        <f>IF(D26="R","N",IF(D26="N","F",IF(D26="F","N","")))</f>
        <v>N</v>
      </c>
      <c r="E27" s="2">
        <v>217517465</v>
      </c>
    </row>
    <row r="28" spans="1:5" ht="14.25" outlineLevel="1" x14ac:dyDescent="0.3">
      <c r="A28" s="51">
        <f>$A$26</f>
        <v>9</v>
      </c>
      <c r="B28" s="32" t="str">
        <f>$B$26</f>
        <v>Creide</v>
      </c>
      <c r="C28" s="22" t="str">
        <f>$C$26</f>
        <v>seJ</v>
      </c>
      <c r="D28" s="12" t="str">
        <f>IF(D26="R","F",IF(D26="N","R",IF(D26="F","R","")))</f>
        <v>F</v>
      </c>
      <c r="E28" s="2">
        <v>21871287</v>
      </c>
    </row>
    <row r="29" spans="1:5" ht="14.25" x14ac:dyDescent="0.3">
      <c r="A29" s="25">
        <v>10</v>
      </c>
      <c r="B29" s="5" t="s">
        <v>51</v>
      </c>
      <c r="C29" s="22" t="s">
        <v>7</v>
      </c>
      <c r="D29" s="12" t="s">
        <v>4</v>
      </c>
      <c r="E29" s="2">
        <v>128717</v>
      </c>
    </row>
    <row r="30" spans="1:5" ht="14.25" outlineLevel="1" x14ac:dyDescent="0.3">
      <c r="A30" s="51">
        <f>$A$29</f>
        <v>10</v>
      </c>
      <c r="B30" s="32" t="str">
        <f>$B$29</f>
        <v>Jasmin</v>
      </c>
      <c r="C30" s="22" t="str">
        <f>$C$29</f>
        <v>seJ</v>
      </c>
      <c r="D30" s="12" t="str">
        <f>IF(D29="R","N",IF(D29="N","F",IF(D29="F","N","")))</f>
        <v>N</v>
      </c>
      <c r="E30" s="24">
        <v>218721</v>
      </c>
    </row>
    <row r="31" spans="1:5" ht="14.25" outlineLevel="1" x14ac:dyDescent="0.3">
      <c r="A31" s="51">
        <f>$A$29</f>
        <v>10</v>
      </c>
      <c r="B31" s="32" t="str">
        <f>$B$29</f>
        <v>Jasmin</v>
      </c>
      <c r="C31" s="22" t="str">
        <f>$C$29</f>
        <v>seJ</v>
      </c>
      <c r="D31" s="12" t="str">
        <f>IF(D29="R","F",IF(D29="N","R",IF(D29="F","R","")))</f>
        <v>F</v>
      </c>
      <c r="E31" s="24">
        <v>2185127</v>
      </c>
    </row>
    <row r="36" spans="5:6" x14ac:dyDescent="0.25">
      <c r="E36" s="1" t="s">
        <v>8</v>
      </c>
      <c r="F36" s="1" t="s">
        <v>3</v>
      </c>
    </row>
    <row r="37" spans="5:6" x14ac:dyDescent="0.25">
      <c r="E37" s="46" t="s">
        <v>7</v>
      </c>
      <c r="F37" s="47" t="s">
        <v>4</v>
      </c>
    </row>
    <row r="38" spans="5:6" x14ac:dyDescent="0.25">
      <c r="E38" s="45" t="s">
        <v>35</v>
      </c>
      <c r="F38" s="48" t="s">
        <v>5</v>
      </c>
    </row>
    <row r="39" spans="5:6" x14ac:dyDescent="0.25">
      <c r="E39" s="10"/>
      <c r="F39" s="49" t="s">
        <v>6</v>
      </c>
    </row>
    <row r="40" spans="5:6" x14ac:dyDescent="0.25">
      <c r="E40" s="10"/>
      <c r="F40" s="50"/>
    </row>
    <row r="45" spans="5:6" x14ac:dyDescent="0.25">
      <c r="E45" s="10"/>
    </row>
    <row r="46" spans="5:6" x14ac:dyDescent="0.25">
      <c r="E46" s="10"/>
    </row>
  </sheetData>
  <sheetProtection sheet="1" formatCells="0" formatColumns="0" formatRows="0" insertColumns="0" insertRows="0" insertHyperlinks="0" deleteColumns="0" deleteRows="0" sort="0" autoFilter="0" pivotTables="0"/>
  <dataConsolidate/>
  <phoneticPr fontId="2" type="noConversion"/>
  <dataValidations count="2">
    <dataValidation type="list" allowBlank="1" showInputMessage="1" showErrorMessage="1" sqref="D2:D31" xr:uid="{00000000-0002-0000-0000-000000000000}">
      <formula1>$F$37:$F$40</formula1>
    </dataValidation>
    <dataValidation type="list" allowBlank="1" showInputMessage="1" showErrorMessage="1" sqref="C2:C31" xr:uid="{00000000-0002-0000-0000-000001000000}">
      <formula1>$E$37:$E$38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mandButton4">
          <controlPr defaultSize="0" autoFill="0" autoLine="0" r:id="rId5">
            <anchor>
              <from>
                <xdr:col>9</xdr:col>
                <xdr:colOff>333375</xdr:colOff>
                <xdr:row>0</xdr:row>
                <xdr:rowOff>47625</xdr:rowOff>
              </from>
              <to>
                <xdr:col>10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1033" r:id="rId4" name="CommandButton4"/>
      </mc:Fallback>
    </mc:AlternateContent>
    <mc:AlternateContent xmlns:mc="http://schemas.openxmlformats.org/markup-compatibility/2006">
      <mc:Choice Requires="x14">
        <control shapeId="1032" r:id="rId6" name="CommandButton3">
          <controlPr defaultSize="0" autoFill="0" autoLine="0" r:id="rId7">
            <anchor>
              <from>
                <xdr:col>9</xdr:col>
                <xdr:colOff>333375</xdr:colOff>
                <xdr:row>0</xdr:row>
                <xdr:rowOff>333375</xdr:rowOff>
              </from>
              <to>
                <xdr:col>10</xdr:col>
                <xdr:colOff>285750</xdr:colOff>
                <xdr:row>0</xdr:row>
                <xdr:rowOff>600075</xdr:rowOff>
              </to>
            </anchor>
          </controlPr>
        </control>
      </mc:Choice>
      <mc:Fallback>
        <control shapeId="1032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Fill="0" autoLine="0" r:id="rId9">
            <anchor>
              <from>
                <xdr:col>8</xdr:col>
                <xdr:colOff>200025</xdr:colOff>
                <xdr:row>0</xdr:row>
                <xdr:rowOff>342900</xdr:rowOff>
              </from>
              <to>
                <xdr:col>9</xdr:col>
                <xdr:colOff>295275</xdr:colOff>
                <xdr:row>0</xdr:row>
                <xdr:rowOff>609600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Fill="0" autoLine="0" autoPict="0" r:id="rId11">
            <anchor>
              <from>
                <xdr:col>8</xdr:col>
                <xdr:colOff>200025</xdr:colOff>
                <xdr:row>0</xdr:row>
                <xdr:rowOff>28575</xdr:rowOff>
              </from>
              <to>
                <xdr:col>9</xdr:col>
                <xdr:colOff>295275</xdr:colOff>
                <xdr:row>0</xdr:row>
                <xdr:rowOff>304800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17"/>
    <outlinePr summaryBelow="0"/>
  </sheetPr>
  <dimension ref="A1:K51"/>
  <sheetViews>
    <sheetView showGridLines="0" zoomScaleNormal="100" workbookViewId="0">
      <pane ySplit="1" topLeftCell="A2" activePane="bottomLeft" state="frozen"/>
      <selection pane="bottomLeft" activeCell="F6" sqref="F6"/>
    </sheetView>
  </sheetViews>
  <sheetFormatPr defaultRowHeight="12.75" x14ac:dyDescent="0.25"/>
  <cols>
    <col min="1" max="1" width="5.625" style="3" customWidth="1"/>
    <col min="2" max="2" width="9" style="1"/>
    <col min="3" max="3" width="19.875" style="1" customWidth="1"/>
    <col min="4" max="4" width="5.625" style="1" bestFit="1" customWidth="1"/>
    <col min="5" max="5" width="8.5" style="1" customWidth="1"/>
    <col min="6" max="6" width="9.375" style="6" customWidth="1"/>
    <col min="7" max="7" width="2.5" style="1" customWidth="1"/>
    <col min="8" max="11" width="12.625" style="1" customWidth="1"/>
    <col min="12" max="16384" width="9" style="1"/>
  </cols>
  <sheetData>
    <row r="1" spans="1:11" ht="76.5" customHeight="1" thickBot="1" x14ac:dyDescent="0.4">
      <c r="A1" s="33" t="s">
        <v>18</v>
      </c>
      <c r="B1" s="34" t="s">
        <v>17</v>
      </c>
      <c r="C1" s="35" t="s">
        <v>10</v>
      </c>
      <c r="D1" s="36" t="s">
        <v>3</v>
      </c>
      <c r="E1" s="37" t="s">
        <v>15</v>
      </c>
      <c r="F1" s="38" t="s">
        <v>16</v>
      </c>
      <c r="G1" s="10"/>
      <c r="H1" s="39" t="s">
        <v>19</v>
      </c>
      <c r="I1" s="39" t="s">
        <v>20</v>
      </c>
      <c r="J1" s="39" t="s">
        <v>21</v>
      </c>
      <c r="K1" s="39" t="s">
        <v>22</v>
      </c>
    </row>
    <row r="2" spans="1:11" ht="16.5" customHeight="1" x14ac:dyDescent="0.35">
      <c r="A2" s="17">
        <v>1</v>
      </c>
      <c r="B2" s="17" t="s">
        <v>36</v>
      </c>
      <c r="D2" s="3"/>
      <c r="F2" s="1"/>
      <c r="H2" s="55">
        <v>2.6683168316831685</v>
      </c>
      <c r="I2" s="55">
        <v>0.59940652818991091</v>
      </c>
      <c r="J2" s="55">
        <v>2.1956521739130435</v>
      </c>
      <c r="K2" s="55">
        <v>1.2152730124497599</v>
      </c>
    </row>
    <row r="3" spans="1:11" ht="15" customHeight="1" x14ac:dyDescent="0.35">
      <c r="A3" s="17"/>
      <c r="B3" s="17"/>
      <c r="C3" s="1" t="s">
        <v>11</v>
      </c>
      <c r="D3" s="3" t="s">
        <v>4</v>
      </c>
      <c r="E3" s="14">
        <v>4554</v>
      </c>
      <c r="F3" s="15">
        <v>0.31292517006802723</v>
      </c>
      <c r="H3" s="54"/>
      <c r="I3" s="54"/>
      <c r="J3" s="54"/>
      <c r="K3" s="54"/>
    </row>
    <row r="4" spans="1:11" ht="15" customHeight="1" x14ac:dyDescent="0.35">
      <c r="A4" s="17"/>
      <c r="B4" s="17"/>
      <c r="C4" s="1" t="s">
        <v>12</v>
      </c>
      <c r="D4" s="3" t="s">
        <v>5</v>
      </c>
      <c r="E4" s="14">
        <v>4545</v>
      </c>
      <c r="F4" s="15">
        <v>0.31230674087816945</v>
      </c>
      <c r="H4" s="54"/>
      <c r="I4" s="54"/>
      <c r="J4" s="54"/>
      <c r="K4" s="54"/>
    </row>
    <row r="5" spans="1:11" ht="15" customHeight="1" x14ac:dyDescent="0.35">
      <c r="A5" s="17"/>
      <c r="B5" s="17"/>
      <c r="C5" s="1" t="s">
        <v>13</v>
      </c>
      <c r="D5" s="3" t="s">
        <v>6</v>
      </c>
      <c r="E5" s="14">
        <v>5454</v>
      </c>
      <c r="F5" s="15">
        <v>0.37476808905380332</v>
      </c>
      <c r="H5" s="54"/>
      <c r="I5" s="54"/>
      <c r="J5" s="54"/>
      <c r="K5" s="54"/>
    </row>
    <row r="6" spans="1:11" ht="15.75" customHeight="1" x14ac:dyDescent="0.35">
      <c r="A6" s="17"/>
      <c r="B6" s="17"/>
      <c r="C6" s="1" t="s">
        <v>14</v>
      </c>
      <c r="D6" s="3" t="s">
        <v>9</v>
      </c>
      <c r="E6" s="14">
        <v>14553</v>
      </c>
      <c r="F6" s="1"/>
      <c r="H6" s="54"/>
      <c r="I6" s="54"/>
      <c r="J6" s="54"/>
      <c r="K6" s="54"/>
    </row>
    <row r="7" spans="1:11" s="7" customFormat="1" ht="16.5" customHeight="1" x14ac:dyDescent="0.35">
      <c r="A7" s="17">
        <v>2</v>
      </c>
      <c r="B7" s="17" t="s">
        <v>37</v>
      </c>
      <c r="D7" s="16"/>
      <c r="H7" s="53">
        <v>50.299082568807343</v>
      </c>
      <c r="I7" s="53">
        <v>2.028435313383951E-2</v>
      </c>
      <c r="J7" s="53">
        <v>0.28014383113850744</v>
      </c>
      <c r="K7" s="53">
        <v>179.54735024644788</v>
      </c>
    </row>
    <row r="8" spans="1:11" ht="14.25" customHeight="1" x14ac:dyDescent="0.35">
      <c r="A8" s="17"/>
      <c r="B8" s="17"/>
      <c r="C8" s="1" t="s">
        <v>11</v>
      </c>
      <c r="D8" s="3" t="s">
        <v>4</v>
      </c>
      <c r="E8" s="14">
        <v>21414</v>
      </c>
      <c r="F8" s="15">
        <v>0.7811622223032868</v>
      </c>
      <c r="H8" s="54"/>
      <c r="I8" s="54"/>
      <c r="J8" s="54"/>
      <c r="K8" s="54"/>
    </row>
    <row r="9" spans="1:11" ht="14.25" customHeight="1" x14ac:dyDescent="0.35">
      <c r="A9" s="17"/>
      <c r="B9" s="17"/>
      <c r="C9" s="1" t="s">
        <v>12</v>
      </c>
      <c r="D9" s="3" t="s">
        <v>5</v>
      </c>
      <c r="E9" s="14">
        <v>5454</v>
      </c>
      <c r="F9" s="15">
        <v>0.19895669937620836</v>
      </c>
      <c r="H9" s="54"/>
      <c r="I9" s="54"/>
      <c r="J9" s="54"/>
      <c r="K9" s="54"/>
    </row>
    <row r="10" spans="1:11" ht="14.25" customHeight="1" x14ac:dyDescent="0.35">
      <c r="A10" s="17"/>
      <c r="B10" s="17"/>
      <c r="C10" s="1" t="s">
        <v>13</v>
      </c>
      <c r="D10" s="3" t="s">
        <v>6</v>
      </c>
      <c r="E10" s="14">
        <v>545</v>
      </c>
      <c r="F10" s="15">
        <v>1.9881078320504869E-2</v>
      </c>
      <c r="H10" s="54"/>
      <c r="I10" s="54"/>
      <c r="J10" s="54"/>
      <c r="K10" s="54"/>
    </row>
    <row r="11" spans="1:11" ht="15" customHeight="1" x14ac:dyDescent="0.35">
      <c r="A11" s="17"/>
      <c r="B11" s="17"/>
      <c r="C11" s="1" t="s">
        <v>14</v>
      </c>
      <c r="D11" s="3" t="s">
        <v>9</v>
      </c>
      <c r="E11" s="14">
        <v>27413</v>
      </c>
      <c r="F11" s="1"/>
      <c r="H11" s="54"/>
      <c r="I11" s="54"/>
      <c r="J11" s="54"/>
      <c r="K11" s="54"/>
    </row>
    <row r="12" spans="1:11" ht="16.5" customHeight="1" x14ac:dyDescent="0.35">
      <c r="A12" s="17">
        <v>3</v>
      </c>
      <c r="B12" s="17" t="s">
        <v>41</v>
      </c>
      <c r="D12" s="3"/>
      <c r="F12" s="1"/>
      <c r="H12" s="53">
        <v>3.3628731343283582</v>
      </c>
      <c r="I12" s="53">
        <v>0.42321358073430715</v>
      </c>
      <c r="J12" s="53">
        <v>0.98294829482948287</v>
      </c>
      <c r="K12" s="53">
        <v>3.4212106089585652</v>
      </c>
    </row>
    <row r="13" spans="1:11" ht="14.25" customHeight="1" x14ac:dyDescent="0.35">
      <c r="A13" s="17"/>
      <c r="B13" s="17"/>
      <c r="C13" s="1" t="s">
        <v>11</v>
      </c>
      <c r="D13" s="3" t="s">
        <v>4</v>
      </c>
      <c r="E13" s="14">
        <v>5454</v>
      </c>
      <c r="F13" s="15">
        <v>0.50429958391123442</v>
      </c>
      <c r="H13" s="54"/>
      <c r="I13" s="54"/>
      <c r="J13" s="54"/>
      <c r="K13" s="54"/>
    </row>
    <row r="14" spans="1:11" ht="14.25" customHeight="1" x14ac:dyDescent="0.35">
      <c r="A14" s="17"/>
      <c r="B14" s="17"/>
      <c r="C14" s="1" t="s">
        <v>12</v>
      </c>
      <c r="D14" s="3" t="s">
        <v>5</v>
      </c>
      <c r="E14" s="14">
        <v>2145</v>
      </c>
      <c r="F14" s="15">
        <v>0.19833564493758668</v>
      </c>
      <c r="H14" s="54"/>
      <c r="I14" s="54"/>
      <c r="J14" s="54"/>
      <c r="K14" s="54"/>
    </row>
    <row r="15" spans="1:11" ht="14.25" customHeight="1" x14ac:dyDescent="0.35">
      <c r="A15" s="17"/>
      <c r="B15" s="17"/>
      <c r="C15" s="1" t="s">
        <v>13</v>
      </c>
      <c r="D15" s="3" t="s">
        <v>6</v>
      </c>
      <c r="E15" s="14">
        <v>3216</v>
      </c>
      <c r="F15" s="15">
        <v>0.29736477115117893</v>
      </c>
      <c r="H15" s="54"/>
      <c r="I15" s="54"/>
      <c r="J15" s="54"/>
      <c r="K15" s="54"/>
    </row>
    <row r="16" spans="1:11" ht="15" customHeight="1" x14ac:dyDescent="0.35">
      <c r="A16" s="17"/>
      <c r="B16" s="17"/>
      <c r="C16" s="1" t="s">
        <v>14</v>
      </c>
      <c r="D16" s="3" t="s">
        <v>9</v>
      </c>
      <c r="E16" s="14">
        <v>10815</v>
      </c>
      <c r="F16" s="1"/>
      <c r="H16" s="54"/>
      <c r="I16" s="54"/>
      <c r="J16" s="54"/>
      <c r="K16" s="54"/>
    </row>
    <row r="17" spans="1:11" ht="16.5" customHeight="1" x14ac:dyDescent="0.35">
      <c r="A17" s="17">
        <v>4</v>
      </c>
      <c r="B17" s="17" t="s">
        <v>43</v>
      </c>
      <c r="D17" s="3"/>
      <c r="F17" s="1"/>
      <c r="H17" s="53">
        <v>5.0753968253968251</v>
      </c>
      <c r="I17" s="53">
        <v>0.24537487828627069</v>
      </c>
      <c r="J17" s="53">
        <v>2.0392079207920792</v>
      </c>
      <c r="K17" s="53">
        <v>2.488905998082537</v>
      </c>
    </row>
    <row r="18" spans="1:11" ht="14.25" customHeight="1" x14ac:dyDescent="0.35">
      <c r="A18" s="17"/>
      <c r="B18" s="17"/>
      <c r="C18" s="1" t="s">
        <v>11</v>
      </c>
      <c r="D18" s="3" t="s">
        <v>4</v>
      </c>
      <c r="E18" s="14">
        <v>2525</v>
      </c>
      <c r="F18" s="15">
        <v>0.32903309877508469</v>
      </c>
      <c r="H18" s="54"/>
      <c r="I18" s="54"/>
      <c r="J18" s="54"/>
      <c r="K18" s="54"/>
    </row>
    <row r="19" spans="1:11" ht="14.25" customHeight="1" x14ac:dyDescent="0.35">
      <c r="A19" s="17"/>
      <c r="B19" s="17"/>
      <c r="C19" s="1" t="s">
        <v>12</v>
      </c>
      <c r="D19" s="3" t="s">
        <v>5</v>
      </c>
      <c r="E19" s="14">
        <v>3637</v>
      </c>
      <c r="F19" s="15">
        <v>0.47393797237425073</v>
      </c>
      <c r="H19" s="54"/>
      <c r="I19" s="54"/>
      <c r="J19" s="54"/>
      <c r="K19" s="54"/>
    </row>
    <row r="20" spans="1:11" ht="14.25" customHeight="1" x14ac:dyDescent="0.35">
      <c r="A20" s="17"/>
      <c r="B20" s="17"/>
      <c r="C20" s="1" t="s">
        <v>13</v>
      </c>
      <c r="D20" s="3" t="s">
        <v>6</v>
      </c>
      <c r="E20" s="14">
        <v>1512</v>
      </c>
      <c r="F20" s="15">
        <v>0.19702892885066459</v>
      </c>
      <c r="H20" s="54"/>
      <c r="I20" s="54"/>
      <c r="J20" s="54"/>
      <c r="K20" s="54"/>
    </row>
    <row r="21" spans="1:11" ht="15" customHeight="1" x14ac:dyDescent="0.35">
      <c r="A21" s="17"/>
      <c r="B21" s="17"/>
      <c r="C21" s="1" t="s">
        <v>14</v>
      </c>
      <c r="D21" s="3" t="s">
        <v>9</v>
      </c>
      <c r="E21" s="14">
        <v>7674</v>
      </c>
      <c r="F21" s="1"/>
      <c r="H21" s="54"/>
      <c r="I21" s="54"/>
      <c r="J21" s="54"/>
      <c r="K21" s="54"/>
    </row>
    <row r="22" spans="1:11" ht="16.5" customHeight="1" x14ac:dyDescent="0.35">
      <c r="A22" s="17">
        <v>5</v>
      </c>
      <c r="B22" s="17" t="s">
        <v>45</v>
      </c>
      <c r="D22" s="3"/>
      <c r="F22" s="1"/>
      <c r="H22" s="53">
        <v>2.9804878048780492</v>
      </c>
      <c r="I22" s="53">
        <v>0.50492610837438423</v>
      </c>
      <c r="J22" s="53">
        <v>4.9901960784313726</v>
      </c>
      <c r="K22" s="53">
        <v>0.59726867602664246</v>
      </c>
    </row>
    <row r="23" spans="1:11" ht="14.25" customHeight="1" x14ac:dyDescent="0.35">
      <c r="A23" s="17"/>
      <c r="B23" s="17"/>
      <c r="C23" s="1" t="s">
        <v>11</v>
      </c>
      <c r="D23" s="3" t="s">
        <v>4</v>
      </c>
      <c r="E23" s="14">
        <v>1020</v>
      </c>
      <c r="F23" s="15">
        <v>0.16693944353518822</v>
      </c>
      <c r="H23" s="54"/>
      <c r="I23" s="54"/>
      <c r="J23" s="54"/>
      <c r="K23" s="54"/>
    </row>
    <row r="24" spans="1:11" ht="14.25" customHeight="1" x14ac:dyDescent="0.35">
      <c r="A24" s="17"/>
      <c r="B24" s="17"/>
      <c r="C24" s="1" t="s">
        <v>12</v>
      </c>
      <c r="D24" s="3" t="s">
        <v>5</v>
      </c>
      <c r="E24" s="14">
        <v>3040</v>
      </c>
      <c r="F24" s="15">
        <v>0.49754500818330605</v>
      </c>
      <c r="H24" s="54"/>
      <c r="I24" s="54"/>
      <c r="J24" s="54"/>
      <c r="K24" s="54"/>
    </row>
    <row r="25" spans="1:11" ht="14.25" customHeight="1" x14ac:dyDescent="0.35">
      <c r="A25" s="17"/>
      <c r="B25" s="17"/>
      <c r="C25" s="1" t="s">
        <v>13</v>
      </c>
      <c r="D25" s="3" t="s">
        <v>6</v>
      </c>
      <c r="E25" s="14">
        <v>2050</v>
      </c>
      <c r="F25" s="15">
        <v>0.3355155482815057</v>
      </c>
      <c r="H25" s="54"/>
      <c r="I25" s="54"/>
      <c r="J25" s="54"/>
      <c r="K25" s="54"/>
    </row>
    <row r="26" spans="1:11" ht="15" customHeight="1" x14ac:dyDescent="0.35">
      <c r="A26" s="17"/>
      <c r="B26" s="17"/>
      <c r="C26" s="1" t="s">
        <v>14</v>
      </c>
      <c r="D26" s="3" t="s">
        <v>9</v>
      </c>
      <c r="E26" s="14">
        <v>6110</v>
      </c>
      <c r="F26" s="1"/>
      <c r="H26" s="54"/>
      <c r="I26" s="54"/>
      <c r="J26" s="54"/>
      <c r="K26" s="54"/>
    </row>
    <row r="27" spans="1:11" ht="16.5" customHeight="1" x14ac:dyDescent="0.35">
      <c r="A27" s="17">
        <v>6</v>
      </c>
      <c r="B27" s="17" t="s">
        <v>46</v>
      </c>
      <c r="D27" s="3"/>
      <c r="F27" s="1"/>
      <c r="H27" s="53">
        <v>3.7602548785344481</v>
      </c>
      <c r="I27" s="53">
        <v>0.36228538450440051</v>
      </c>
      <c r="J27" s="53">
        <v>1.3481720964934096</v>
      </c>
      <c r="K27" s="53">
        <v>2.7891505011228586</v>
      </c>
    </row>
    <row r="28" spans="1:11" ht="14.25" customHeight="1" x14ac:dyDescent="0.35">
      <c r="A28" s="17"/>
      <c r="B28" s="17"/>
      <c r="C28" s="1" t="s">
        <v>11</v>
      </c>
      <c r="D28" s="3" t="s">
        <v>4</v>
      </c>
      <c r="E28" s="14">
        <v>4021</v>
      </c>
      <c r="F28" s="15">
        <v>0.4258631645837746</v>
      </c>
      <c r="H28" s="54"/>
      <c r="I28" s="54"/>
      <c r="J28" s="54"/>
      <c r="K28" s="54"/>
    </row>
    <row r="29" spans="1:11" ht="14.25" customHeight="1" x14ac:dyDescent="0.35">
      <c r="A29" s="17"/>
      <c r="B29" s="17"/>
      <c r="C29" s="1" t="s">
        <v>12</v>
      </c>
      <c r="D29" s="3" t="s">
        <v>5</v>
      </c>
      <c r="E29" s="14">
        <v>2910</v>
      </c>
      <c r="F29" s="15">
        <v>0.30819741580173693</v>
      </c>
      <c r="H29" s="54"/>
      <c r="I29" s="54"/>
      <c r="J29" s="54"/>
      <c r="K29" s="54"/>
    </row>
    <row r="30" spans="1:11" ht="14.25" customHeight="1" x14ac:dyDescent="0.35">
      <c r="A30" s="17"/>
      <c r="B30" s="17"/>
      <c r="C30" s="1" t="s">
        <v>13</v>
      </c>
      <c r="D30" s="3" t="s">
        <v>6</v>
      </c>
      <c r="E30" s="14">
        <v>2511</v>
      </c>
      <c r="F30" s="15">
        <v>0.26593941961448847</v>
      </c>
      <c r="H30" s="54"/>
      <c r="I30" s="54"/>
      <c r="J30" s="54"/>
      <c r="K30" s="54"/>
    </row>
    <row r="31" spans="1:11" ht="15" customHeight="1" x14ac:dyDescent="0.35">
      <c r="A31" s="17"/>
      <c r="B31" s="17"/>
      <c r="C31" s="1" t="s">
        <v>14</v>
      </c>
      <c r="D31" s="3" t="s">
        <v>9</v>
      </c>
      <c r="E31" s="14">
        <v>9442</v>
      </c>
      <c r="F31" s="1"/>
      <c r="H31" s="54"/>
      <c r="I31" s="54"/>
      <c r="J31" s="54"/>
      <c r="K31" s="54"/>
    </row>
    <row r="32" spans="1:11" ht="16.5" customHeight="1" x14ac:dyDescent="0.35">
      <c r="A32" s="17">
        <v>7</v>
      </c>
      <c r="B32" s="17" t="s">
        <v>48</v>
      </c>
      <c r="D32" s="3"/>
      <c r="F32" s="1"/>
      <c r="H32" s="53">
        <v>113.95454545454545</v>
      </c>
      <c r="I32" s="53">
        <v>8.8531187122736412E-3</v>
      </c>
      <c r="J32" s="53">
        <v>8.4902825476116135</v>
      </c>
      <c r="K32" s="53">
        <v>13.421761268310417</v>
      </c>
    </row>
    <row r="33" spans="1:11" ht="14.25" customHeight="1" x14ac:dyDescent="0.35">
      <c r="A33" s="17"/>
      <c r="B33" s="17"/>
      <c r="C33" s="1" t="s">
        <v>11</v>
      </c>
      <c r="D33" s="3" t="s">
        <v>4</v>
      </c>
      <c r="E33" s="14">
        <v>25624</v>
      </c>
      <c r="F33" s="15">
        <v>0.10537094074735072</v>
      </c>
      <c r="H33" s="54"/>
      <c r="I33" s="54"/>
      <c r="J33" s="54"/>
      <c r="K33" s="54"/>
    </row>
    <row r="34" spans="1:11" ht="14.25" customHeight="1" x14ac:dyDescent="0.35">
      <c r="A34" s="17"/>
      <c r="B34" s="17"/>
      <c r="C34" s="1" t="s">
        <v>12</v>
      </c>
      <c r="D34" s="3" t="s">
        <v>5</v>
      </c>
      <c r="E34" s="14">
        <v>215421</v>
      </c>
      <c r="F34" s="15">
        <v>0.88585363045328747</v>
      </c>
      <c r="H34" s="54"/>
      <c r="I34" s="54"/>
      <c r="J34" s="54"/>
      <c r="K34" s="54"/>
    </row>
    <row r="35" spans="1:11" ht="14.25" customHeight="1" x14ac:dyDescent="0.35">
      <c r="A35" s="17"/>
      <c r="B35" s="17"/>
      <c r="C35" s="1" t="s">
        <v>13</v>
      </c>
      <c r="D35" s="3" t="s">
        <v>6</v>
      </c>
      <c r="E35" s="14">
        <v>2134</v>
      </c>
      <c r="F35" s="15">
        <v>8.7754287993617869E-3</v>
      </c>
      <c r="H35" s="54"/>
      <c r="I35" s="54"/>
      <c r="J35" s="54"/>
      <c r="K35" s="54"/>
    </row>
    <row r="36" spans="1:11" ht="15" customHeight="1" x14ac:dyDescent="0.35">
      <c r="A36" s="17"/>
      <c r="B36" s="17"/>
      <c r="C36" s="1" t="s">
        <v>14</v>
      </c>
      <c r="D36" s="3" t="s">
        <v>9</v>
      </c>
      <c r="E36" s="14">
        <v>243179</v>
      </c>
      <c r="F36" s="1"/>
      <c r="H36" s="54"/>
      <c r="I36" s="54"/>
      <c r="J36" s="54"/>
      <c r="K36" s="54"/>
    </row>
    <row r="37" spans="1:11" ht="16.5" customHeight="1" x14ac:dyDescent="0.35">
      <c r="A37" s="17">
        <v>8</v>
      </c>
      <c r="B37" s="17" t="s">
        <v>49</v>
      </c>
      <c r="D37" s="3"/>
      <c r="F37" s="1"/>
      <c r="H37" s="53">
        <v>1.1264485191684659</v>
      </c>
      <c r="I37" s="53">
        <v>7.9083567492610314</v>
      </c>
      <c r="J37" s="53">
        <v>8.9025507265189567</v>
      </c>
      <c r="K37" s="53">
        <v>0.12653098575591332</v>
      </c>
    </row>
    <row r="38" spans="1:11" ht="14.25" customHeight="1" x14ac:dyDescent="0.35">
      <c r="A38" s="17"/>
      <c r="B38" s="17"/>
      <c r="C38" s="1" t="s">
        <v>11</v>
      </c>
      <c r="D38" s="3" t="s">
        <v>4</v>
      </c>
      <c r="E38" s="14">
        <v>246518</v>
      </c>
      <c r="F38" s="15">
        <v>0.10098408254774273</v>
      </c>
      <c r="H38" s="54"/>
      <c r="I38" s="54"/>
      <c r="J38" s="54"/>
      <c r="K38" s="54"/>
    </row>
    <row r="39" spans="1:11" ht="14.25" customHeight="1" x14ac:dyDescent="0.35">
      <c r="A39" s="17"/>
      <c r="B39" s="17"/>
      <c r="C39" s="1" t="s">
        <v>12</v>
      </c>
      <c r="D39" s="3" t="s">
        <v>5</v>
      </c>
      <c r="E39" s="14">
        <v>27512</v>
      </c>
      <c r="F39" s="15">
        <v>1.1270065792572947E-2</v>
      </c>
      <c r="H39" s="54"/>
      <c r="I39" s="54"/>
      <c r="J39" s="54"/>
      <c r="K39" s="54"/>
    </row>
    <row r="40" spans="1:11" ht="14.25" customHeight="1" x14ac:dyDescent="0.35">
      <c r="A40" s="17"/>
      <c r="B40" s="17"/>
      <c r="C40" s="1" t="s">
        <v>13</v>
      </c>
      <c r="D40" s="3" t="s">
        <v>6</v>
      </c>
      <c r="E40" s="14">
        <v>2167127</v>
      </c>
      <c r="F40" s="15">
        <v>0.88774585165968434</v>
      </c>
      <c r="H40" s="54"/>
      <c r="I40" s="54"/>
      <c r="J40" s="54"/>
      <c r="K40" s="54"/>
    </row>
    <row r="41" spans="1:11" ht="15" customHeight="1" x14ac:dyDescent="0.35">
      <c r="A41" s="17"/>
      <c r="B41" s="17"/>
      <c r="C41" s="1" t="s">
        <v>14</v>
      </c>
      <c r="D41" s="3" t="s">
        <v>9</v>
      </c>
      <c r="E41" s="14">
        <v>2441157</v>
      </c>
      <c r="F41" s="1"/>
      <c r="H41" s="54"/>
      <c r="I41" s="54"/>
      <c r="J41" s="54"/>
      <c r="K41" s="54"/>
    </row>
    <row r="42" spans="1:11" ht="16.5" customHeight="1" x14ac:dyDescent="0.35">
      <c r="A42" s="17">
        <v>9</v>
      </c>
      <c r="B42" s="17" t="s">
        <v>50</v>
      </c>
      <c r="D42" s="3"/>
      <c r="F42" s="1"/>
      <c r="H42" s="53">
        <v>10.955288959447151</v>
      </c>
      <c r="I42" s="53">
        <v>0.10044911846090032</v>
      </c>
      <c r="J42" s="53">
        <v>1100.5519200798099</v>
      </c>
      <c r="K42" s="53">
        <v>9.9543590443717505E-3</v>
      </c>
    </row>
    <row r="43" spans="1:11" ht="14.25" customHeight="1" x14ac:dyDescent="0.35">
      <c r="A43" s="17"/>
      <c r="B43" s="17"/>
      <c r="C43" s="1" t="s">
        <v>11</v>
      </c>
      <c r="D43" s="3" t="s">
        <v>4</v>
      </c>
      <c r="E43" s="14">
        <v>217517</v>
      </c>
      <c r="F43" s="15">
        <v>9.0781013747182049E-4</v>
      </c>
      <c r="H43" s="54"/>
      <c r="I43" s="54"/>
      <c r="J43" s="54"/>
      <c r="K43" s="54"/>
    </row>
    <row r="44" spans="1:11" ht="14.25" customHeight="1" x14ac:dyDescent="0.35">
      <c r="A44" s="17"/>
      <c r="B44" s="17"/>
      <c r="C44" s="1" t="s">
        <v>12</v>
      </c>
      <c r="D44" s="3" t="s">
        <v>5</v>
      </c>
      <c r="E44" s="14">
        <v>217517465</v>
      </c>
      <c r="F44" s="15">
        <v>0.90781207815560117</v>
      </c>
      <c r="H44" s="54"/>
      <c r="I44" s="54"/>
      <c r="J44" s="54"/>
      <c r="K44" s="54"/>
    </row>
    <row r="45" spans="1:11" ht="14.25" customHeight="1" x14ac:dyDescent="0.35">
      <c r="A45" s="17"/>
      <c r="B45" s="17"/>
      <c r="C45" s="1" t="s">
        <v>13</v>
      </c>
      <c r="D45" s="3" t="s">
        <v>6</v>
      </c>
      <c r="E45" s="14">
        <v>21871287</v>
      </c>
      <c r="F45" s="15">
        <v>9.1280111706927E-2</v>
      </c>
      <c r="H45" s="54"/>
      <c r="I45" s="54"/>
      <c r="J45" s="54"/>
      <c r="K45" s="54"/>
    </row>
    <row r="46" spans="1:11" ht="15" customHeight="1" x14ac:dyDescent="0.35">
      <c r="A46" s="17"/>
      <c r="B46" s="17"/>
      <c r="C46" s="1" t="s">
        <v>14</v>
      </c>
      <c r="D46" s="3" t="s">
        <v>9</v>
      </c>
      <c r="E46" s="14">
        <v>239606269</v>
      </c>
      <c r="F46" s="1"/>
      <c r="H46" s="54"/>
      <c r="I46" s="54"/>
      <c r="J46" s="54"/>
      <c r="K46" s="54"/>
    </row>
    <row r="47" spans="1:11" ht="16.5" customHeight="1" x14ac:dyDescent="0.35">
      <c r="A47" s="17">
        <v>10</v>
      </c>
      <c r="B47" s="17" t="s">
        <v>51</v>
      </c>
      <c r="D47" s="3"/>
      <c r="F47" s="1"/>
      <c r="H47" s="53">
        <v>1.1590012845935271</v>
      </c>
      <c r="I47" s="53">
        <v>6.2892573639037739</v>
      </c>
      <c r="J47" s="53">
        <v>18.675450795155264</v>
      </c>
      <c r="K47" s="53">
        <v>6.2060150370998927E-2</v>
      </c>
    </row>
    <row r="48" spans="1:11" ht="14.25" customHeight="1" x14ac:dyDescent="0.35">
      <c r="A48" s="18"/>
      <c r="B48" s="17"/>
      <c r="C48" s="1" t="s">
        <v>11</v>
      </c>
      <c r="D48" s="3" t="s">
        <v>4</v>
      </c>
      <c r="E48" s="14">
        <v>128717</v>
      </c>
      <c r="F48" s="44">
        <v>5.0824756718978584E-2</v>
      </c>
      <c r="H48" s="54"/>
      <c r="I48" s="54"/>
      <c r="J48" s="54"/>
      <c r="K48" s="54"/>
    </row>
    <row r="49" spans="1:11" ht="14.25" customHeight="1" x14ac:dyDescent="0.35">
      <c r="A49" s="18"/>
      <c r="B49" s="17"/>
      <c r="C49" s="1" t="s">
        <v>12</v>
      </c>
      <c r="D49" s="3" t="s">
        <v>5</v>
      </c>
      <c r="E49" s="14">
        <v>218721</v>
      </c>
      <c r="F49" s="44">
        <v>8.636342996132379E-2</v>
      </c>
      <c r="H49" s="54"/>
      <c r="I49" s="54"/>
      <c r="J49" s="54"/>
      <c r="K49" s="54"/>
    </row>
    <row r="50" spans="1:11" ht="14.25" customHeight="1" x14ac:dyDescent="0.35">
      <c r="A50" s="18"/>
      <c r="B50" s="17"/>
      <c r="C50" s="1" t="s">
        <v>13</v>
      </c>
      <c r="D50" s="3" t="s">
        <v>6</v>
      </c>
      <c r="E50" s="14">
        <v>2185127</v>
      </c>
      <c r="F50" s="44">
        <v>0.86281181331969758</v>
      </c>
      <c r="H50" s="54"/>
      <c r="I50" s="54"/>
      <c r="J50" s="54"/>
      <c r="K50" s="54"/>
    </row>
    <row r="51" spans="1:11" ht="15" customHeight="1" x14ac:dyDescent="0.35">
      <c r="A51" s="18"/>
      <c r="B51" s="17"/>
      <c r="C51" s="1" t="s">
        <v>14</v>
      </c>
      <c r="D51" s="3" t="s">
        <v>9</v>
      </c>
      <c r="E51" s="14">
        <v>2532565</v>
      </c>
      <c r="H51" s="54"/>
      <c r="I51" s="54"/>
      <c r="J51" s="54"/>
      <c r="K51" s="54"/>
    </row>
  </sheetData>
  <mergeCells count="40">
    <mergeCell ref="H22:H26"/>
    <mergeCell ref="I22:I26"/>
    <mergeCell ref="J22:J26"/>
    <mergeCell ref="K22:K26"/>
    <mergeCell ref="J2:J6"/>
    <mergeCell ref="K2:K6"/>
    <mergeCell ref="H7:H11"/>
    <mergeCell ref="I7:I11"/>
    <mergeCell ref="J7:J11"/>
    <mergeCell ref="K7:K11"/>
    <mergeCell ref="H2:H6"/>
    <mergeCell ref="I2:I6"/>
    <mergeCell ref="H12:H16"/>
    <mergeCell ref="I12:I16"/>
    <mergeCell ref="J12:J16"/>
    <mergeCell ref="K12:K16"/>
    <mergeCell ref="H17:H21"/>
    <mergeCell ref="I17:I21"/>
    <mergeCell ref="J17:J21"/>
    <mergeCell ref="K17:K21"/>
    <mergeCell ref="H27:H31"/>
    <mergeCell ref="I27:I31"/>
    <mergeCell ref="J27:J31"/>
    <mergeCell ref="K27:K31"/>
    <mergeCell ref="H32:H36"/>
    <mergeCell ref="I32:I36"/>
    <mergeCell ref="J32:J36"/>
    <mergeCell ref="K32:K36"/>
    <mergeCell ref="H47:H51"/>
    <mergeCell ref="I47:I51"/>
    <mergeCell ref="J47:J51"/>
    <mergeCell ref="K47:K51"/>
    <mergeCell ref="H37:H41"/>
    <mergeCell ref="I37:I41"/>
    <mergeCell ref="J37:J41"/>
    <mergeCell ref="K37:K41"/>
    <mergeCell ref="H42:H46"/>
    <mergeCell ref="I42:I46"/>
    <mergeCell ref="J42:J46"/>
    <mergeCell ref="K42:K46"/>
  </mergeCells>
  <phoneticPr fontId="2" type="noConversion"/>
  <pageMargins left="0.78740157499999996" right="0.78740157499999996" top="0.984251969" bottom="0.984251969" header="0.5" footer="0.5"/>
  <pageSetup orientation="portrait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96" r:id="rId4" name="CommandButton2">
          <controlPr defaultSize="0" autoFill="0" autoLine="0" r:id="rId5">
            <anchor>
              <from>
                <xdr:col>11</xdr:col>
                <xdr:colOff>114300</xdr:colOff>
                <xdr:row>0</xdr:row>
                <xdr:rowOff>57150</xdr:rowOff>
              </from>
              <to>
                <xdr:col>12</xdr:col>
                <xdr:colOff>142875</xdr:colOff>
                <xdr:row>0</xdr:row>
                <xdr:rowOff>323850</xdr:rowOff>
              </to>
            </anchor>
          </controlPr>
        </control>
      </mc:Choice>
      <mc:Fallback>
        <control shapeId="2096" r:id="rId4" name="CommandButton2"/>
      </mc:Fallback>
    </mc:AlternateContent>
    <mc:AlternateContent xmlns:mc="http://schemas.openxmlformats.org/markup-compatibility/2006">
      <mc:Choice Requires="x14">
        <control shapeId="2095" r:id="rId6" name="CommandButton1">
          <controlPr defaultSize="0" autoFill="0" autoLine="0" r:id="rId7">
            <anchor>
              <from>
                <xdr:col>11</xdr:col>
                <xdr:colOff>114300</xdr:colOff>
                <xdr:row>0</xdr:row>
                <xdr:rowOff>342900</xdr:rowOff>
              </from>
              <to>
                <xdr:col>12</xdr:col>
                <xdr:colOff>142875</xdr:colOff>
                <xdr:row>0</xdr:row>
                <xdr:rowOff>609600</xdr:rowOff>
              </to>
            </anchor>
          </controlPr>
        </control>
      </mc:Choice>
      <mc:Fallback>
        <control shapeId="209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tabColor indexed="12"/>
  </sheetPr>
  <dimension ref="A2:D60"/>
  <sheetViews>
    <sheetView showGridLines="0" workbookViewId="0">
      <selection activeCell="F13" sqref="F13"/>
    </sheetView>
  </sheetViews>
  <sheetFormatPr defaultRowHeight="15" x14ac:dyDescent="0.3"/>
  <cols>
    <col min="1" max="1" width="7.375" customWidth="1"/>
    <col min="2" max="2" width="9" customWidth="1"/>
    <col min="3" max="3" width="7.5" customWidth="1"/>
    <col min="4" max="4" width="16.25" customWidth="1"/>
    <col min="5" max="7" width="11.125" customWidth="1"/>
  </cols>
  <sheetData>
    <row r="2" spans="1:4" x14ac:dyDescent="0.3">
      <c r="A2" s="13" t="s">
        <v>38</v>
      </c>
    </row>
    <row r="3" spans="1:4" x14ac:dyDescent="0.3">
      <c r="A3" s="9"/>
      <c r="B3" s="11" t="s">
        <v>2</v>
      </c>
      <c r="C3" s="9" t="s">
        <v>3</v>
      </c>
      <c r="D3" s="9" t="s">
        <v>39</v>
      </c>
    </row>
    <row r="4" spans="1:4" x14ac:dyDescent="0.3">
      <c r="B4" t="s">
        <v>7</v>
      </c>
      <c r="C4" t="s">
        <v>4</v>
      </c>
      <c r="D4">
        <v>4554</v>
      </c>
    </row>
    <row r="5" spans="1:4" x14ac:dyDescent="0.3">
      <c r="B5" t="s">
        <v>7</v>
      </c>
      <c r="C5" t="s">
        <v>5</v>
      </c>
      <c r="D5">
        <v>4545</v>
      </c>
    </row>
    <row r="6" spans="1:4" x14ac:dyDescent="0.3">
      <c r="A6" s="8"/>
      <c r="B6" s="8" t="s">
        <v>7</v>
      </c>
      <c r="C6" s="8" t="s">
        <v>6</v>
      </c>
      <c r="D6" s="8">
        <v>5454</v>
      </c>
    </row>
    <row r="8" spans="1:4" x14ac:dyDescent="0.3">
      <c r="A8" s="13" t="s">
        <v>40</v>
      </c>
    </row>
    <row r="9" spans="1:4" x14ac:dyDescent="0.3">
      <c r="A9" s="9"/>
      <c r="B9" s="11" t="s">
        <v>2</v>
      </c>
      <c r="C9" s="9" t="s">
        <v>3</v>
      </c>
      <c r="D9" s="9" t="s">
        <v>39</v>
      </c>
    </row>
    <row r="10" spans="1:4" x14ac:dyDescent="0.3">
      <c r="B10" t="s">
        <v>7</v>
      </c>
      <c r="C10" t="s">
        <v>6</v>
      </c>
      <c r="D10">
        <v>545</v>
      </c>
    </row>
    <row r="11" spans="1:4" x14ac:dyDescent="0.3">
      <c r="B11" t="s">
        <v>7</v>
      </c>
      <c r="C11" t="s">
        <v>5</v>
      </c>
      <c r="D11">
        <v>5454</v>
      </c>
    </row>
    <row r="12" spans="1:4" x14ac:dyDescent="0.3">
      <c r="A12" s="8"/>
      <c r="B12" s="8" t="s">
        <v>7</v>
      </c>
      <c r="C12" s="8" t="s">
        <v>4</v>
      </c>
      <c r="D12" s="8">
        <v>21414</v>
      </c>
    </row>
    <row r="14" spans="1:4" x14ac:dyDescent="0.3">
      <c r="A14" s="13" t="s">
        <v>42</v>
      </c>
    </row>
    <row r="15" spans="1:4" x14ac:dyDescent="0.3">
      <c r="A15" s="9"/>
      <c r="B15" s="11" t="s">
        <v>2</v>
      </c>
      <c r="C15" s="9" t="s">
        <v>3</v>
      </c>
      <c r="D15" s="9" t="s">
        <v>39</v>
      </c>
    </row>
    <row r="16" spans="1:4" x14ac:dyDescent="0.3">
      <c r="B16" t="s">
        <v>7</v>
      </c>
      <c r="C16" t="s">
        <v>4</v>
      </c>
      <c r="D16">
        <v>5454</v>
      </c>
    </row>
    <row r="17" spans="1:4" x14ac:dyDescent="0.3">
      <c r="B17" t="s">
        <v>7</v>
      </c>
      <c r="C17" t="s">
        <v>5</v>
      </c>
      <c r="D17">
        <v>2145</v>
      </c>
    </row>
    <row r="18" spans="1:4" x14ac:dyDescent="0.3">
      <c r="A18" s="8"/>
      <c r="B18" s="8" t="s">
        <v>7</v>
      </c>
      <c r="C18" s="8" t="s">
        <v>6</v>
      </c>
      <c r="D18" s="8">
        <v>3216</v>
      </c>
    </row>
    <row r="20" spans="1:4" x14ac:dyDescent="0.3">
      <c r="A20" s="13" t="s">
        <v>44</v>
      </c>
    </row>
    <row r="21" spans="1:4" x14ac:dyDescent="0.3">
      <c r="A21" s="9"/>
      <c r="B21" s="11" t="s">
        <v>2</v>
      </c>
      <c r="C21" s="9" t="s">
        <v>3</v>
      </c>
      <c r="D21" s="9" t="s">
        <v>39</v>
      </c>
    </row>
    <row r="22" spans="1:4" x14ac:dyDescent="0.3">
      <c r="B22" t="s">
        <v>7</v>
      </c>
      <c r="C22" t="s">
        <v>4</v>
      </c>
      <c r="D22">
        <v>2525</v>
      </c>
    </row>
    <row r="23" spans="1:4" x14ac:dyDescent="0.3">
      <c r="B23" t="s">
        <v>7</v>
      </c>
      <c r="C23" t="s">
        <v>5</v>
      </c>
      <c r="D23">
        <v>3637</v>
      </c>
    </row>
    <row r="24" spans="1:4" x14ac:dyDescent="0.3">
      <c r="A24" s="8"/>
      <c r="B24" s="8" t="s">
        <v>7</v>
      </c>
      <c r="C24" s="8" t="s">
        <v>6</v>
      </c>
      <c r="D24" s="8">
        <v>1512</v>
      </c>
    </row>
    <row r="26" spans="1:4" x14ac:dyDescent="0.3">
      <c r="A26" s="13" t="s">
        <v>47</v>
      </c>
    </row>
    <row r="27" spans="1:4" x14ac:dyDescent="0.3">
      <c r="A27" s="9"/>
      <c r="B27" s="11" t="s">
        <v>2</v>
      </c>
      <c r="C27" s="9" t="s">
        <v>3</v>
      </c>
      <c r="D27" s="9" t="s">
        <v>39</v>
      </c>
    </row>
    <row r="28" spans="1:4" x14ac:dyDescent="0.3">
      <c r="B28" t="s">
        <v>7</v>
      </c>
      <c r="C28" t="s">
        <v>4</v>
      </c>
      <c r="D28">
        <v>1020</v>
      </c>
    </row>
    <row r="29" spans="1:4" x14ac:dyDescent="0.3">
      <c r="B29" t="s">
        <v>7</v>
      </c>
      <c r="C29" t="s">
        <v>5</v>
      </c>
      <c r="D29">
        <v>3040</v>
      </c>
    </row>
    <row r="30" spans="1:4" x14ac:dyDescent="0.3">
      <c r="A30" s="8"/>
      <c r="B30" s="8" t="s">
        <v>7</v>
      </c>
      <c r="C30" s="8" t="s">
        <v>6</v>
      </c>
      <c r="D30" s="8">
        <v>2050</v>
      </c>
    </row>
    <row r="32" spans="1:4" x14ac:dyDescent="0.3">
      <c r="A32" s="13" t="s">
        <v>52</v>
      </c>
    </row>
    <row r="33" spans="1:4" x14ac:dyDescent="0.3">
      <c r="A33" s="9"/>
      <c r="B33" s="11" t="s">
        <v>2</v>
      </c>
      <c r="C33" s="9" t="s">
        <v>3</v>
      </c>
      <c r="D33" s="9" t="s">
        <v>39</v>
      </c>
    </row>
    <row r="34" spans="1:4" x14ac:dyDescent="0.3">
      <c r="B34" t="s">
        <v>7</v>
      </c>
      <c r="C34" t="s">
        <v>6</v>
      </c>
      <c r="D34">
        <v>2511</v>
      </c>
    </row>
    <row r="35" spans="1:4" x14ac:dyDescent="0.3">
      <c r="B35" t="s">
        <v>7</v>
      </c>
      <c r="C35" t="s">
        <v>5</v>
      </c>
      <c r="D35">
        <v>2910</v>
      </c>
    </row>
    <row r="36" spans="1:4" x14ac:dyDescent="0.3">
      <c r="A36" s="8"/>
      <c r="B36" s="8" t="s">
        <v>7</v>
      </c>
      <c r="C36" s="8" t="s">
        <v>4</v>
      </c>
      <c r="D36" s="8">
        <v>4021</v>
      </c>
    </row>
    <row r="38" spans="1:4" x14ac:dyDescent="0.3">
      <c r="A38" s="13" t="s">
        <v>53</v>
      </c>
    </row>
    <row r="39" spans="1:4" x14ac:dyDescent="0.3">
      <c r="A39" s="9"/>
      <c r="B39" s="11" t="s">
        <v>2</v>
      </c>
      <c r="C39" s="9" t="s">
        <v>3</v>
      </c>
      <c r="D39" s="9" t="s">
        <v>39</v>
      </c>
    </row>
    <row r="40" spans="1:4" x14ac:dyDescent="0.3">
      <c r="B40" t="s">
        <v>7</v>
      </c>
      <c r="C40" t="s">
        <v>4</v>
      </c>
      <c r="D40">
        <v>25624</v>
      </c>
    </row>
    <row r="41" spans="1:4" x14ac:dyDescent="0.3">
      <c r="B41" t="s">
        <v>7</v>
      </c>
      <c r="C41" t="s">
        <v>5</v>
      </c>
      <c r="D41">
        <v>215421</v>
      </c>
    </row>
    <row r="42" spans="1:4" x14ac:dyDescent="0.3">
      <c r="A42" s="8"/>
      <c r="B42" s="8" t="s">
        <v>7</v>
      </c>
      <c r="C42" s="8" t="s">
        <v>6</v>
      </c>
      <c r="D42" s="8">
        <v>2134</v>
      </c>
    </row>
    <row r="44" spans="1:4" x14ac:dyDescent="0.3">
      <c r="A44" s="13" t="s">
        <v>54</v>
      </c>
    </row>
    <row r="45" spans="1:4" x14ac:dyDescent="0.3">
      <c r="A45" s="9"/>
      <c r="B45" s="11" t="s">
        <v>2</v>
      </c>
      <c r="C45" s="9" t="s">
        <v>3</v>
      </c>
      <c r="D45" s="9" t="s">
        <v>39</v>
      </c>
    </row>
    <row r="46" spans="1:4" x14ac:dyDescent="0.3">
      <c r="B46" t="s">
        <v>7</v>
      </c>
      <c r="C46" t="s">
        <v>4</v>
      </c>
      <c r="D46">
        <v>246518</v>
      </c>
    </row>
    <row r="47" spans="1:4" x14ac:dyDescent="0.3">
      <c r="B47" t="s">
        <v>7</v>
      </c>
      <c r="C47" t="s">
        <v>5</v>
      </c>
      <c r="D47">
        <v>27512</v>
      </c>
    </row>
    <row r="48" spans="1:4" x14ac:dyDescent="0.3">
      <c r="A48" s="8"/>
      <c r="B48" s="8" t="s">
        <v>7</v>
      </c>
      <c r="C48" s="8" t="s">
        <v>6</v>
      </c>
      <c r="D48" s="8">
        <v>2167127</v>
      </c>
    </row>
    <row r="50" spans="1:4" x14ac:dyDescent="0.3">
      <c r="A50" s="13" t="s">
        <v>55</v>
      </c>
    </row>
    <row r="51" spans="1:4" x14ac:dyDescent="0.3">
      <c r="A51" s="9"/>
      <c r="B51" s="11" t="s">
        <v>2</v>
      </c>
      <c r="C51" s="9" t="s">
        <v>3</v>
      </c>
      <c r="D51" s="9" t="s">
        <v>39</v>
      </c>
    </row>
    <row r="52" spans="1:4" x14ac:dyDescent="0.3">
      <c r="B52" t="s">
        <v>7</v>
      </c>
      <c r="C52" t="s">
        <v>4</v>
      </c>
      <c r="D52">
        <v>217517</v>
      </c>
    </row>
    <row r="53" spans="1:4" x14ac:dyDescent="0.3">
      <c r="B53" t="s">
        <v>7</v>
      </c>
      <c r="C53" t="s">
        <v>5</v>
      </c>
      <c r="D53">
        <v>217517465</v>
      </c>
    </row>
    <row r="54" spans="1:4" x14ac:dyDescent="0.3">
      <c r="A54" s="8"/>
      <c r="B54" s="8" t="s">
        <v>7</v>
      </c>
      <c r="C54" s="8" t="s">
        <v>6</v>
      </c>
      <c r="D54" s="8">
        <v>21871287</v>
      </c>
    </row>
    <row r="56" spans="1:4" x14ac:dyDescent="0.3">
      <c r="A56" s="13" t="s">
        <v>56</v>
      </c>
    </row>
    <row r="57" spans="1:4" x14ac:dyDescent="0.3">
      <c r="A57" s="9"/>
      <c r="B57" s="11" t="s">
        <v>2</v>
      </c>
      <c r="C57" s="9" t="s">
        <v>3</v>
      </c>
      <c r="D57" s="9" t="s">
        <v>39</v>
      </c>
    </row>
    <row r="58" spans="1:4" x14ac:dyDescent="0.3">
      <c r="B58" t="s">
        <v>7</v>
      </c>
      <c r="C58" t="s">
        <v>4</v>
      </c>
      <c r="D58">
        <v>128717</v>
      </c>
    </row>
    <row r="59" spans="1:4" x14ac:dyDescent="0.3">
      <c r="B59" t="s">
        <v>7</v>
      </c>
      <c r="C59" t="s">
        <v>5</v>
      </c>
      <c r="D59">
        <v>218721</v>
      </c>
    </row>
    <row r="60" spans="1:4" x14ac:dyDescent="0.3">
      <c r="A60" s="8"/>
      <c r="B60" s="8" t="s">
        <v>7</v>
      </c>
      <c r="C60" s="8" t="s">
        <v>6</v>
      </c>
      <c r="D60" s="8">
        <v>2185127</v>
      </c>
    </row>
  </sheetData>
  <phoneticPr fontId="2" type="noConversion"/>
  <pageMargins left="0.78740157499999996" right="0.78740157499999996" top="0.984251969" bottom="0.984251969" header="0.49212598499999999" footer="0.49212598499999999"/>
  <headerFooter alignWithMargins="0"/>
  <drawing r:id="rId1"/>
  <legacyDrawing r:id="rId2"/>
  <controls>
    <mc:AlternateContent xmlns:mc="http://schemas.openxmlformats.org/markup-compatibility/2006">
      <mc:Choice Requires="x14">
        <control shapeId="4100" r:id="rId3" name="CommandButton4">
          <controlPr defaultSize="0" autoFill="0" autoLine="0" r:id="rId4">
            <anchor>
              <from>
                <xdr:col>10</xdr:col>
                <xdr:colOff>581025</xdr:colOff>
                <xdr:row>5</xdr:row>
                <xdr:rowOff>19050</xdr:rowOff>
              </from>
              <to>
                <xdr:col>12</xdr:col>
                <xdr:colOff>85725</xdr:colOff>
                <xdr:row>6</xdr:row>
                <xdr:rowOff>95250</xdr:rowOff>
              </to>
            </anchor>
          </controlPr>
        </control>
      </mc:Choice>
      <mc:Fallback>
        <control shapeId="4100" r:id="rId3" name="CommandButton4"/>
      </mc:Fallback>
    </mc:AlternateContent>
    <mc:AlternateContent xmlns:mc="http://schemas.openxmlformats.org/markup-compatibility/2006">
      <mc:Choice Requires="x14">
        <control shapeId="4099" r:id="rId5" name="CommandButton3">
          <controlPr defaultSize="0" autoFill="0" autoLine="0" r:id="rId6">
            <anchor>
              <from>
                <xdr:col>10</xdr:col>
                <xdr:colOff>581025</xdr:colOff>
                <xdr:row>3</xdr:row>
                <xdr:rowOff>85725</xdr:rowOff>
              </from>
              <to>
                <xdr:col>12</xdr:col>
                <xdr:colOff>85725</xdr:colOff>
                <xdr:row>4</xdr:row>
                <xdr:rowOff>161925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098" r:id="rId7" name="CommandButton2">
          <controlPr defaultSize="0" autoFill="0" autoLine="0" autoPict="0" r:id="rId8">
            <anchor>
              <from>
                <xdr:col>10</xdr:col>
                <xdr:colOff>581025</xdr:colOff>
                <xdr:row>1</xdr:row>
                <xdr:rowOff>171450</xdr:rowOff>
              </from>
              <to>
                <xdr:col>12</xdr:col>
                <xdr:colOff>85725</xdr:colOff>
                <xdr:row>3</xdr:row>
                <xdr:rowOff>57150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defaultSize="0" autoFill="0" autoLine="0" autoPict="0" r:id="rId10">
            <anchor>
              <from>
                <xdr:col>10</xdr:col>
                <xdr:colOff>581025</xdr:colOff>
                <xdr:row>0</xdr:row>
                <xdr:rowOff>57150</xdr:rowOff>
              </from>
              <to>
                <xdr:col>12</xdr:col>
                <xdr:colOff>85725</xdr:colOff>
                <xdr:row>1</xdr:row>
                <xdr:rowOff>133350</xdr:rowOff>
              </to>
            </anchor>
          </controlPr>
        </control>
      </mc:Choice>
      <mc:Fallback>
        <control shapeId="4097" r:id="rId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indexed="12"/>
  </sheetPr>
  <dimension ref="A1:L11"/>
  <sheetViews>
    <sheetView showGridLines="0" workbookViewId="0">
      <selection activeCell="D16" sqref="D16"/>
    </sheetView>
  </sheetViews>
  <sheetFormatPr defaultRowHeight="15" x14ac:dyDescent="0.3"/>
  <cols>
    <col min="1" max="1" width="28.75" customWidth="1"/>
    <col min="2" max="2" width="4.125" customWidth="1"/>
    <col min="3" max="13" width="11.625" customWidth="1"/>
  </cols>
  <sheetData>
    <row r="1" spans="1:12" x14ac:dyDescent="0.3">
      <c r="A1" s="40" t="s">
        <v>34</v>
      </c>
      <c r="B1" s="40"/>
    </row>
    <row r="2" spans="1:12" x14ac:dyDescent="0.3">
      <c r="A2" s="41"/>
      <c r="B2" s="41"/>
      <c r="C2" s="52" t="s">
        <v>36</v>
      </c>
      <c r="D2" s="52" t="s">
        <v>37</v>
      </c>
      <c r="E2" s="52" t="s">
        <v>41</v>
      </c>
      <c r="F2" s="52" t="s">
        <v>43</v>
      </c>
      <c r="G2" s="52" t="s">
        <v>45</v>
      </c>
      <c r="H2" s="52" t="s">
        <v>46</v>
      </c>
      <c r="I2" s="52" t="s">
        <v>48</v>
      </c>
      <c r="J2" s="52" t="s">
        <v>49</v>
      </c>
      <c r="K2" s="52" t="s">
        <v>50</v>
      </c>
      <c r="L2" s="52" t="s">
        <v>51</v>
      </c>
    </row>
    <row r="3" spans="1:12" x14ac:dyDescent="0.3">
      <c r="A3" s="40" t="s">
        <v>30</v>
      </c>
      <c r="B3" s="42" t="s">
        <v>7</v>
      </c>
      <c r="C3">
        <v>4554</v>
      </c>
      <c r="D3">
        <v>21414</v>
      </c>
      <c r="E3">
        <v>5454</v>
      </c>
      <c r="F3">
        <v>2525</v>
      </c>
      <c r="G3">
        <v>1020</v>
      </c>
      <c r="H3">
        <v>4021</v>
      </c>
      <c r="I3">
        <v>25624</v>
      </c>
      <c r="J3">
        <v>246518</v>
      </c>
      <c r="K3">
        <v>217517</v>
      </c>
      <c r="L3">
        <v>128717</v>
      </c>
    </row>
    <row r="4" spans="1:12" x14ac:dyDescent="0.3">
      <c r="A4" s="40" t="s">
        <v>31</v>
      </c>
      <c r="B4" s="42" t="s">
        <v>7</v>
      </c>
      <c r="C4">
        <v>4545</v>
      </c>
      <c r="D4">
        <v>5454</v>
      </c>
      <c r="E4">
        <v>2145</v>
      </c>
      <c r="F4">
        <v>3637</v>
      </c>
      <c r="G4">
        <v>3040</v>
      </c>
      <c r="H4">
        <v>2910</v>
      </c>
      <c r="I4">
        <v>215421</v>
      </c>
      <c r="J4">
        <v>27512</v>
      </c>
      <c r="K4">
        <v>217517465</v>
      </c>
      <c r="L4">
        <v>218721</v>
      </c>
    </row>
    <row r="5" spans="1:12" x14ac:dyDescent="0.3">
      <c r="A5" s="40" t="s">
        <v>32</v>
      </c>
      <c r="B5" s="42" t="s">
        <v>7</v>
      </c>
      <c r="C5">
        <v>5454</v>
      </c>
      <c r="D5">
        <v>545</v>
      </c>
      <c r="E5">
        <v>3216</v>
      </c>
      <c r="F5">
        <v>1512</v>
      </c>
      <c r="G5">
        <v>2050</v>
      </c>
      <c r="H5">
        <v>2511</v>
      </c>
      <c r="I5">
        <v>2134</v>
      </c>
      <c r="J5">
        <v>2167127</v>
      </c>
      <c r="K5">
        <v>21871287</v>
      </c>
      <c r="L5">
        <v>2185127</v>
      </c>
    </row>
    <row r="6" spans="1:12" x14ac:dyDescent="0.3">
      <c r="A6" s="40" t="s">
        <v>33</v>
      </c>
      <c r="B6" s="42" t="s">
        <v>7</v>
      </c>
      <c r="C6">
        <v>9999</v>
      </c>
      <c r="D6">
        <v>5999</v>
      </c>
      <c r="E6">
        <v>5361</v>
      </c>
      <c r="F6">
        <v>5149</v>
      </c>
      <c r="G6">
        <v>5090</v>
      </c>
      <c r="H6">
        <v>5421</v>
      </c>
      <c r="I6">
        <v>217555</v>
      </c>
      <c r="J6">
        <v>2194639</v>
      </c>
      <c r="K6">
        <v>239388752</v>
      </c>
      <c r="L6">
        <v>2403848</v>
      </c>
    </row>
    <row r="7" spans="1:12" x14ac:dyDescent="0.3">
      <c r="A7" s="40" t="s">
        <v>29</v>
      </c>
      <c r="B7" s="42" t="s">
        <v>7</v>
      </c>
      <c r="C7">
        <v>14553</v>
      </c>
      <c r="D7">
        <v>27413</v>
      </c>
      <c r="E7">
        <v>10815</v>
      </c>
      <c r="F7">
        <v>7674</v>
      </c>
      <c r="G7">
        <v>6110</v>
      </c>
      <c r="H7">
        <v>9442</v>
      </c>
      <c r="I7">
        <v>243179</v>
      </c>
      <c r="J7">
        <v>2441157</v>
      </c>
      <c r="K7">
        <v>239606269</v>
      </c>
      <c r="L7">
        <v>2532565</v>
      </c>
    </row>
    <row r="8" spans="1:12" x14ac:dyDescent="0.3">
      <c r="A8" s="40" t="s">
        <v>25</v>
      </c>
      <c r="B8" s="42"/>
      <c r="C8" s="19">
        <v>2.6683168316831685</v>
      </c>
      <c r="D8" s="19">
        <v>50.299082568807343</v>
      </c>
      <c r="E8" s="19">
        <v>3.3628731343283582</v>
      </c>
      <c r="F8" s="19">
        <v>5.0753968253968251</v>
      </c>
      <c r="G8" s="19">
        <v>2.9804878048780492</v>
      </c>
      <c r="H8" s="19">
        <v>3.7602548785344481</v>
      </c>
      <c r="I8" s="19">
        <v>113.95454545454545</v>
      </c>
      <c r="J8" s="19">
        <v>1.1264485191684659</v>
      </c>
      <c r="K8" s="19">
        <v>10.955288959447151</v>
      </c>
      <c r="L8" s="19">
        <v>1.1590012845935271</v>
      </c>
    </row>
    <row r="9" spans="1:12" x14ac:dyDescent="0.3">
      <c r="A9" s="40" t="s">
        <v>26</v>
      </c>
      <c r="B9" s="42"/>
      <c r="C9" s="19">
        <v>0.59940652818991091</v>
      </c>
      <c r="D9" s="19">
        <v>2.028435313383951E-2</v>
      </c>
      <c r="E9" s="19">
        <v>0.42321358073430715</v>
      </c>
      <c r="F9" s="19">
        <v>0.24537487828627069</v>
      </c>
      <c r="G9" s="19">
        <v>0.50492610837438423</v>
      </c>
      <c r="H9" s="19">
        <v>0.36228538450440051</v>
      </c>
      <c r="I9" s="19">
        <v>8.8531187122736412E-3</v>
      </c>
      <c r="J9" s="19">
        <v>7.9083567492610314</v>
      </c>
      <c r="K9" s="19">
        <v>0.10044911846090032</v>
      </c>
      <c r="L9" s="19">
        <v>6.2892573639037739</v>
      </c>
    </row>
    <row r="10" spans="1:12" x14ac:dyDescent="0.3">
      <c r="A10" s="40" t="s">
        <v>27</v>
      </c>
      <c r="B10" s="42"/>
      <c r="C10" s="19">
        <v>2.1956521739130435</v>
      </c>
      <c r="D10" s="19">
        <v>0.28014383113850744</v>
      </c>
      <c r="E10" s="19">
        <v>0.98294829482948287</v>
      </c>
      <c r="F10" s="19">
        <v>2.0392079207920792</v>
      </c>
      <c r="G10" s="19">
        <v>4.9901960784313726</v>
      </c>
      <c r="H10" s="19">
        <v>1.3481720964934096</v>
      </c>
      <c r="I10" s="19">
        <v>8.4902825476116135</v>
      </c>
      <c r="J10" s="19">
        <v>8.9025507265189567</v>
      </c>
      <c r="K10" s="19">
        <v>1100.5519200798099</v>
      </c>
      <c r="L10" s="19">
        <v>18.675450795155264</v>
      </c>
    </row>
    <row r="11" spans="1:12" x14ac:dyDescent="0.3">
      <c r="A11" s="41" t="s">
        <v>28</v>
      </c>
      <c r="B11" s="43"/>
      <c r="C11" s="20">
        <v>1.2152730124497599</v>
      </c>
      <c r="D11" s="20">
        <v>179.54735024644788</v>
      </c>
      <c r="E11" s="20">
        <v>3.4212106089585652</v>
      </c>
      <c r="F11" s="20">
        <v>2.488905998082537</v>
      </c>
      <c r="G11" s="20">
        <v>0.59726867602664246</v>
      </c>
      <c r="H11" s="20">
        <v>2.7891505011228586</v>
      </c>
      <c r="I11" s="20">
        <v>13.421761268310417</v>
      </c>
      <c r="J11" s="20">
        <v>0.12653098575591332</v>
      </c>
      <c r="K11" s="20">
        <v>9.9543590443717505E-3</v>
      </c>
      <c r="L11" s="20">
        <v>6.2060150370998927E-2</v>
      </c>
    </row>
  </sheetData>
  <phoneticPr fontId="2" type="noConversion"/>
  <pageMargins left="0.78740157499999996" right="0.78740157499999996" top="0.984251969" bottom="0.984251969" header="0.49212598499999999" footer="0.49212598499999999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Entrada_de_Dados</vt:lpstr>
      <vt:lpstr>Resumo</vt:lpstr>
      <vt:lpstr>Tabelas</vt:lpstr>
      <vt:lpstr>Índices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Barrella</dc:creator>
  <cp:lastModifiedBy>Henrique</cp:lastModifiedBy>
  <dcterms:created xsi:type="dcterms:W3CDTF">2003-07-25T23:54:53Z</dcterms:created>
  <dcterms:modified xsi:type="dcterms:W3CDTF">2023-02-20T16:14:56Z</dcterms:modified>
</cp:coreProperties>
</file>